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ntosobagus/Documents/研究/"/>
    </mc:Choice>
  </mc:AlternateContent>
  <xr:revisionPtr revIDLastSave="0" documentId="13_ncr:1_{4218CACD-14ED-474A-AA0F-7CA7752325E6}" xr6:coauthVersionLast="47" xr6:coauthVersionMax="47" xr10:uidLastSave="{00000000-0000-0000-0000-000000000000}"/>
  <bookViews>
    <workbookView xWindow="520" yWindow="1740" windowWidth="15420" windowHeight="14860" activeTab="1" xr2:uid="{F9DEA485-6985-BB4B-9757-A5EC5ABCD511}"/>
  </bookViews>
  <sheets>
    <sheet name="データ生成シート" sheetId="1" r:id="rId1"/>
    <sheet name="まとめ" sheetId="4" r:id="rId2"/>
    <sheet name="Gas Price AVG" sheetId="6" r:id="rId3"/>
    <sheet name="ザラ場" sheetId="2" r:id="rId4"/>
    <sheet name="板寄せ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4" l="1"/>
  <c r="K6" i="4"/>
  <c r="H3" i="4"/>
  <c r="P27" i="4"/>
  <c r="O27" i="4"/>
  <c r="M27" i="4"/>
  <c r="L27" i="4"/>
  <c r="C32" i="6"/>
  <c r="B8" i="4"/>
  <c r="B10" i="4" s="1"/>
  <c r="B12" i="4" s="1"/>
  <c r="H5" i="4"/>
  <c r="I6" i="4"/>
  <c r="J6" i="4"/>
  <c r="L6" i="4"/>
  <c r="H6" i="4"/>
  <c r="I5" i="4"/>
  <c r="J5" i="4"/>
  <c r="K5" i="4"/>
  <c r="L5" i="4"/>
  <c r="I4" i="4"/>
  <c r="J4" i="4"/>
  <c r="K4" i="4"/>
  <c r="L4" i="4"/>
  <c r="H4" i="4"/>
  <c r="I3" i="4"/>
  <c r="J3" i="4"/>
  <c r="K3" i="4"/>
  <c r="L3" i="4"/>
  <c r="F9" i="4"/>
  <c r="F11" i="4" s="1"/>
  <c r="F13" i="4" s="1"/>
  <c r="C9" i="4"/>
  <c r="C11" i="4" s="1"/>
  <c r="C13" i="4" s="1"/>
  <c r="D9" i="4"/>
  <c r="D11" i="4" s="1"/>
  <c r="D13" i="4" s="1"/>
  <c r="E9" i="4"/>
  <c r="E11" i="4" s="1"/>
  <c r="E13" i="4" s="1"/>
  <c r="B9" i="4"/>
  <c r="B11" i="4" s="1"/>
  <c r="B13" i="4" s="1"/>
  <c r="F8" i="4"/>
  <c r="F10" i="4" s="1"/>
  <c r="F12" i="4" s="1"/>
  <c r="C8" i="4"/>
  <c r="C10" i="4" s="1"/>
  <c r="C12" i="4" s="1"/>
  <c r="D8" i="4"/>
  <c r="D10" i="4" s="1"/>
  <c r="D12" i="4" s="1"/>
  <c r="E8" i="4"/>
  <c r="E10" i="4" s="1"/>
  <c r="E12" i="4" s="1"/>
  <c r="D145" i="1"/>
  <c r="F7" i="4"/>
  <c r="C7" i="4"/>
  <c r="D7" i="4"/>
  <c r="E7" i="4"/>
  <c r="B7" i="4"/>
  <c r="F6" i="4"/>
  <c r="C6" i="4"/>
  <c r="D6" i="4"/>
  <c r="E6" i="4"/>
  <c r="B6" i="4"/>
  <c r="K26" i="2"/>
  <c r="K27" i="2"/>
  <c r="K28" i="2"/>
  <c r="K29" i="2"/>
  <c r="K25" i="2"/>
  <c r="M37" i="3"/>
  <c r="J37" i="3"/>
  <c r="K37" i="3"/>
  <c r="L37" i="3"/>
  <c r="I37" i="3"/>
  <c r="M35" i="3"/>
  <c r="L35" i="3"/>
  <c r="I28" i="2"/>
  <c r="I25" i="2"/>
  <c r="K35" i="3"/>
  <c r="J35" i="3"/>
  <c r="I35" i="3"/>
  <c r="I29" i="2"/>
  <c r="I27" i="2"/>
  <c r="I26" i="2"/>
  <c r="S115" i="1"/>
  <c r="U122" i="1"/>
  <c r="O123" i="1"/>
  <c r="M116" i="1"/>
  <c r="J142" i="1"/>
  <c r="L149" i="1"/>
  <c r="G152" i="1"/>
  <c r="G153" i="1" s="1"/>
  <c r="E165" i="1"/>
  <c r="E164" i="1"/>
  <c r="D164" i="1"/>
  <c r="D166" i="1" s="1"/>
  <c r="D163" i="1"/>
  <c r="D161" i="1"/>
  <c r="E161" i="1"/>
  <c r="E160" i="1"/>
  <c r="E166" i="1" s="1"/>
  <c r="D142" i="1"/>
  <c r="D143" i="1" s="1"/>
  <c r="D144" i="1" s="1"/>
  <c r="D5" i="1"/>
  <c r="D16" i="1" s="1"/>
  <c r="D27" i="1"/>
  <c r="J54" i="1"/>
  <c r="H54" i="1" s="1"/>
  <c r="I54" i="1" s="1"/>
  <c r="G5" i="1"/>
  <c r="G8" i="1" s="1"/>
  <c r="U44" i="1"/>
  <c r="T44" i="1"/>
  <c r="N64" i="1" s="1"/>
  <c r="S44" i="1"/>
  <c r="Q44" i="1"/>
  <c r="M64" i="1" s="1"/>
  <c r="R44" i="1"/>
  <c r="P44" i="1"/>
  <c r="G11" i="1"/>
  <c r="G9" i="1"/>
  <c r="G10" i="1"/>
  <c r="G12" i="1"/>
  <c r="G14" i="1"/>
  <c r="G15" i="1"/>
  <c r="G16" i="1"/>
  <c r="G18" i="1"/>
  <c r="G19" i="1"/>
  <c r="G20" i="1"/>
  <c r="D14" i="1" l="1"/>
  <c r="D10" i="1"/>
  <c r="D13" i="1"/>
  <c r="D9" i="1"/>
  <c r="D12" i="1"/>
  <c r="D20" i="1"/>
  <c r="D8" i="1"/>
  <c r="D11" i="1"/>
  <c r="G154" i="1"/>
  <c r="G155" i="1" s="1"/>
  <c r="D152" i="1" s="1"/>
  <c r="D19" i="1"/>
  <c r="D15" i="1"/>
  <c r="G17" i="1"/>
  <c r="G13" i="1"/>
  <c r="D18" i="1"/>
  <c r="D17" i="1"/>
</calcChain>
</file>

<file path=xl/sharedStrings.xml><?xml version="1.0" encoding="utf-8"?>
<sst xmlns="http://schemas.openxmlformats.org/spreadsheetml/2006/main" count="462" uniqueCount="132">
  <si>
    <t>平均</t>
    <rPh sb="0" eb="2">
      <t>ヘイキn</t>
    </rPh>
    <phoneticPr fontId="1"/>
  </si>
  <si>
    <t>標準偏差</t>
    <rPh sb="0" eb="4">
      <t>ヒョウジュn</t>
    </rPh>
    <phoneticPr fontId="1"/>
  </si>
  <si>
    <t>x</t>
    <phoneticPr fontId="1"/>
  </si>
  <si>
    <t>f(x)</t>
    <phoneticPr fontId="1"/>
  </si>
  <si>
    <t>電力消費量(kWh)</t>
    <rPh sb="0" eb="4">
      <t>デンリョクス</t>
    </rPh>
    <rPh sb="4" eb="5">
      <t xml:space="preserve">リョウ </t>
    </rPh>
    <phoneticPr fontId="1"/>
  </si>
  <si>
    <t>~120kWh</t>
    <phoneticPr fontId="1"/>
  </si>
  <si>
    <t>120kWh~300kWh</t>
    <phoneticPr fontId="1"/>
  </si>
  <si>
    <t>300kWh~</t>
    <phoneticPr fontId="1"/>
  </si>
  <si>
    <t>1kWhあたりの値段(円)</t>
    <rPh sb="8" eb="10">
      <t>ネダn</t>
    </rPh>
    <rPh sb="11" eb="12">
      <t>エn</t>
    </rPh>
    <phoneticPr fontId="1"/>
  </si>
  <si>
    <t>≒26円</t>
    <rPh sb="3" eb="4">
      <t>エn</t>
    </rPh>
    <phoneticPr fontId="1"/>
  </si>
  <si>
    <t>←これを売買時の1kWhの平均値とする。</t>
    <rPh sb="4" eb="7">
      <t>バイバイ</t>
    </rPh>
    <rPh sb="13" eb="16">
      <t>ヘイキn</t>
    </rPh>
    <phoneticPr fontId="1"/>
  </si>
  <si>
    <t>使うのは平均の値にする→</t>
    <rPh sb="0" eb="1">
      <t>ツカウ</t>
    </rPh>
    <rPh sb="4" eb="6">
      <t>ヘイキ</t>
    </rPh>
    <rPh sb="7" eb="8">
      <t>アタイ</t>
    </rPh>
    <phoneticPr fontId="1"/>
  </si>
  <si>
    <t>1kWhの値段の分布</t>
    <rPh sb="5" eb="7">
      <t>ネダn</t>
    </rPh>
    <rPh sb="8" eb="10">
      <t>ブn</t>
    </rPh>
    <phoneticPr fontId="1"/>
  </si>
  <si>
    <t>Data1</t>
    <phoneticPr fontId="1"/>
  </si>
  <si>
    <t>Buyer</t>
  </si>
  <si>
    <t>Buyer</t>
    <phoneticPr fontId="1"/>
  </si>
  <si>
    <t>Seller</t>
    <phoneticPr fontId="1"/>
  </si>
  <si>
    <t>平均(円)</t>
    <rPh sb="0" eb="2">
      <t>ヘイキn</t>
    </rPh>
    <rPh sb="3" eb="4">
      <t>エn</t>
    </rPh>
    <phoneticPr fontId="1"/>
  </si>
  <si>
    <t>↑</t>
    <phoneticPr fontId="1"/>
  </si>
  <si>
    <t>属性マトリクス↓</t>
    <rPh sb="0" eb="2">
      <t>ゾクセイ</t>
    </rPh>
    <phoneticPr fontId="1"/>
  </si>
  <si>
    <t>1000円から取引を始める人が多いと仮定する</t>
    <rPh sb="4" eb="5">
      <t>エn</t>
    </rPh>
    <rPh sb="7" eb="9">
      <t>トリヒキ</t>
    </rPh>
    <rPh sb="10" eb="11">
      <t>ハジメレル</t>
    </rPh>
    <rPh sb="18" eb="20">
      <t>カテイ</t>
    </rPh>
    <phoneticPr fontId="1"/>
  </si>
  <si>
    <t>Price (円)</t>
    <rPh sb="7" eb="8">
      <t>エn</t>
    </rPh>
    <phoneticPr fontId="1"/>
  </si>
  <si>
    <t>Amount(kWh)</t>
  </si>
  <si>
    <t>Amount(kWh)</t>
    <phoneticPr fontId="1"/>
  </si>
  <si>
    <t>Price(円)</t>
  </si>
  <si>
    <t>Price(円)</t>
    <rPh sb="6" eb="7">
      <t xml:space="preserve">エン </t>
    </rPh>
    <phoneticPr fontId="1"/>
  </si>
  <si>
    <t>所持電力量</t>
    <rPh sb="0" eb="5">
      <t>ショジデ</t>
    </rPh>
    <phoneticPr fontId="1"/>
  </si>
  <si>
    <t>所持金</t>
    <rPh sb="0" eb="3">
      <t>ショジ</t>
    </rPh>
    <phoneticPr fontId="1"/>
  </si>
  <si>
    <t>→これで統一</t>
    <phoneticPr fontId="1"/>
  </si>
  <si>
    <t>gas</t>
    <phoneticPr fontId="1"/>
  </si>
  <si>
    <t>tarnsaction cost</t>
    <phoneticPr fontId="1"/>
  </si>
  <si>
    <t>execution cost</t>
    <phoneticPr fontId="1"/>
  </si>
  <si>
    <t>First Step</t>
    <phoneticPr fontId="1"/>
  </si>
  <si>
    <t>Second(Zaraba)</t>
    <phoneticPr fontId="1"/>
  </si>
  <si>
    <t>Second(Itayose)</t>
    <phoneticPr fontId="1"/>
  </si>
  <si>
    <t>Zaraba</t>
    <phoneticPr fontId="1"/>
  </si>
  <si>
    <t>Itayose</t>
    <phoneticPr fontId="1"/>
  </si>
  <si>
    <t>元いる人たち</t>
    <rPh sb="0" eb="1">
      <t>モトイル</t>
    </rPh>
    <rPh sb="3" eb="4">
      <t>ヒト</t>
    </rPh>
    <phoneticPr fontId="1"/>
  </si>
  <si>
    <t>新規参加者</t>
    <rPh sb="0" eb="2">
      <t>シンキ</t>
    </rPh>
    <rPh sb="2" eb="5">
      <t>サンカ</t>
    </rPh>
    <phoneticPr fontId="1"/>
  </si>
  <si>
    <t>実際のアグリーメント</t>
    <rPh sb="0" eb="2">
      <t>ジッサイ</t>
    </rPh>
    <phoneticPr fontId="1"/>
  </si>
  <si>
    <t>All Result</t>
    <phoneticPr fontId="1"/>
  </si>
  <si>
    <t>Result Data1</t>
    <phoneticPr fontId="1"/>
  </si>
  <si>
    <t>板寄せのステップ(一旦解散する場合。→解散しない場合ソースコードの書き直しが必要)</t>
    <rPh sb="0" eb="2">
      <t>イタヨセ</t>
    </rPh>
    <rPh sb="9" eb="11">
      <t>イッタn</t>
    </rPh>
    <rPh sb="11" eb="13">
      <t>カイサn</t>
    </rPh>
    <rPh sb="19" eb="21">
      <t>カイサn</t>
    </rPh>
    <rPh sb="33" eb="34">
      <t>カキナオソ</t>
    </rPh>
    <phoneticPr fontId="1"/>
  </si>
  <si>
    <t>https://selectra.jp/energy/guides/ryokin/1kwh</t>
    <phoneticPr fontId="1"/>
  </si>
  <si>
    <t>cost/transaction</t>
    <phoneticPr fontId="1"/>
  </si>
  <si>
    <t>zaraba</t>
    <phoneticPr fontId="1"/>
  </si>
  <si>
    <t>itayose</t>
    <phoneticPr fontId="1"/>
  </si>
  <si>
    <t>transaction cost</t>
    <phoneticPr fontId="1"/>
  </si>
  <si>
    <t>Data2</t>
    <phoneticPr fontId="1"/>
  </si>
  <si>
    <t>コントラクト実行</t>
    <rPh sb="6" eb="8">
      <t>ジッコウ</t>
    </rPh>
    <phoneticPr fontId="1"/>
  </si>
  <si>
    <t>ザラバ</t>
    <phoneticPr fontId="1"/>
  </si>
  <si>
    <t>バイヤー1人目追加</t>
    <rPh sb="7" eb="9">
      <t>ツイカ</t>
    </rPh>
    <phoneticPr fontId="1"/>
  </si>
  <si>
    <t>セラー1人目</t>
    <phoneticPr fontId="1"/>
  </si>
  <si>
    <t>agreement</t>
    <phoneticPr fontId="1"/>
  </si>
  <si>
    <t>seller</t>
    <phoneticPr fontId="1"/>
  </si>
  <si>
    <t>板寄せ</t>
    <rPh sb="0" eb="2">
      <t>イタヨセ</t>
    </rPh>
    <phoneticPr fontId="1"/>
  </si>
  <si>
    <t>コントラクト実行</t>
    <rPh sb="0" eb="2">
      <t>コントラクトジッコウ</t>
    </rPh>
    <phoneticPr fontId="1"/>
  </si>
  <si>
    <t>B1</t>
    <phoneticPr fontId="1"/>
  </si>
  <si>
    <t>B2</t>
  </si>
  <si>
    <t>B3</t>
  </si>
  <si>
    <t>B4</t>
  </si>
  <si>
    <t>B5</t>
  </si>
  <si>
    <t>S1</t>
    <phoneticPr fontId="1"/>
  </si>
  <si>
    <t>S2</t>
  </si>
  <si>
    <t>S3</t>
  </si>
  <si>
    <t>S4</t>
  </si>
  <si>
    <t>S5</t>
  </si>
  <si>
    <t>S6</t>
  </si>
  <si>
    <t>S7</t>
  </si>
  <si>
    <t>上から順にやった。</t>
    <rPh sb="0" eb="1">
      <t>ウエ</t>
    </rPh>
    <phoneticPr fontId="1"/>
  </si>
  <si>
    <t>SUM</t>
    <phoneticPr fontId="1"/>
  </si>
  <si>
    <t>取引数で割ってないやつ</t>
    <rPh sb="0" eb="3">
      <t>トリヒキ</t>
    </rPh>
    <rPh sb="4" eb="5">
      <t>ワッテ</t>
    </rPh>
    <phoneticPr fontId="1"/>
  </si>
  <si>
    <t>wei</t>
    <phoneticPr fontId="1"/>
  </si>
  <si>
    <t>yen</t>
    <phoneticPr fontId="1"/>
  </si>
  <si>
    <t>ether</t>
    <phoneticPr fontId="1"/>
  </si>
  <si>
    <t>取引電気量の分布</t>
    <rPh sb="0" eb="2">
      <t>トリヒキ</t>
    </rPh>
    <rPh sb="2" eb="5">
      <t>デンキ</t>
    </rPh>
    <phoneticPr fontId="1"/>
  </si>
  <si>
    <t xml:space="preserve"> gas price wei</t>
    <phoneticPr fontId="1"/>
  </si>
  <si>
    <t>円</t>
    <rPh sb="0" eb="1">
      <t>エn</t>
    </rPh>
    <phoneticPr fontId="1"/>
  </si>
  <si>
    <t>差異 板寄せ-ザラ場</t>
    <rPh sb="0" eb="2">
      <t xml:space="preserve">サイ </t>
    </rPh>
    <rPh sb="3" eb="5">
      <t>イタヨセ</t>
    </rPh>
    <phoneticPr fontId="1"/>
  </si>
  <si>
    <t>ステップごとのgas</t>
    <phoneticPr fontId="1"/>
  </si>
  <si>
    <t>ザラ場</t>
    <phoneticPr fontId="1"/>
  </si>
  <si>
    <t>B3</t>
    <phoneticPr fontId="1"/>
  </si>
  <si>
    <t>B4</t>
    <phoneticPr fontId="1"/>
  </si>
  <si>
    <t>B6</t>
    <phoneticPr fontId="1"/>
  </si>
  <si>
    <t>S4</t>
    <phoneticPr fontId="1"/>
  </si>
  <si>
    <t>data2</t>
  </si>
  <si>
    <t>data2</t>
    <phoneticPr fontId="1"/>
  </si>
  <si>
    <t>data1</t>
    <phoneticPr fontId="1"/>
  </si>
  <si>
    <t>V</t>
    <phoneticPr fontId="1"/>
  </si>
  <si>
    <t>B</t>
    <phoneticPr fontId="1"/>
  </si>
  <si>
    <t>S</t>
    <phoneticPr fontId="1"/>
  </si>
  <si>
    <t>44, 44</t>
    <phoneticPr fontId="1"/>
  </si>
  <si>
    <t>B5</t>
    <phoneticPr fontId="1"/>
  </si>
  <si>
    <t>1.Seller</t>
    <phoneticPr fontId="1"/>
  </si>
  <si>
    <t>2.Buyer</t>
    <phoneticPr fontId="1"/>
  </si>
  <si>
    <t>3.Seller</t>
    <phoneticPr fontId="1"/>
  </si>
  <si>
    <t>4.Seller</t>
    <phoneticPr fontId="1"/>
  </si>
  <si>
    <t>5.Buyer</t>
    <phoneticPr fontId="1"/>
  </si>
  <si>
    <t>6.Seller</t>
    <phoneticPr fontId="1"/>
  </si>
  <si>
    <t>7.Seller</t>
    <phoneticPr fontId="1"/>
  </si>
  <si>
    <t>8.Buyer</t>
    <phoneticPr fontId="1"/>
  </si>
  <si>
    <t>9.Buyer</t>
    <phoneticPr fontId="1"/>
  </si>
  <si>
    <t>10.Seller</t>
    <phoneticPr fontId="1"/>
  </si>
  <si>
    <t>Step</t>
    <phoneticPr fontId="1"/>
  </si>
  <si>
    <t>B2</t>
    <phoneticPr fontId="1"/>
  </si>
  <si>
    <t>S2</t>
    <phoneticPr fontId="1"/>
  </si>
  <si>
    <t>Deploy</t>
    <phoneticPr fontId="1"/>
  </si>
  <si>
    <t>Agreement</t>
    <phoneticPr fontId="1"/>
  </si>
  <si>
    <t>data3</t>
  </si>
  <si>
    <t>data4</t>
  </si>
  <si>
    <t>data5</t>
  </si>
  <si>
    <t>取引数</t>
    <rPh sb="0" eb="3">
      <t>トリヒキ</t>
    </rPh>
    <phoneticPr fontId="1"/>
  </si>
  <si>
    <t>Gas/取引数</t>
    <rPh sb="4" eb="7">
      <t>トリヒキ</t>
    </rPh>
    <phoneticPr fontId="1"/>
  </si>
  <si>
    <t>ザラ場取引数</t>
    <rPh sb="3" eb="6">
      <t>トリヒキ</t>
    </rPh>
    <phoneticPr fontId="1"/>
  </si>
  <si>
    <t>板寄せ取引数</t>
    <rPh sb="0" eb="1">
      <t xml:space="preserve">イタヨセ </t>
    </rPh>
    <phoneticPr fontId="1"/>
  </si>
  <si>
    <t>ザラバgas*costEther</t>
    <phoneticPr fontId="1"/>
  </si>
  <si>
    <t>板寄せgas*costEther</t>
    <rPh sb="0" eb="2">
      <t>イタヨセ</t>
    </rPh>
    <phoneticPr fontId="1"/>
  </si>
  <si>
    <t>gasprice平均</t>
    <rPh sb="8" eb="10">
      <t>ヘイキ</t>
    </rPh>
    <phoneticPr fontId="1"/>
  </si>
  <si>
    <t>ザラバgas*cost円</t>
    <phoneticPr fontId="1"/>
  </si>
  <si>
    <t>板寄せgas*cost円</t>
    <rPh sb="0" eb="2">
      <t>イタヨセ</t>
    </rPh>
    <rPh sb="11" eb="12">
      <t xml:space="preserve">エン </t>
    </rPh>
    <phoneticPr fontId="1"/>
  </si>
  <si>
    <t>ザラバ円/取引数</t>
    <rPh sb="3" eb="4">
      <t xml:space="preserve">エン </t>
    </rPh>
    <rPh sb="5" eb="8">
      <t>トリヒキ</t>
    </rPh>
    <phoneticPr fontId="1"/>
  </si>
  <si>
    <t>板寄せ円/取引数</t>
    <rPh sb="0" eb="2">
      <t>イタヨセ</t>
    </rPh>
    <rPh sb="3" eb="4">
      <t xml:space="preserve">エン </t>
    </rPh>
    <rPh sb="5" eb="8">
      <t>トリヒキ</t>
    </rPh>
    <phoneticPr fontId="1"/>
  </si>
  <si>
    <t>*10(^6)</t>
    <phoneticPr fontId="1"/>
  </si>
  <si>
    <t>Date</t>
    <phoneticPr fontId="1"/>
  </si>
  <si>
    <t>Value</t>
    <phoneticPr fontId="1"/>
  </si>
  <si>
    <t>AVERAGE</t>
    <phoneticPr fontId="1"/>
  </si>
  <si>
    <t>/10^18</t>
    <phoneticPr fontId="1"/>
  </si>
  <si>
    <t>*gasprice</t>
    <phoneticPr fontId="1"/>
  </si>
  <si>
    <t>*yen</t>
    <phoneticPr fontId="1"/>
  </si>
  <si>
    <t>=</t>
    <phoneticPr fontId="1"/>
  </si>
  <si>
    <t>gasprice AVG</t>
    <phoneticPr fontId="1"/>
  </si>
  <si>
    <t>gas→円</t>
    <rPh sb="4" eb="5">
      <t>エn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</si>
</sst>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_ "/>
    <numFmt numFmtId="177" formatCode="#,##0_ "/>
  </numFmts>
  <fonts count="10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3"/>
      <color rgb="FFA2A3BD"/>
      <name val="Helvetica Neue"/>
      <family val="2"/>
    </font>
    <font>
      <sz val="12"/>
      <color rgb="FF000000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sz val="12"/>
      <color theme="1"/>
      <name val="游ゴシック"/>
      <family val="3"/>
      <charset val="128"/>
      <scheme val="minor"/>
    </font>
    <font>
      <sz val="13"/>
      <color theme="1"/>
      <name val="游ゴシック"/>
      <family val="3"/>
      <charset val="128"/>
      <scheme val="minor"/>
    </font>
    <font>
      <sz val="12"/>
      <color rgb="FF1A1A1A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2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3" fillId="3" borderId="11" xfId="0" applyFont="1" applyFill="1" applyBorder="1">
      <alignment vertical="center"/>
    </xf>
    <xf numFmtId="0" fontId="3" fillId="0" borderId="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3" fillId="0" borderId="0" xfId="0" applyFont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Fill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0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23" xfId="0" applyFont="1" applyBorder="1">
      <alignment vertical="center"/>
    </xf>
    <xf numFmtId="0" fontId="0" fillId="0" borderId="22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4" xfId="0" applyFill="1" applyBorder="1">
      <alignment vertical="center"/>
    </xf>
    <xf numFmtId="0" fontId="2" fillId="0" borderId="10" xfId="0" applyFont="1" applyBorder="1">
      <alignment vertical="center"/>
    </xf>
    <xf numFmtId="0" fontId="2" fillId="0" borderId="24" xfId="0" applyFont="1" applyBorder="1">
      <alignment vertical="center"/>
    </xf>
    <xf numFmtId="0" fontId="2" fillId="0" borderId="11" xfId="0" applyFont="1" applyBorder="1">
      <alignment vertical="center"/>
    </xf>
    <xf numFmtId="0" fontId="5" fillId="0" borderId="0" xfId="1" applyBorder="1">
      <alignment vertical="center"/>
    </xf>
    <xf numFmtId="0" fontId="3" fillId="0" borderId="0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2" fillId="0" borderId="0" xfId="0" applyFont="1">
      <alignment vertical="center"/>
    </xf>
    <xf numFmtId="3" fontId="0" fillId="0" borderId="1" xfId="0" applyNumberFormat="1" applyBorder="1">
      <alignment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6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ont="1">
      <alignment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Fill="1" applyBorder="1">
      <alignment vertical="center"/>
    </xf>
    <xf numFmtId="176" fontId="8" fillId="0" borderId="0" xfId="0" applyNumberFormat="1" applyFont="1">
      <alignment vertical="center"/>
    </xf>
    <xf numFmtId="14" fontId="9" fillId="0" borderId="0" xfId="0" applyNumberFormat="1" applyFont="1">
      <alignment vertical="center"/>
    </xf>
    <xf numFmtId="0" fontId="9" fillId="0" borderId="0" xfId="0" applyFont="1">
      <alignment vertical="center"/>
    </xf>
    <xf numFmtId="177" fontId="6" fillId="0" borderId="1" xfId="0" applyNumberFormat="1" applyFon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" fontId="0" fillId="0" borderId="1" xfId="0" applyNumberFormat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データ生成シート!$C$3</c:f>
              <c:strCache>
                <c:ptCount val="1"/>
                <c:pt idx="0">
                  <c:v>1kWhの値段の分布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データ生成シート!$C$8:$C$20</c:f>
              <c:numCache>
                <c:formatCode>General</c:formatCode>
                <c:ptCount val="1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</c:numCache>
            </c:numRef>
          </c:xVal>
          <c:yVal>
            <c:numRef>
              <c:f>データ生成シート!$D$8:$D$20</c:f>
              <c:numCache>
                <c:formatCode>General</c:formatCode>
                <c:ptCount val="13"/>
                <c:pt idx="0">
                  <c:v>2.9475924021309996E-2</c:v>
                </c:pt>
                <c:pt idx="1">
                  <c:v>4.3659938308066033E-2</c:v>
                </c:pt>
                <c:pt idx="2">
                  <c:v>6.0211267919437976E-2</c:v>
                </c:pt>
                <c:pt idx="3">
                  <c:v>7.7312798379553599E-2</c:v>
                </c:pt>
                <c:pt idx="4">
                  <c:v>9.2428090123484144E-2</c:v>
                </c:pt>
                <c:pt idx="5">
                  <c:v>0.10288108382245968</c:v>
                </c:pt>
                <c:pt idx="6">
                  <c:v>0.10662180931146155</c:v>
                </c:pt>
                <c:pt idx="7">
                  <c:v>0.10288108382245968</c:v>
                </c:pt>
                <c:pt idx="8">
                  <c:v>9.2428090123484144E-2</c:v>
                </c:pt>
                <c:pt idx="9">
                  <c:v>7.7312798379553599E-2</c:v>
                </c:pt>
                <c:pt idx="10">
                  <c:v>6.0211267919437976E-2</c:v>
                </c:pt>
                <c:pt idx="11">
                  <c:v>4.3659938308066033E-2</c:v>
                </c:pt>
                <c:pt idx="12">
                  <c:v>2.9475924021309996E-2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B9-E14C-9CD8-52624F982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468095"/>
        <c:axId val="1748547055"/>
      </c:scatterChart>
      <c:valAx>
        <c:axId val="2126468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8547055"/>
        <c:crosses val="autoZero"/>
        <c:crossBetween val="midCat"/>
      </c:valAx>
      <c:valAx>
        <c:axId val="174854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6468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データ生成シート!$F$3</c:f>
              <c:strCache>
                <c:ptCount val="1"/>
                <c:pt idx="0">
                  <c:v>取引電気量の分布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データ生成シート!$F$8:$F$20</c:f>
              <c:numCache>
                <c:formatCode>General</c:formatCode>
                <c:ptCount val="13"/>
                <c:pt idx="0">
                  <c:v>33</c:v>
                </c:pt>
                <c:pt idx="1">
                  <c:v>34</c:v>
                </c:pt>
                <c:pt idx="2">
                  <c:v>35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</c:numCache>
            </c:numRef>
          </c:xVal>
          <c:yVal>
            <c:numRef>
              <c:f>データ生成シート!$G$8:$G$20</c:f>
              <c:numCache>
                <c:formatCode>General</c:formatCode>
                <c:ptCount val="13"/>
                <c:pt idx="0">
                  <c:v>2.9475924021309996E-2</c:v>
                </c:pt>
                <c:pt idx="1">
                  <c:v>4.3659938308066033E-2</c:v>
                </c:pt>
                <c:pt idx="2">
                  <c:v>6.0211267919437976E-2</c:v>
                </c:pt>
                <c:pt idx="3">
                  <c:v>7.7312798379553599E-2</c:v>
                </c:pt>
                <c:pt idx="4">
                  <c:v>9.2428090123484144E-2</c:v>
                </c:pt>
                <c:pt idx="5">
                  <c:v>0.10288108382245968</c:v>
                </c:pt>
                <c:pt idx="6">
                  <c:v>0.10662180931146155</c:v>
                </c:pt>
                <c:pt idx="7">
                  <c:v>0.10288108382245968</c:v>
                </c:pt>
                <c:pt idx="8">
                  <c:v>9.2428090123484144E-2</c:v>
                </c:pt>
                <c:pt idx="9">
                  <c:v>7.7312798379553599E-2</c:v>
                </c:pt>
                <c:pt idx="10">
                  <c:v>6.0211267919437976E-2</c:v>
                </c:pt>
                <c:pt idx="11">
                  <c:v>4.3659938308066033E-2</c:v>
                </c:pt>
                <c:pt idx="12">
                  <c:v>2.9475924021309996E-2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50-0A4B-9A49-4FA76B90D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892703"/>
        <c:axId val="1752917839"/>
      </c:scatterChart>
      <c:valAx>
        <c:axId val="175289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917839"/>
        <c:crosses val="autoZero"/>
        <c:crossBetween val="midCat"/>
      </c:valAx>
      <c:valAx>
        <c:axId val="175291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89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Transaction/Execution</a:t>
            </a:r>
            <a:r>
              <a:rPr lang="en-US" altLang="ja-JP" baseline="0"/>
              <a:t> Cost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8292308507818711"/>
          <c:y val="0.16783849758566008"/>
          <c:w val="0.78745592366816852"/>
          <c:h val="0.61589615665591657"/>
        </c:manualLayout>
      </c:layout>
      <c:barChart>
        <c:barDir val="col"/>
        <c:grouping val="clustered"/>
        <c:varyColors val="0"/>
        <c:ser>
          <c:idx val="0"/>
          <c:order val="0"/>
          <c:tx>
            <c:v>Data1 Tran/Exe Zaraba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データ生成シート!$M$64</c:f>
              <c:numCache>
                <c:formatCode>General</c:formatCode>
                <c:ptCount val="1"/>
                <c:pt idx="0">
                  <c:v>99809.600000000006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F3-2142-AE11-A36168A4B12C}"/>
            </c:ext>
          </c:extLst>
        </c:ser>
        <c:ser>
          <c:idx val="1"/>
          <c:order val="1"/>
          <c:tx>
            <c:v>Data1 Tran/Exe Itayose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データ生成シート!$N$64</c:f>
              <c:numCache>
                <c:formatCode>General</c:formatCode>
                <c:ptCount val="1"/>
                <c:pt idx="0">
                  <c:v>235620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F3-2142-AE11-A36168A4B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83041967"/>
        <c:axId val="1782620591"/>
      </c:barChart>
      <c:catAx>
        <c:axId val="17830419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2620591"/>
        <c:crosses val="autoZero"/>
        <c:auto val="1"/>
        <c:lblAlgn val="ctr"/>
        <c:lblOffset val="100"/>
        <c:noMultiLvlLbl val="0"/>
      </c:catAx>
      <c:valAx>
        <c:axId val="178262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Gas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8328438908030745E-2"/>
              <c:y val="0.441820643942768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3041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02537182852143"/>
          <c:y val="6.9444444444444448E-2"/>
          <c:w val="0.82686351706036743"/>
          <c:h val="0.79341717159083169"/>
        </c:manualLayout>
      </c:layout>
      <c:barChart>
        <c:barDir val="col"/>
        <c:grouping val="clustered"/>
        <c:varyColors val="0"/>
        <c:ser>
          <c:idx val="0"/>
          <c:order val="0"/>
          <c:tx>
            <c:v>ザラバ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データ生成シート!$D$142</c:f>
              <c:numCache>
                <c:formatCode>General</c:formatCode>
                <c:ptCount val="1"/>
                <c:pt idx="0">
                  <c:v>8349956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6E-9145-B291-8B1ABD4D9A08}"/>
            </c:ext>
          </c:extLst>
        </c:ser>
        <c:ser>
          <c:idx val="1"/>
          <c:order val="1"/>
          <c:tx>
            <c:v>板寄せ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データ生成シート!$G$152</c:f>
              <c:numCache>
                <c:formatCode>General</c:formatCode>
                <c:ptCount val="1"/>
                <c:pt idx="0">
                  <c:v>8609655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6E-9145-B291-8B1ABD4D9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95920"/>
        <c:axId val="1611168976"/>
      </c:barChart>
      <c:catAx>
        <c:axId val="16111959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168976"/>
        <c:crosses val="autoZero"/>
        <c:auto val="1"/>
        <c:lblAlgn val="ctr"/>
        <c:lblOffset val="100"/>
        <c:noMultiLvlLbl val="0"/>
      </c:catAx>
      <c:valAx>
        <c:axId val="161116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119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23960967203502"/>
          <c:y val="5.2309793801308159E-2"/>
          <c:w val="0.85241859554770805"/>
          <c:h val="0.7903917056902859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まとめ!$A$6</c:f>
              <c:strCache>
                <c:ptCount val="1"/>
                <c:pt idx="0">
                  <c:v>ザラ場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まとめ!$H$5:$L$5</c:f>
              <c:numCache>
                <c:formatCode>General</c:formatCode>
                <c:ptCount val="5"/>
                <c:pt idx="0">
                  <c:v>2.668957666666667</c:v>
                </c:pt>
                <c:pt idx="1">
                  <c:v>2.8350163333333334</c:v>
                </c:pt>
                <c:pt idx="2">
                  <c:v>1.8671554000000001</c:v>
                </c:pt>
                <c:pt idx="3">
                  <c:v>1.9895878</c:v>
                </c:pt>
                <c:pt idx="4">
                  <c:v>1.1820366666666666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5C2-234A-AE86-3F2663689F19}"/>
            </c:ext>
          </c:extLst>
        </c:ser>
        <c:ser>
          <c:idx val="3"/>
          <c:order val="1"/>
          <c:tx>
            <c:strRef>
              <c:f>まとめ!$A$7</c:f>
              <c:strCache>
                <c:ptCount val="1"/>
                <c:pt idx="0">
                  <c:v>板寄せ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まとめ!$H$6:$L$6</c:f>
              <c:numCache>
                <c:formatCode>#,##0.00_ </c:formatCode>
                <c:ptCount val="5"/>
                <c:pt idx="0">
                  <c:v>2.7282039999999999</c:v>
                </c:pt>
                <c:pt idx="1">
                  <c:v>2.8603053333333333</c:v>
                </c:pt>
                <c:pt idx="2">
                  <c:v>1.8139821999999999</c:v>
                </c:pt>
                <c:pt idx="3">
                  <c:v>1.9033176000000001</c:v>
                </c:pt>
                <c:pt idx="4">
                  <c:v>1.6759238333333333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5C2-234A-AE86-3F2663689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221152"/>
        <c:axId val="1714403024"/>
      </c:scatterChart>
      <c:valAx>
        <c:axId val="1714221152"/>
        <c:scaling>
          <c:orientation val="minMax"/>
          <c:max val="10"/>
          <c:min val="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>
                    <a:solidFill>
                      <a:schemeClr val="tx1"/>
                    </a:solidFill>
                  </a:rPr>
                  <a:t>n</a:t>
                </a:r>
                <a:r>
                  <a:rPr lang="en-US" altLang="ja-JP" baseline="0">
                    <a:solidFill>
                      <a:schemeClr val="tx1"/>
                    </a:solidFill>
                  </a:rPr>
                  <a:t> [</a:t>
                </a:r>
                <a:r>
                  <a:rPr lang="ja-JP" altLang="en-US" baseline="0">
                    <a:solidFill>
                      <a:schemeClr val="tx1"/>
                    </a:solidFill>
                  </a:rPr>
                  <a:t>人</a:t>
                </a:r>
                <a:r>
                  <a:rPr lang="en-US" altLang="ja-JP" baseline="0">
                    <a:solidFill>
                      <a:schemeClr val="tx1"/>
                    </a:solidFill>
                  </a:rPr>
                  <a:t>]</a:t>
                </a:r>
                <a:endParaRPr lang="ja-JP" alt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9348450162807012"/>
              <c:y val="0.91924624286989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403024"/>
        <c:crosses val="autoZero"/>
        <c:crossBetween val="midCat"/>
      </c:valAx>
      <c:valAx>
        <c:axId val="1714403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>
                    <a:solidFill>
                      <a:schemeClr val="tx1"/>
                    </a:solidFill>
                  </a:rPr>
                  <a:t>Gas</a:t>
                </a:r>
                <a:r>
                  <a:rPr lang="en-US" altLang="ja-JP" baseline="0">
                    <a:solidFill>
                      <a:schemeClr val="tx1"/>
                    </a:solidFill>
                  </a:rPr>
                  <a:t> [Mwei}</a:t>
                </a:r>
                <a:endParaRPr lang="ja-JP" alt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118665168540282E-2"/>
              <c:y val="0.355326450693254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2211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legendEntry>
      <c:layout>
        <c:manualLayout>
          <c:xMode val="edge"/>
          <c:yMode val="edge"/>
          <c:x val="0.6124575309456074"/>
          <c:y val="0.13442531120021209"/>
          <c:w val="0.13687443382596659"/>
          <c:h val="0.13803777595285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23960967203502"/>
          <c:y val="5.2309793801308159E-2"/>
          <c:w val="0.85241859554770805"/>
          <c:h val="0.7903917056902859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まとめ!$A$2</c:f>
              <c:strCache>
                <c:ptCount val="1"/>
                <c:pt idx="0">
                  <c:v>ザラ場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まとめ!$H$3:$L$3</c:f>
              <c:numCache>
                <c:formatCode>General</c:formatCode>
                <c:ptCount val="5"/>
                <c:pt idx="0">
                  <c:v>8.0068730000000006</c:v>
                </c:pt>
                <c:pt idx="1">
                  <c:v>8.5050489999999996</c:v>
                </c:pt>
                <c:pt idx="2">
                  <c:v>9.3357770000000002</c:v>
                </c:pt>
                <c:pt idx="3">
                  <c:v>9.9479389999999999</c:v>
                </c:pt>
                <c:pt idx="4">
                  <c:v>10.63833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5C2-234A-AE86-3F2663689F19}"/>
            </c:ext>
          </c:extLst>
        </c:ser>
        <c:ser>
          <c:idx val="3"/>
          <c:order val="1"/>
          <c:tx>
            <c:strRef>
              <c:f>まとめ!$A$3</c:f>
              <c:strCache>
                <c:ptCount val="1"/>
                <c:pt idx="0">
                  <c:v>板寄せ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まとめ!$H$4:$L$4</c:f>
              <c:numCache>
                <c:formatCode>General</c:formatCode>
                <c:ptCount val="5"/>
                <c:pt idx="0">
                  <c:v>8.1846119999999996</c:v>
                </c:pt>
                <c:pt idx="1">
                  <c:v>8.5809160000000002</c:v>
                </c:pt>
                <c:pt idx="2">
                  <c:v>9.0699109999999994</c:v>
                </c:pt>
                <c:pt idx="3">
                  <c:v>9.5165880000000005</c:v>
                </c:pt>
                <c:pt idx="4">
                  <c:v>10.055543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5C2-234A-AE86-3F2663689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221152"/>
        <c:axId val="1714403024"/>
      </c:scatterChart>
      <c:valAx>
        <c:axId val="1714221152"/>
        <c:scaling>
          <c:orientation val="minMax"/>
          <c:max val="10"/>
          <c:min val="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n [</a:t>
                </a:r>
                <a:r>
                  <a:rPr lang="ja-JP" altLang="en-US"/>
                  <a:t>人</a:t>
                </a:r>
                <a:r>
                  <a:rPr lang="en-US" altLang="ja-JP"/>
                  <a:t>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9348450162807012"/>
              <c:y val="0.91924624286989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403024"/>
        <c:crosses val="autoZero"/>
        <c:crossBetween val="midCat"/>
      </c:valAx>
      <c:valAx>
        <c:axId val="1714403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Gas</a:t>
                </a:r>
                <a:r>
                  <a:rPr lang="ja-JP" altLang="en-US"/>
                  <a:t> </a:t>
                </a:r>
                <a:r>
                  <a:rPr lang="en-US" altLang="ja-JP"/>
                  <a:t>[Mwei]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3118665168540282E-2"/>
              <c:y val="0.355326450693254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2211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legendEntry>
      <c:layout>
        <c:manualLayout>
          <c:xMode val="edge"/>
          <c:yMode val="edge"/>
          <c:x val="0.64013276285952248"/>
          <c:y val="0.46291004895656562"/>
          <c:w val="0.25355814998536802"/>
          <c:h val="0.13594269593609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Ether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まとめ!$A$8</c:f>
              <c:strCache>
                <c:ptCount val="1"/>
                <c:pt idx="0">
                  <c:v>ザラバgas*costEther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まとめ!$B$8:$F$8</c:f>
              <c:numCache>
                <c:formatCode>#,##0.00_ </c:formatCode>
                <c:ptCount val="5"/>
                <c:pt idx="0">
                  <c:v>1.1337732168000001</c:v>
                </c:pt>
                <c:pt idx="1">
                  <c:v>1.2043149384</c:v>
                </c:pt>
                <c:pt idx="2">
                  <c:v>1.3219460232</c:v>
                </c:pt>
                <c:pt idx="3">
                  <c:v>1.4086281624000001</c:v>
                </c:pt>
                <c:pt idx="4">
                  <c:v>1.5063875280000001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A0-8241-8682-1AF711553564}"/>
            </c:ext>
          </c:extLst>
        </c:ser>
        <c:ser>
          <c:idx val="1"/>
          <c:order val="1"/>
          <c:tx>
            <c:strRef>
              <c:f>まとめ!$A$9</c:f>
              <c:strCache>
                <c:ptCount val="1"/>
                <c:pt idx="0">
                  <c:v>板寄せgas*costEther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まとめ!$B$9:$F$9</c:f>
              <c:numCache>
                <c:formatCode>#,##0.00_ </c:formatCode>
                <c:ptCount val="5"/>
                <c:pt idx="0">
                  <c:v>1.1589410592</c:v>
                </c:pt>
                <c:pt idx="1">
                  <c:v>1.2150577056</c:v>
                </c:pt>
                <c:pt idx="2">
                  <c:v>1.2842993975999999</c:v>
                </c:pt>
                <c:pt idx="3">
                  <c:v>1.3475488607999999</c:v>
                </c:pt>
                <c:pt idx="4">
                  <c:v>1.4238648888000001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A0-8241-8682-1AF711553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221152"/>
        <c:axId val="1714403024"/>
      </c:scatterChart>
      <c:valAx>
        <c:axId val="17142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403024"/>
        <c:crosses val="autoZero"/>
        <c:crossBetween val="midCat"/>
      </c:valAx>
      <c:valAx>
        <c:axId val="17144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22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円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まとめ!$A$10</c:f>
              <c:strCache>
                <c:ptCount val="1"/>
                <c:pt idx="0">
                  <c:v>ザラバgas*cost円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まとめ!$B$10:$F$10</c:f>
              <c:numCache>
                <c:formatCode>#,##0.00_ </c:formatCode>
                <c:ptCount val="5"/>
                <c:pt idx="0">
                  <c:v>511392.89917957858</c:v>
                </c:pt>
                <c:pt idx="1">
                  <c:v>543211.02205247607</c:v>
                </c:pt>
                <c:pt idx="2">
                  <c:v>596268.98867061187</c:v>
                </c:pt>
                <c:pt idx="3">
                  <c:v>635367.31081804319</c:v>
                </c:pt>
                <c:pt idx="4">
                  <c:v>679462.05979901098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B-1242-8511-5AF8A73227AA}"/>
            </c:ext>
          </c:extLst>
        </c:ser>
        <c:ser>
          <c:idx val="1"/>
          <c:order val="1"/>
          <c:tx>
            <c:strRef>
              <c:f>まとめ!$A$11</c:f>
              <c:strCache>
                <c:ptCount val="1"/>
                <c:pt idx="0">
                  <c:v>板寄せgas*cost円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まとめ!$B$11:$F$11</c:f>
              <c:numCache>
                <c:formatCode>#,##0.00_ </c:formatCode>
                <c:ptCount val="5"/>
                <c:pt idx="0">
                  <c:v>522744.95415875444</c:v>
                </c:pt>
                <c:pt idx="1">
                  <c:v>548056.58973939426</c:v>
                </c:pt>
                <c:pt idx="2">
                  <c:v>579288.32911309449</c:v>
                </c:pt>
                <c:pt idx="3">
                  <c:v>607817.24995732878</c:v>
                </c:pt>
                <c:pt idx="4">
                  <c:v>642239.89659819973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B-1242-8511-5AF8A732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221152"/>
        <c:axId val="1714403024"/>
      </c:scatterChart>
      <c:valAx>
        <c:axId val="17142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403024"/>
        <c:crosses val="autoZero"/>
        <c:crossBetween val="midCat"/>
      </c:valAx>
      <c:valAx>
        <c:axId val="17144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22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円</a:t>
            </a:r>
            <a:r>
              <a:rPr lang="en-US" altLang="ja-JP"/>
              <a:t>/</a:t>
            </a:r>
            <a:r>
              <a:rPr lang="ja-JP" altLang="en-US"/>
              <a:t>取引件数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まとめ!$A$12</c:f>
              <c:strCache>
                <c:ptCount val="1"/>
                <c:pt idx="0">
                  <c:v>ザラバ円/取引数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まとめ!$B$12:$F$12</c:f>
              <c:numCache>
                <c:formatCode>#,##0.00_ </c:formatCode>
                <c:ptCount val="5"/>
                <c:pt idx="0">
                  <c:v>170464.29972652619</c:v>
                </c:pt>
                <c:pt idx="1">
                  <c:v>181070.3406841587</c:v>
                </c:pt>
                <c:pt idx="2">
                  <c:v>119253.79773412237</c:v>
                </c:pt>
                <c:pt idx="3">
                  <c:v>127073.46216360864</c:v>
                </c:pt>
                <c:pt idx="4">
                  <c:v>75495.784422112338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A7-3244-8391-036E30EBE66E}"/>
            </c:ext>
          </c:extLst>
        </c:ser>
        <c:ser>
          <c:idx val="1"/>
          <c:order val="1"/>
          <c:tx>
            <c:strRef>
              <c:f>まとめ!$A$13</c:f>
              <c:strCache>
                <c:ptCount val="1"/>
                <c:pt idx="0">
                  <c:v>板寄せ円/取引数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まとめ!$B$1:$F$1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</c:numCache>
            </c:numRef>
          </c:xVal>
          <c:yVal>
            <c:numRef>
              <c:f>まとめ!$B$13:$F$13</c:f>
              <c:numCache>
                <c:formatCode>#,##0.00_ </c:formatCode>
                <c:ptCount val="5"/>
                <c:pt idx="0">
                  <c:v>174248.31805291816</c:v>
                </c:pt>
                <c:pt idx="1">
                  <c:v>182685.52991313141</c:v>
                </c:pt>
                <c:pt idx="2">
                  <c:v>115857.6658226189</c:v>
                </c:pt>
                <c:pt idx="3">
                  <c:v>121563.44999146575</c:v>
                </c:pt>
                <c:pt idx="4">
                  <c:v>107039.98276636662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A7-3244-8391-036E30EBE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221152"/>
        <c:axId val="1714403024"/>
      </c:scatterChart>
      <c:valAx>
        <c:axId val="17142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403024"/>
        <c:crosses val="autoZero"/>
        <c:crossBetween val="midCat"/>
      </c:valAx>
      <c:valAx>
        <c:axId val="17144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22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25890195491253"/>
          <c:y val="5.1374686584991822E-2"/>
          <c:w val="0.86173665517184372"/>
          <c:h val="0.629095724611085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'Gas Price AVG'!$B$2:$B$31</c:f>
              <c:numCache>
                <c:formatCode>m/d/yy</c:formatCode>
                <c:ptCount val="30"/>
                <c:pt idx="0">
                  <c:v>44530</c:v>
                </c:pt>
                <c:pt idx="1">
                  <c:v>44529</c:v>
                </c:pt>
                <c:pt idx="2">
                  <c:v>44528</c:v>
                </c:pt>
                <c:pt idx="3">
                  <c:v>44527</c:v>
                </c:pt>
                <c:pt idx="4">
                  <c:v>44526</c:v>
                </c:pt>
                <c:pt idx="5">
                  <c:v>44525</c:v>
                </c:pt>
                <c:pt idx="6">
                  <c:v>44524</c:v>
                </c:pt>
                <c:pt idx="7">
                  <c:v>44523</c:v>
                </c:pt>
                <c:pt idx="8">
                  <c:v>44522</c:v>
                </c:pt>
                <c:pt idx="9">
                  <c:v>44521</c:v>
                </c:pt>
                <c:pt idx="10">
                  <c:v>44520</c:v>
                </c:pt>
                <c:pt idx="11">
                  <c:v>44519</c:v>
                </c:pt>
                <c:pt idx="12">
                  <c:v>44518</c:v>
                </c:pt>
                <c:pt idx="13">
                  <c:v>44517</c:v>
                </c:pt>
                <c:pt idx="14">
                  <c:v>44516</c:v>
                </c:pt>
                <c:pt idx="15">
                  <c:v>44515</c:v>
                </c:pt>
                <c:pt idx="16">
                  <c:v>44514</c:v>
                </c:pt>
                <c:pt idx="17">
                  <c:v>44513</c:v>
                </c:pt>
                <c:pt idx="18">
                  <c:v>44512</c:v>
                </c:pt>
                <c:pt idx="19">
                  <c:v>44511</c:v>
                </c:pt>
                <c:pt idx="20">
                  <c:v>44510</c:v>
                </c:pt>
                <c:pt idx="21">
                  <c:v>44509</c:v>
                </c:pt>
                <c:pt idx="22">
                  <c:v>44508</c:v>
                </c:pt>
                <c:pt idx="23">
                  <c:v>44507</c:v>
                </c:pt>
                <c:pt idx="24">
                  <c:v>44506</c:v>
                </c:pt>
                <c:pt idx="25">
                  <c:v>44505</c:v>
                </c:pt>
                <c:pt idx="26">
                  <c:v>44504</c:v>
                </c:pt>
                <c:pt idx="27">
                  <c:v>44503</c:v>
                </c:pt>
                <c:pt idx="28">
                  <c:v>44502</c:v>
                </c:pt>
                <c:pt idx="29">
                  <c:v>44501</c:v>
                </c:pt>
              </c:numCache>
            </c:numRef>
          </c:cat>
          <c:val>
            <c:numRef>
              <c:f>'Gas Price AVG'!$C$2:$C$31</c:f>
              <c:numCache>
                <c:formatCode>General</c:formatCode>
                <c:ptCount val="30"/>
                <c:pt idx="0">
                  <c:v>142.41999999999999</c:v>
                </c:pt>
                <c:pt idx="1">
                  <c:v>128.93</c:v>
                </c:pt>
                <c:pt idx="2">
                  <c:v>119.12</c:v>
                </c:pt>
                <c:pt idx="3">
                  <c:v>126.86</c:v>
                </c:pt>
                <c:pt idx="4">
                  <c:v>120.3</c:v>
                </c:pt>
                <c:pt idx="5">
                  <c:v>129.47999999999999</c:v>
                </c:pt>
                <c:pt idx="6">
                  <c:v>136.33000000000001</c:v>
                </c:pt>
                <c:pt idx="7">
                  <c:v>140.44999999999999</c:v>
                </c:pt>
                <c:pt idx="8">
                  <c:v>151.88</c:v>
                </c:pt>
                <c:pt idx="9">
                  <c:v>112.07</c:v>
                </c:pt>
                <c:pt idx="10">
                  <c:v>109.74</c:v>
                </c:pt>
                <c:pt idx="11">
                  <c:v>127.11</c:v>
                </c:pt>
                <c:pt idx="12">
                  <c:v>149.6</c:v>
                </c:pt>
                <c:pt idx="13">
                  <c:v>137.44</c:v>
                </c:pt>
                <c:pt idx="14">
                  <c:v>150.72999999999999</c:v>
                </c:pt>
                <c:pt idx="15">
                  <c:v>159.57</c:v>
                </c:pt>
                <c:pt idx="16">
                  <c:v>118.46</c:v>
                </c:pt>
                <c:pt idx="17">
                  <c:v>136.56</c:v>
                </c:pt>
                <c:pt idx="18">
                  <c:v>154.77000000000001</c:v>
                </c:pt>
                <c:pt idx="19">
                  <c:v>167.06</c:v>
                </c:pt>
                <c:pt idx="20">
                  <c:v>173.9</c:v>
                </c:pt>
                <c:pt idx="21">
                  <c:v>181.38</c:v>
                </c:pt>
                <c:pt idx="22">
                  <c:v>133.38</c:v>
                </c:pt>
                <c:pt idx="23">
                  <c:v>104.34</c:v>
                </c:pt>
                <c:pt idx="24">
                  <c:v>118.06</c:v>
                </c:pt>
                <c:pt idx="25">
                  <c:v>141.36000000000001</c:v>
                </c:pt>
                <c:pt idx="26">
                  <c:v>153.5</c:v>
                </c:pt>
                <c:pt idx="27">
                  <c:v>170.82</c:v>
                </c:pt>
                <c:pt idx="28">
                  <c:v>184.01</c:v>
                </c:pt>
                <c:pt idx="29">
                  <c:v>166.95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4-3C4B-B6AA-45E5D8A68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4048576"/>
        <c:axId val="1648997376"/>
      </c:lineChart>
      <c:dateAx>
        <c:axId val="166404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日付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48997376"/>
        <c:crosses val="autoZero"/>
        <c:auto val="1"/>
        <c:lblOffset val="100"/>
        <c:baseTimeUnit val="days"/>
      </c:dateAx>
      <c:valAx>
        <c:axId val="1648997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Gas Price</a:t>
                </a:r>
                <a:r>
                  <a:rPr lang="en-US" altLang="ja-JP" baseline="0"/>
                  <a:t> [Gwei]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4048576"/>
        <c:crosses val="autoZero"/>
        <c:crossBetween val="between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3</xdr:row>
      <xdr:rowOff>12700</xdr:rowOff>
    </xdr:from>
    <xdr:to>
      <xdr:col>16</xdr:col>
      <xdr:colOff>723900</xdr:colOff>
      <xdr:row>19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406400</xdr:colOff>
      <xdr:row>20</xdr:row>
      <xdr:rowOff>107950</xdr:rowOff>
    </xdr:from>
    <xdr:to>
      <xdr:col>16</xdr:col>
      <xdr:colOff>647700</xdr:colOff>
      <xdr:row>37</xdr:row>
      <xdr:rowOff>12700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685800</xdr:colOff>
      <xdr:row>27</xdr:row>
      <xdr:rowOff>165100</xdr:rowOff>
    </xdr:from>
    <xdr:to>
      <xdr:col>6</xdr:col>
      <xdr:colOff>1515205</xdr:colOff>
      <xdr:row>40</xdr:row>
      <xdr:rowOff>91830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461276" y="7119862"/>
          <a:ext cx="4155596" cy="3283158"/>
          <a:chOff x="6223000" y="7124700"/>
          <a:chExt cx="4156805" cy="3241430"/>
        </a:xfrm>
      </xdr:grpSpPr>
      <xdr:pic>
        <xdr:nvPicPr>
          <xdr:cNvPr id="4" name="図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223000" y="7124700"/>
            <a:ext cx="4156805" cy="3241430"/>
          </a:xfrm>
          <a:prstGeom prst="rect">
            <a:avLst/>
          </a:prstGeom>
        </xdr:spPr>
      </xdr:pic>
      <xdr:sp macro="" textlink="">
        <xdr:nvSpPr>
          <xdr:cNvPr id="5" name="テキスト ボック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7874000" y="8851900"/>
            <a:ext cx="317500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/>
              <a:t>①</a:t>
            </a:r>
          </a:p>
        </xdr:txBody>
      </xdr:sp>
      <xdr:sp macro="" textlink="">
        <xdr:nvSpPr>
          <xdr:cNvPr id="6" name="テキスト ボックス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6870700" y="8293100"/>
            <a:ext cx="317500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/>
              <a:t>②</a:t>
            </a:r>
          </a:p>
        </xdr:txBody>
      </xdr:sp>
      <xdr:sp macro="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686800" y="8318500"/>
            <a:ext cx="317500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/>
              <a:t>③</a:t>
            </a:r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6896100" y="9436100"/>
            <a:ext cx="317500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/>
              <a:t>④</a:t>
            </a:r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8763000" y="9461500"/>
            <a:ext cx="317500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/>
              <a:t>⑤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939800</xdr:colOff>
          <xdr:row>38</xdr:row>
          <xdr:rowOff>215900</xdr:rowOff>
        </xdr:from>
        <xdr:to>
          <xdr:col>3</xdr:col>
          <xdr:colOff>25400</xdr:colOff>
          <xdr:row>41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正規分布に基づいた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927100</xdr:colOff>
          <xdr:row>49</xdr:row>
          <xdr:rowOff>215900</xdr:rowOff>
        </xdr:from>
        <xdr:to>
          <xdr:col>2</xdr:col>
          <xdr:colOff>1816100</xdr:colOff>
          <xdr:row>51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次のユーザーの生成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1084748</xdr:colOff>
      <xdr:row>84</xdr:row>
      <xdr:rowOff>174337</xdr:rowOff>
    </xdr:from>
    <xdr:to>
      <xdr:col>10</xdr:col>
      <xdr:colOff>621110</xdr:colOff>
      <xdr:row>95</xdr:row>
      <xdr:rowOff>155094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1303868</xdr:colOff>
      <xdr:row>108</xdr:row>
      <xdr:rowOff>16934</xdr:rowOff>
    </xdr:from>
    <xdr:to>
      <xdr:col>10</xdr:col>
      <xdr:colOff>694268</xdr:colOff>
      <xdr:row>120</xdr:row>
      <xdr:rowOff>126999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18</xdr:col>
      <xdr:colOff>203200</xdr:colOff>
      <xdr:row>2</xdr:row>
      <xdr:rowOff>203200</xdr:rowOff>
    </xdr:from>
    <xdr:to>
      <xdr:col>21</xdr:col>
      <xdr:colOff>825500</xdr:colOff>
      <xdr:row>37</xdr:row>
      <xdr:rowOff>88900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806400" y="711200"/>
          <a:ext cx="4432300" cy="877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131948</xdr:colOff>
      <xdr:row>14</xdr:row>
      <xdr:rowOff>196850</xdr:rowOff>
    </xdr:from>
    <xdr:to>
      <xdr:col>4</xdr:col>
      <xdr:colOff>445325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156296</xdr:colOff>
      <xdr:row>27</xdr:row>
      <xdr:rowOff>220316</xdr:rowOff>
    </xdr:from>
    <xdr:to>
      <xdr:col>4</xdr:col>
      <xdr:colOff>478551</xdr:colOff>
      <xdr:row>40</xdr:row>
      <xdr:rowOff>92029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907144</xdr:colOff>
      <xdr:row>10</xdr:row>
      <xdr:rowOff>113145</xdr:rowOff>
    </xdr:from>
    <xdr:to>
      <xdr:col>10</xdr:col>
      <xdr:colOff>1665020</xdr:colOff>
      <xdr:row>21</xdr:row>
      <xdr:rowOff>73725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894802</xdr:colOff>
      <xdr:row>22</xdr:row>
      <xdr:rowOff>169583</xdr:rowOff>
    </xdr:from>
    <xdr:to>
      <xdr:col>10</xdr:col>
      <xdr:colOff>1375161</xdr:colOff>
      <xdr:row>33</xdr:row>
      <xdr:rowOff>118782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1919021</xdr:colOff>
      <xdr:row>10</xdr:row>
      <xdr:rowOff>133431</xdr:rowOff>
    </xdr:from>
    <xdr:to>
      <xdr:col>15</xdr:col>
      <xdr:colOff>509321</xdr:colOff>
      <xdr:row>21</xdr:row>
      <xdr:rowOff>94011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</xdr:colOff>
      <xdr:row>9</xdr:row>
      <xdr:rowOff>12700</xdr:rowOff>
    </xdr:from>
    <xdr:to>
      <xdr:col>9</xdr:col>
      <xdr:colOff>635000</xdr:colOff>
      <xdr:row>19</xdr:row>
      <xdr:rowOff>215900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selectra.jp/energy/guides/ryokin/1kwh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623F-A7EA-AC42-8CAA-FAC79484565C}">
  <sheetPr codeName="Sheet1"/>
  <dimension ref="A3:AC183"/>
  <sheetViews>
    <sheetView showGridLines="0" topLeftCell="Q7" zoomScale="84" zoomScaleNormal="68" workbookViewId="0">
      <selection activeCell="H52" sqref="H52:J53"/>
    </sheetView>
  </sheetViews>
  <sheetFormatPr baseColWidth="10" defaultRowHeight="20"/>
  <cols>
    <col min="3" max="3" width="23.28515625" bestFit="1" customWidth="1"/>
    <col min="4" max="4" width="20.28515625" bestFit="1" customWidth="1"/>
    <col min="5" max="5" width="13.85546875" customWidth="1"/>
    <col min="6" max="6" width="23.5703125" customWidth="1"/>
    <col min="7" max="7" width="20.28515625" bestFit="1" customWidth="1"/>
    <col min="8" max="8" width="13.42578125" bestFit="1" customWidth="1"/>
    <col min="9" max="9" width="14.85546875" bestFit="1" customWidth="1"/>
    <col min="10" max="10" width="24.42578125" bestFit="1" customWidth="1"/>
    <col min="11" max="11" width="13.85546875" bestFit="1" customWidth="1"/>
    <col min="12" max="12" width="15.42578125" bestFit="1" customWidth="1"/>
    <col min="13" max="13" width="13.85546875" bestFit="1" customWidth="1"/>
    <col min="15" max="15" width="15.140625" bestFit="1" customWidth="1"/>
    <col min="16" max="16" width="15.42578125" bestFit="1" customWidth="1"/>
    <col min="17" max="17" width="13.85546875" bestFit="1" customWidth="1"/>
    <col min="18" max="18" width="13.28515625" bestFit="1" customWidth="1"/>
    <col min="19" max="19" width="15.42578125" bestFit="1" customWidth="1"/>
    <col min="20" max="20" width="14.42578125" bestFit="1" customWidth="1"/>
    <col min="21" max="21" width="13.28515625" bestFit="1" customWidth="1"/>
  </cols>
  <sheetData>
    <row r="3" spans="3:7">
      <c r="C3" t="s">
        <v>12</v>
      </c>
      <c r="F3" t="s">
        <v>75</v>
      </c>
    </row>
    <row r="4" spans="3:7">
      <c r="C4" s="56" t="s">
        <v>17</v>
      </c>
      <c r="D4" s="56" t="s">
        <v>1</v>
      </c>
      <c r="F4" s="56" t="s">
        <v>0</v>
      </c>
      <c r="G4" s="56" t="s">
        <v>1</v>
      </c>
    </row>
    <row r="5" spans="3:7">
      <c r="C5" s="2">
        <v>26</v>
      </c>
      <c r="D5" s="2">
        <f>_xlfn.STDEV.P(C8:C20)</f>
        <v>3.7416573867739413</v>
      </c>
      <c r="F5" s="2">
        <v>39</v>
      </c>
      <c r="G5" s="2">
        <f>_xlfn.STDEV.P(F8:F20)</f>
        <v>3.7416573867739413</v>
      </c>
    </row>
    <row r="6" spans="3:7">
      <c r="C6" s="1"/>
      <c r="D6" s="1"/>
      <c r="F6" s="1"/>
      <c r="G6" s="1"/>
    </row>
    <row r="7" spans="3:7">
      <c r="C7" s="57" t="s">
        <v>2</v>
      </c>
      <c r="D7" s="56" t="s">
        <v>3</v>
      </c>
      <c r="F7" s="56" t="s">
        <v>2</v>
      </c>
      <c r="G7" s="57" t="s">
        <v>3</v>
      </c>
    </row>
    <row r="8" spans="3:7">
      <c r="C8" s="58">
        <v>20</v>
      </c>
      <c r="D8" s="4">
        <f>_xlfn.NORM.DIST(C8,$C$5,$D$5,FALSE)</f>
        <v>2.9475924021309996E-2</v>
      </c>
      <c r="F8" s="58">
        <v>33</v>
      </c>
      <c r="G8" s="14">
        <f>_xlfn.NORM.DIST(F8,$F$5,$G$5,FALSE)</f>
        <v>2.9475924021309996E-2</v>
      </c>
    </row>
    <row r="9" spans="3:7">
      <c r="C9" s="59">
        <v>21</v>
      </c>
      <c r="D9" s="6">
        <f t="shared" ref="D9:D20" si="0">_xlfn.NORM.DIST(C9,$C$5,$D$5,FALSE)</f>
        <v>4.3659938308066033E-2</v>
      </c>
      <c r="F9" s="59">
        <v>34</v>
      </c>
      <c r="G9" s="9">
        <f t="shared" ref="G9:G20" si="1">_xlfn.NORM.DIST(F9,$F$5,$G$5,FALSE)</f>
        <v>4.3659938308066033E-2</v>
      </c>
    </row>
    <row r="10" spans="3:7">
      <c r="C10" s="59">
        <v>22</v>
      </c>
      <c r="D10" s="6">
        <f t="shared" si="0"/>
        <v>6.0211267919437976E-2</v>
      </c>
      <c r="F10" s="59">
        <v>35</v>
      </c>
      <c r="G10" s="9">
        <f t="shared" si="1"/>
        <v>6.0211267919437976E-2</v>
      </c>
    </row>
    <row r="11" spans="3:7">
      <c r="C11" s="59">
        <v>23</v>
      </c>
      <c r="D11" s="6">
        <f t="shared" si="0"/>
        <v>7.7312798379553599E-2</v>
      </c>
      <c r="F11" s="59">
        <v>36</v>
      </c>
      <c r="G11" s="9">
        <f>_xlfn.NORM.DIST(F11,$F$5,$G$5,FALSE)</f>
        <v>7.7312798379553599E-2</v>
      </c>
    </row>
    <row r="12" spans="3:7">
      <c r="C12" s="59">
        <v>24</v>
      </c>
      <c r="D12" s="6">
        <f t="shared" si="0"/>
        <v>9.2428090123484144E-2</v>
      </c>
      <c r="F12" s="59">
        <v>37</v>
      </c>
      <c r="G12" s="9">
        <f t="shared" si="1"/>
        <v>9.2428090123484144E-2</v>
      </c>
    </row>
    <row r="13" spans="3:7">
      <c r="C13" s="59">
        <v>25</v>
      </c>
      <c r="D13" s="6">
        <f t="shared" si="0"/>
        <v>0.10288108382245968</v>
      </c>
      <c r="F13" s="59">
        <v>38</v>
      </c>
      <c r="G13" s="9">
        <f t="shared" si="1"/>
        <v>0.10288108382245968</v>
      </c>
    </row>
    <row r="14" spans="3:7">
      <c r="C14" s="59">
        <v>26</v>
      </c>
      <c r="D14" s="6">
        <f t="shared" si="0"/>
        <v>0.10662180931146155</v>
      </c>
      <c r="F14" s="59">
        <v>39</v>
      </c>
      <c r="G14" s="9">
        <f t="shared" si="1"/>
        <v>0.10662180931146155</v>
      </c>
    </row>
    <row r="15" spans="3:7">
      <c r="C15" s="59">
        <v>27</v>
      </c>
      <c r="D15" s="6">
        <f t="shared" si="0"/>
        <v>0.10288108382245968</v>
      </c>
      <c r="F15" s="59">
        <v>40</v>
      </c>
      <c r="G15" s="9">
        <f t="shared" si="1"/>
        <v>0.10288108382245968</v>
      </c>
    </row>
    <row r="16" spans="3:7">
      <c r="C16" s="59">
        <v>28</v>
      </c>
      <c r="D16" s="6">
        <f t="shared" si="0"/>
        <v>9.2428090123484144E-2</v>
      </c>
      <c r="F16" s="59">
        <v>41</v>
      </c>
      <c r="G16" s="9">
        <f t="shared" si="1"/>
        <v>9.2428090123484144E-2</v>
      </c>
    </row>
    <row r="17" spans="3:7">
      <c r="C17" s="59">
        <v>29</v>
      </c>
      <c r="D17" s="6">
        <f t="shared" si="0"/>
        <v>7.7312798379553599E-2</v>
      </c>
      <c r="F17" s="59">
        <v>42</v>
      </c>
      <c r="G17" s="9">
        <f t="shared" si="1"/>
        <v>7.7312798379553599E-2</v>
      </c>
    </row>
    <row r="18" spans="3:7">
      <c r="C18" s="59">
        <v>30</v>
      </c>
      <c r="D18" s="6">
        <f t="shared" si="0"/>
        <v>6.0211267919437976E-2</v>
      </c>
      <c r="F18" s="59">
        <v>43</v>
      </c>
      <c r="G18" s="9">
        <f t="shared" si="1"/>
        <v>6.0211267919437976E-2</v>
      </c>
    </row>
    <row r="19" spans="3:7">
      <c r="C19" s="59">
        <v>31</v>
      </c>
      <c r="D19" s="6">
        <f t="shared" si="0"/>
        <v>4.3659938308066033E-2</v>
      </c>
      <c r="F19" s="59">
        <v>44</v>
      </c>
      <c r="G19" s="9">
        <f t="shared" si="1"/>
        <v>4.3659938308066033E-2</v>
      </c>
    </row>
    <row r="20" spans="3:7">
      <c r="C20" s="60">
        <v>32</v>
      </c>
      <c r="D20" s="10">
        <f t="shared" si="0"/>
        <v>2.9475924021309996E-2</v>
      </c>
      <c r="F20" s="60">
        <v>45</v>
      </c>
      <c r="G20" s="10">
        <f t="shared" si="1"/>
        <v>2.9475924021309996E-2</v>
      </c>
    </row>
    <row r="21" spans="3:7">
      <c r="C21" s="15"/>
      <c r="D21" s="15"/>
      <c r="F21" t="s">
        <v>18</v>
      </c>
    </row>
    <row r="22" spans="3:7">
      <c r="C22" s="15"/>
      <c r="D22" s="15"/>
      <c r="F22" s="18" t="s">
        <v>20</v>
      </c>
      <c r="G22" s="11"/>
    </row>
    <row r="23" spans="3:7">
      <c r="C23" s="55" t="s">
        <v>4</v>
      </c>
      <c r="D23" s="56" t="s">
        <v>8</v>
      </c>
    </row>
    <row r="24" spans="3:7">
      <c r="C24" s="5" t="s">
        <v>5</v>
      </c>
      <c r="D24" s="9">
        <v>19.88</v>
      </c>
      <c r="F24" s="11"/>
      <c r="G24" s="11"/>
    </row>
    <row r="25" spans="3:7">
      <c r="C25" s="5" t="s">
        <v>6</v>
      </c>
      <c r="D25" s="9">
        <v>26.48</v>
      </c>
      <c r="F25" s="11"/>
      <c r="G25" s="11"/>
    </row>
    <row r="26" spans="3:7">
      <c r="C26" s="7" t="s">
        <v>7</v>
      </c>
      <c r="D26" s="10">
        <v>30.57</v>
      </c>
      <c r="F26" s="11"/>
      <c r="G26" s="11"/>
    </row>
    <row r="27" spans="3:7" ht="21" thickBot="1">
      <c r="C27" s="11" t="s">
        <v>11</v>
      </c>
      <c r="D27" s="1">
        <f>AVERAGE(D24:D26)</f>
        <v>25.643333333333334</v>
      </c>
      <c r="F27" s="11" t="s">
        <v>19</v>
      </c>
      <c r="G27" s="11"/>
    </row>
    <row r="28" spans="3:7" ht="21" thickBot="1">
      <c r="C28" s="12" t="s">
        <v>9</v>
      </c>
      <c r="D28" t="s">
        <v>10</v>
      </c>
      <c r="F28" s="11"/>
      <c r="G28" s="11"/>
    </row>
    <row r="29" spans="3:7">
      <c r="C29" s="50" t="s">
        <v>43</v>
      </c>
      <c r="D29" s="13"/>
      <c r="F29" s="11"/>
      <c r="G29" s="11"/>
    </row>
    <row r="30" spans="3:7">
      <c r="C30" s="13"/>
      <c r="D30" s="13"/>
      <c r="F30" s="11"/>
      <c r="G30" s="11"/>
    </row>
    <row r="34" spans="3:21">
      <c r="C34" s="16" t="s">
        <v>26</v>
      </c>
    </row>
    <row r="35" spans="3:21">
      <c r="C35" s="2">
        <v>1000</v>
      </c>
    </row>
    <row r="36" spans="3:21">
      <c r="C36" s="16" t="s">
        <v>27</v>
      </c>
    </row>
    <row r="37" spans="3:21">
      <c r="C37" s="2">
        <v>10000</v>
      </c>
      <c r="D37" t="s">
        <v>28</v>
      </c>
    </row>
    <row r="39" spans="3:21">
      <c r="C39" s="13"/>
      <c r="D39" s="15"/>
    </row>
    <row r="40" spans="3:21">
      <c r="C40" s="13"/>
      <c r="D40" s="13"/>
      <c r="L40" t="s">
        <v>40</v>
      </c>
    </row>
    <row r="41" spans="3:21">
      <c r="C41" s="13"/>
      <c r="D41" s="13"/>
    </row>
    <row r="42" spans="3:21">
      <c r="C42" s="13"/>
      <c r="D42" s="13"/>
      <c r="M42" t="s">
        <v>32</v>
      </c>
      <c r="P42" t="s">
        <v>33</v>
      </c>
      <c r="S42" t="s">
        <v>34</v>
      </c>
    </row>
    <row r="43" spans="3:21">
      <c r="C43" s="13" t="s">
        <v>15</v>
      </c>
      <c r="D43" s="13"/>
      <c r="F43" t="s">
        <v>16</v>
      </c>
      <c r="M43" s="16" t="s">
        <v>29</v>
      </c>
      <c r="N43" s="16" t="s">
        <v>30</v>
      </c>
      <c r="O43" s="16" t="s">
        <v>31</v>
      </c>
      <c r="P43" s="16" t="s">
        <v>29</v>
      </c>
      <c r="Q43" s="16" t="s">
        <v>30</v>
      </c>
      <c r="R43" s="16" t="s">
        <v>31</v>
      </c>
      <c r="S43" s="16" t="s">
        <v>29</v>
      </c>
      <c r="T43" s="16" t="s">
        <v>30</v>
      </c>
      <c r="U43" s="16" t="s">
        <v>31</v>
      </c>
    </row>
    <row r="44" spans="3:21">
      <c r="C44" s="16" t="s">
        <v>21</v>
      </c>
      <c r="D44" s="17" t="s">
        <v>23</v>
      </c>
      <c r="F44" s="16" t="s">
        <v>25</v>
      </c>
      <c r="G44" s="17" t="s">
        <v>23</v>
      </c>
      <c r="L44" t="s">
        <v>13</v>
      </c>
      <c r="M44" s="19">
        <v>80000000</v>
      </c>
      <c r="N44" s="19">
        <v>467291</v>
      </c>
      <c r="O44" s="19">
        <v>467291</v>
      </c>
      <c r="P44" s="19" t="e">
        <f>SUM(#REF!,#REF!,#REF!,#REF!)</f>
        <v>#REF!</v>
      </c>
      <c r="Q44" s="19">
        <f>SUM(E68,E72,E76,E80)</f>
        <v>998096</v>
      </c>
      <c r="R44" s="19" t="e">
        <f>SUM(#REF!,#REF!,#REF!,#REF!)</f>
        <v>#REF!</v>
      </c>
      <c r="S44" s="19">
        <f>SUM(C87:C96)</f>
        <v>800000000</v>
      </c>
      <c r="T44" s="19">
        <f>SUM(D87:D96)</f>
        <v>2120580</v>
      </c>
      <c r="U44" s="19">
        <f>SUM(E87:E96)</f>
        <v>2120580</v>
      </c>
    </row>
    <row r="45" spans="3:21">
      <c r="C45" s="9">
        <v>27</v>
      </c>
      <c r="D45" s="6">
        <v>34</v>
      </c>
      <c r="F45" s="9">
        <v>26</v>
      </c>
      <c r="G45" s="6">
        <v>44</v>
      </c>
      <c r="M45" s="3"/>
      <c r="N45" s="3"/>
      <c r="O45" s="3"/>
      <c r="P45" s="3"/>
      <c r="Q45" s="3"/>
      <c r="R45" s="3"/>
      <c r="S45" s="3"/>
      <c r="T45" s="3"/>
      <c r="U45" s="3"/>
    </row>
    <row r="46" spans="3:21">
      <c r="C46" s="9">
        <v>24</v>
      </c>
      <c r="D46" s="6">
        <v>42</v>
      </c>
      <c r="F46" s="9">
        <v>25</v>
      </c>
      <c r="G46" s="6">
        <v>37</v>
      </c>
      <c r="M46" s="3"/>
      <c r="N46" s="3"/>
      <c r="O46" s="3"/>
      <c r="P46" s="3"/>
      <c r="Q46" s="3"/>
      <c r="R46" s="3"/>
      <c r="S46" s="3"/>
      <c r="T46" s="3"/>
      <c r="U46" s="3"/>
    </row>
    <row r="47" spans="3:21">
      <c r="C47" s="9">
        <v>31</v>
      </c>
      <c r="D47" s="6">
        <v>40</v>
      </c>
      <c r="F47" s="9">
        <v>27</v>
      </c>
      <c r="G47" s="6">
        <v>38</v>
      </c>
      <c r="M47" s="3"/>
      <c r="N47" s="3"/>
      <c r="O47" s="3"/>
      <c r="P47" s="3"/>
      <c r="Q47" s="3"/>
      <c r="R47" s="3"/>
      <c r="S47" s="3"/>
      <c r="T47" s="3"/>
      <c r="U47" s="3"/>
    </row>
    <row r="48" spans="3:21">
      <c r="C48" s="9">
        <v>21</v>
      </c>
      <c r="D48" s="6">
        <v>40</v>
      </c>
      <c r="F48" s="9">
        <v>28</v>
      </c>
      <c r="G48" s="6">
        <v>44</v>
      </c>
      <c r="M48" s="3"/>
      <c r="N48" s="3"/>
      <c r="O48" s="3"/>
      <c r="P48" s="3"/>
      <c r="Q48" s="3"/>
      <c r="R48" s="3"/>
      <c r="S48" s="3"/>
      <c r="T48" s="3"/>
      <c r="U48" s="3"/>
    </row>
    <row r="49" spans="2:21">
      <c r="C49" s="10">
        <v>30</v>
      </c>
      <c r="D49" s="8">
        <v>32</v>
      </c>
      <c r="F49" s="10">
        <v>26</v>
      </c>
      <c r="G49" s="8">
        <v>44</v>
      </c>
      <c r="M49" s="3"/>
      <c r="N49" s="3"/>
      <c r="O49" s="3"/>
      <c r="P49" s="3"/>
      <c r="Q49" s="3"/>
      <c r="R49" s="3"/>
      <c r="S49" s="3"/>
      <c r="T49" s="3"/>
      <c r="U49" s="3"/>
    </row>
    <row r="50" spans="2:21">
      <c r="C50" s="15"/>
      <c r="D50" s="15"/>
      <c r="M50" s="3"/>
      <c r="N50" s="3"/>
      <c r="O50" s="3"/>
      <c r="P50" s="3"/>
      <c r="Q50" s="3"/>
      <c r="R50" s="3"/>
      <c r="S50" s="3"/>
      <c r="T50" s="3"/>
      <c r="U50" s="3"/>
    </row>
    <row r="51" spans="2:21">
      <c r="C51" s="13"/>
      <c r="D51" s="13"/>
      <c r="M51" s="3"/>
      <c r="N51" s="3"/>
      <c r="O51" s="3"/>
      <c r="P51" s="3"/>
      <c r="Q51" s="3"/>
      <c r="R51" s="3"/>
      <c r="S51" s="3"/>
      <c r="T51" s="3"/>
      <c r="U51" s="3"/>
    </row>
    <row r="52" spans="2:21">
      <c r="C52" s="13"/>
      <c r="D52" s="13"/>
      <c r="F52" t="s">
        <v>72</v>
      </c>
      <c r="G52" t="s">
        <v>73</v>
      </c>
      <c r="H52" s="3" t="s">
        <v>74</v>
      </c>
      <c r="I52" s="3" t="s">
        <v>73</v>
      </c>
      <c r="J52" s="3" t="s">
        <v>72</v>
      </c>
      <c r="K52" s="34"/>
      <c r="M52" s="3"/>
      <c r="N52" s="3"/>
      <c r="O52" s="3"/>
      <c r="P52" s="3"/>
      <c r="Q52" s="3"/>
      <c r="R52" s="3"/>
      <c r="S52" s="3"/>
      <c r="T52" s="3"/>
      <c r="U52" s="3"/>
    </row>
    <row r="53" spans="2:21">
      <c r="C53" t="s">
        <v>16</v>
      </c>
      <c r="D53" s="13"/>
      <c r="F53">
        <v>1</v>
      </c>
      <c r="G53">
        <v>4.2999999999999999E-13</v>
      </c>
      <c r="H53" s="3">
        <v>1</v>
      </c>
      <c r="I53" s="3">
        <v>23000</v>
      </c>
      <c r="J53" s="54">
        <v>1E+18</v>
      </c>
      <c r="M53" s="3"/>
      <c r="N53" s="3"/>
      <c r="O53" s="3"/>
      <c r="P53" s="3"/>
      <c r="Q53" s="3"/>
      <c r="R53" s="3"/>
      <c r="S53" s="3"/>
      <c r="T53" s="3"/>
      <c r="U53" s="3"/>
    </row>
    <row r="54" spans="2:21">
      <c r="C54" s="16" t="s">
        <v>25</v>
      </c>
      <c r="D54" s="16" t="s">
        <v>23</v>
      </c>
      <c r="F54" t="s">
        <v>76</v>
      </c>
      <c r="H54" s="3">
        <f>(H53/J53*J54)</f>
        <v>8.349956000000001E-12</v>
      </c>
      <c r="I54" s="3">
        <f>H54*I53</f>
        <v>1.9204898800000001E-7</v>
      </c>
      <c r="J54" s="3">
        <f>SUM(D126:D141)</f>
        <v>8349956</v>
      </c>
      <c r="M54" s="3"/>
      <c r="N54" s="3"/>
      <c r="O54" s="3"/>
      <c r="P54" s="3"/>
      <c r="Q54" s="3"/>
      <c r="R54" s="3"/>
      <c r="S54" s="3"/>
      <c r="T54" s="3"/>
      <c r="U54" s="3"/>
    </row>
    <row r="55" spans="2:21">
      <c r="C55" s="2">
        <v>18</v>
      </c>
      <c r="D55" s="2">
        <v>36</v>
      </c>
      <c r="F55" s="61">
        <v>141600000000</v>
      </c>
      <c r="M55" s="3"/>
      <c r="N55" s="3"/>
      <c r="O55" s="3"/>
      <c r="P55" s="3"/>
      <c r="Q55" s="3"/>
      <c r="R55" s="3"/>
      <c r="S55" s="3"/>
      <c r="T55" s="3"/>
      <c r="U55" s="3"/>
    </row>
    <row r="56" spans="2:21" ht="21" thickBot="1">
      <c r="C56" s="13"/>
      <c r="D56" s="13"/>
      <c r="M56" s="3"/>
      <c r="N56" s="3"/>
      <c r="O56" s="3"/>
      <c r="P56" s="3"/>
      <c r="Q56" s="3"/>
      <c r="R56" s="3"/>
      <c r="S56" s="3"/>
      <c r="T56" s="3"/>
      <c r="U56" s="3"/>
    </row>
    <row r="57" spans="2:21">
      <c r="B57" s="25"/>
      <c r="C57" s="26" t="s">
        <v>13</v>
      </c>
      <c r="D57" s="26"/>
      <c r="E57" s="26"/>
      <c r="F57" s="26"/>
      <c r="G57" s="26"/>
      <c r="H57" s="26"/>
      <c r="I57" s="26"/>
      <c r="J57" s="26"/>
      <c r="K57" s="33"/>
      <c r="M57" s="3"/>
      <c r="N57" s="3"/>
      <c r="O57" s="3"/>
      <c r="P57" s="3"/>
      <c r="Q57" s="3"/>
      <c r="R57" s="3"/>
      <c r="S57" s="3"/>
      <c r="T57" s="3"/>
      <c r="U57" s="3"/>
    </row>
    <row r="58" spans="2:21">
      <c r="B58" s="27"/>
      <c r="C58" s="13" t="s">
        <v>15</v>
      </c>
      <c r="D58" s="13"/>
      <c r="E58" s="13"/>
      <c r="F58" s="13" t="s">
        <v>16</v>
      </c>
      <c r="G58" s="13"/>
      <c r="H58" s="13"/>
      <c r="I58" s="13"/>
      <c r="J58" s="13"/>
      <c r="K58" s="28"/>
      <c r="M58" s="3"/>
      <c r="N58" s="3"/>
      <c r="O58" s="3"/>
      <c r="P58" s="3"/>
      <c r="Q58" s="3"/>
      <c r="R58" s="3"/>
      <c r="S58" s="3"/>
      <c r="T58" s="3"/>
      <c r="U58" s="3"/>
    </row>
    <row r="59" spans="2:21">
      <c r="B59" s="27"/>
      <c r="C59" s="16" t="s">
        <v>21</v>
      </c>
      <c r="D59" s="17" t="s">
        <v>23</v>
      </c>
      <c r="E59" s="13"/>
      <c r="F59" s="16" t="s">
        <v>25</v>
      </c>
      <c r="G59" s="17" t="s">
        <v>23</v>
      </c>
      <c r="H59" s="13"/>
      <c r="I59" s="13"/>
      <c r="J59" s="13"/>
      <c r="K59" s="28"/>
      <c r="M59" s="3"/>
      <c r="N59" s="3"/>
      <c r="O59" s="3"/>
      <c r="P59" s="3"/>
      <c r="Q59" s="3"/>
      <c r="R59" s="3"/>
      <c r="S59" s="3"/>
      <c r="T59" s="3"/>
      <c r="U59" s="3"/>
    </row>
    <row r="60" spans="2:21">
      <c r="B60" s="27"/>
      <c r="C60" s="9">
        <v>29</v>
      </c>
      <c r="D60" s="6">
        <v>36</v>
      </c>
      <c r="E60" s="13"/>
      <c r="F60" s="9">
        <v>23</v>
      </c>
      <c r="G60" s="6">
        <v>41</v>
      </c>
      <c r="H60" s="13"/>
      <c r="I60" s="13"/>
      <c r="J60" s="13"/>
      <c r="K60" s="28"/>
    </row>
    <row r="61" spans="2:21">
      <c r="B61" s="27"/>
      <c r="C61" s="9">
        <v>25</v>
      </c>
      <c r="D61" s="6">
        <v>39</v>
      </c>
      <c r="E61" s="13"/>
      <c r="F61" s="9">
        <v>24</v>
      </c>
      <c r="G61" s="6">
        <v>37</v>
      </c>
      <c r="H61" s="13"/>
      <c r="I61" s="13"/>
      <c r="J61" s="13"/>
      <c r="K61" s="28"/>
    </row>
    <row r="62" spans="2:21">
      <c r="B62" s="27"/>
      <c r="C62" s="9">
        <v>24</v>
      </c>
      <c r="D62" s="6">
        <v>36</v>
      </c>
      <c r="E62" s="13"/>
      <c r="F62" s="9">
        <v>27</v>
      </c>
      <c r="G62" s="6">
        <v>39</v>
      </c>
      <c r="H62" s="13"/>
      <c r="I62" s="13"/>
      <c r="J62" s="13"/>
      <c r="K62" s="28"/>
      <c r="M62" t="s">
        <v>44</v>
      </c>
    </row>
    <row r="63" spans="2:21">
      <c r="B63" s="27"/>
      <c r="C63" s="9">
        <v>26</v>
      </c>
      <c r="D63" s="6">
        <v>37</v>
      </c>
      <c r="E63" s="13"/>
      <c r="F63" s="9">
        <v>26</v>
      </c>
      <c r="G63" s="6">
        <v>40</v>
      </c>
      <c r="H63" s="13"/>
      <c r="I63" s="13"/>
      <c r="J63" s="13"/>
      <c r="K63" s="28"/>
      <c r="M63" t="s">
        <v>45</v>
      </c>
      <c r="N63" t="s">
        <v>46</v>
      </c>
    </row>
    <row r="64" spans="2:21">
      <c r="B64" s="27"/>
      <c r="C64" s="10">
        <v>27</v>
      </c>
      <c r="D64" s="8">
        <v>38</v>
      </c>
      <c r="E64" s="13"/>
      <c r="F64" s="10">
        <v>29</v>
      </c>
      <c r="G64" s="8">
        <v>40</v>
      </c>
      <c r="H64" s="13"/>
      <c r="I64" s="13"/>
      <c r="J64" s="13"/>
      <c r="K64" s="28"/>
      <c r="M64">
        <f>Q44/10</f>
        <v>99809.600000000006</v>
      </c>
      <c r="N64">
        <f>T44/9</f>
        <v>235620</v>
      </c>
    </row>
    <row r="65" spans="2:29">
      <c r="B65" s="27"/>
      <c r="C65" s="15"/>
      <c r="D65" s="15"/>
      <c r="E65" s="13"/>
      <c r="F65" s="13"/>
      <c r="G65" s="13"/>
      <c r="H65" s="13"/>
      <c r="I65" s="13"/>
      <c r="J65" s="13"/>
      <c r="K65" s="28"/>
      <c r="M65" s="13"/>
    </row>
    <row r="66" spans="2:29">
      <c r="B66" s="27"/>
      <c r="C66" s="29" t="s">
        <v>14</v>
      </c>
      <c r="D66" s="29"/>
      <c r="E66" s="13" t="s">
        <v>35</v>
      </c>
      <c r="F66" s="13" t="s">
        <v>36</v>
      </c>
      <c r="G66" s="13"/>
      <c r="I66" s="13"/>
      <c r="J66" s="13"/>
      <c r="K66" s="28"/>
    </row>
    <row r="67" spans="2:29">
      <c r="B67" s="27"/>
      <c r="C67" s="20" t="s">
        <v>24</v>
      </c>
      <c r="D67" s="21" t="s">
        <v>22</v>
      </c>
      <c r="E67" s="21" t="s">
        <v>47</v>
      </c>
      <c r="F67" s="21" t="s">
        <v>47</v>
      </c>
      <c r="G67" s="51"/>
      <c r="K67" s="28"/>
    </row>
    <row r="68" spans="2:29">
      <c r="B68" s="27"/>
      <c r="C68" s="22">
        <v>27</v>
      </c>
      <c r="D68" s="23">
        <v>40</v>
      </c>
      <c r="E68" s="24">
        <v>257803</v>
      </c>
      <c r="F68" s="19">
        <v>182920</v>
      </c>
      <c r="G68" s="52"/>
      <c r="K68" s="28"/>
    </row>
    <row r="69" spans="2:29">
      <c r="B69" s="27"/>
      <c r="C69" s="13"/>
      <c r="D69" s="13"/>
      <c r="F69" s="29"/>
      <c r="G69" s="51"/>
      <c r="K69" s="28"/>
    </row>
    <row r="70" spans="2:29">
      <c r="B70" s="27"/>
      <c r="C70" s="13" t="s">
        <v>15</v>
      </c>
      <c r="D70" s="13"/>
      <c r="F70" s="29"/>
      <c r="G70" s="51"/>
      <c r="K70" s="28"/>
    </row>
    <row r="71" spans="2:29">
      <c r="B71" s="27"/>
      <c r="C71" s="16" t="s">
        <v>25</v>
      </c>
      <c r="D71" s="16" t="s">
        <v>23</v>
      </c>
      <c r="E71" s="21" t="s">
        <v>47</v>
      </c>
      <c r="F71" s="21" t="s">
        <v>47</v>
      </c>
      <c r="G71" s="51"/>
      <c r="K71" s="28"/>
      <c r="M71" s="13" t="s">
        <v>15</v>
      </c>
      <c r="N71" s="13"/>
      <c r="P71" t="s">
        <v>16</v>
      </c>
      <c r="S71" s="13" t="s">
        <v>15</v>
      </c>
      <c r="T71" s="13"/>
      <c r="V71" t="s">
        <v>16</v>
      </c>
    </row>
    <row r="72" spans="2:29">
      <c r="B72" s="27"/>
      <c r="C72" s="2">
        <v>26</v>
      </c>
      <c r="D72" s="2">
        <v>39</v>
      </c>
      <c r="E72" s="24">
        <v>253195</v>
      </c>
      <c r="F72" s="19">
        <v>182920</v>
      </c>
      <c r="G72" s="52"/>
      <c r="K72" s="28"/>
      <c r="M72" s="16" t="s">
        <v>21</v>
      </c>
      <c r="N72" s="17" t="s">
        <v>23</v>
      </c>
      <c r="P72" s="16" t="s">
        <v>25</v>
      </c>
      <c r="Q72" s="17" t="s">
        <v>23</v>
      </c>
      <c r="S72" s="16" t="s">
        <v>21</v>
      </c>
      <c r="T72" s="17" t="s">
        <v>23</v>
      </c>
      <c r="V72" s="16" t="s">
        <v>25</v>
      </c>
      <c r="W72" s="17" t="s">
        <v>23</v>
      </c>
      <c r="Y72" s="16" t="s">
        <v>25</v>
      </c>
    </row>
    <row r="73" spans="2:29">
      <c r="B73" s="27"/>
      <c r="C73" s="13"/>
      <c r="D73" s="13"/>
      <c r="E73" s="13"/>
      <c r="F73" s="29"/>
      <c r="G73" s="51"/>
      <c r="K73" s="28"/>
      <c r="M73" s="9">
        <v>28</v>
      </c>
      <c r="N73" s="6">
        <v>39</v>
      </c>
      <c r="P73" s="9">
        <v>27</v>
      </c>
      <c r="Q73" s="6">
        <v>37</v>
      </c>
      <c r="S73" s="9">
        <v>27</v>
      </c>
      <c r="T73" s="6">
        <v>34</v>
      </c>
      <c r="V73" s="9">
        <v>26</v>
      </c>
      <c r="W73" s="6">
        <v>44</v>
      </c>
      <c r="Y73" s="9">
        <v>28</v>
      </c>
    </row>
    <row r="74" spans="2:29">
      <c r="B74" s="27"/>
      <c r="C74" s="13" t="s">
        <v>15</v>
      </c>
      <c r="D74" s="13"/>
      <c r="E74" s="13"/>
      <c r="F74" s="29"/>
      <c r="G74" s="51"/>
      <c r="K74" s="28"/>
      <c r="M74" s="9">
        <v>24</v>
      </c>
      <c r="N74" s="6">
        <v>42</v>
      </c>
      <c r="P74" s="9">
        <v>18</v>
      </c>
      <c r="Q74" s="6">
        <v>42</v>
      </c>
      <c r="S74" s="9">
        <v>24</v>
      </c>
      <c r="T74" s="6">
        <v>42</v>
      </c>
      <c r="V74" s="9">
        <v>25</v>
      </c>
      <c r="W74" s="6">
        <v>37</v>
      </c>
      <c r="Y74" s="9">
        <v>27</v>
      </c>
    </row>
    <row r="75" spans="2:29">
      <c r="B75" s="27"/>
      <c r="C75" s="16" t="s">
        <v>25</v>
      </c>
      <c r="D75" s="16" t="s">
        <v>23</v>
      </c>
      <c r="E75" s="21" t="s">
        <v>47</v>
      </c>
      <c r="F75" s="21" t="s">
        <v>47</v>
      </c>
      <c r="G75" s="51"/>
      <c r="K75" s="28"/>
      <c r="M75" s="9">
        <v>29</v>
      </c>
      <c r="N75" s="6">
        <v>41</v>
      </c>
      <c r="P75" s="9">
        <v>20</v>
      </c>
      <c r="Q75" s="6">
        <v>38</v>
      </c>
      <c r="S75" s="9">
        <v>31</v>
      </c>
      <c r="T75" s="6">
        <v>40</v>
      </c>
      <c r="V75" s="9">
        <v>27</v>
      </c>
      <c r="W75" s="6">
        <v>38</v>
      </c>
      <c r="Y75" s="9">
        <v>26</v>
      </c>
    </row>
    <row r="76" spans="2:29">
      <c r="B76" s="27"/>
      <c r="C76" s="2">
        <v>30</v>
      </c>
      <c r="D76" s="2">
        <v>41</v>
      </c>
      <c r="E76" s="24">
        <v>236220</v>
      </c>
      <c r="F76" s="19">
        <v>182920</v>
      </c>
      <c r="G76" s="52"/>
      <c r="K76" s="28"/>
      <c r="M76" s="9">
        <v>30</v>
      </c>
      <c r="N76" s="6">
        <v>42</v>
      </c>
      <c r="P76" s="9">
        <v>25</v>
      </c>
      <c r="Q76" s="6">
        <v>46</v>
      </c>
      <c r="S76" s="9">
        <v>21</v>
      </c>
      <c r="T76" s="6">
        <v>40</v>
      </c>
      <c r="V76" s="9">
        <v>28</v>
      </c>
      <c r="W76" s="6">
        <v>44</v>
      </c>
      <c r="Y76" s="9">
        <v>26</v>
      </c>
    </row>
    <row r="77" spans="2:29">
      <c r="B77" s="27"/>
      <c r="C77" s="13"/>
      <c r="D77" s="13"/>
      <c r="E77" s="13"/>
      <c r="F77" s="29"/>
      <c r="G77" s="51"/>
      <c r="K77" s="28"/>
      <c r="M77" s="10">
        <v>30</v>
      </c>
      <c r="N77" s="8">
        <v>33</v>
      </c>
      <c r="P77" s="10">
        <v>32</v>
      </c>
      <c r="Q77" s="8">
        <v>38</v>
      </c>
      <c r="S77" s="10">
        <v>30</v>
      </c>
      <c r="T77" s="8">
        <v>32</v>
      </c>
      <c r="V77" s="10">
        <v>26</v>
      </c>
      <c r="W77" s="8">
        <v>44</v>
      </c>
      <c r="Y77" s="10">
        <v>25</v>
      </c>
    </row>
    <row r="78" spans="2:29">
      <c r="B78" s="27"/>
      <c r="C78" s="13" t="s">
        <v>16</v>
      </c>
      <c r="D78" s="13"/>
      <c r="E78" s="13"/>
      <c r="F78" s="29"/>
      <c r="G78" s="51"/>
      <c r="K78" s="28"/>
    </row>
    <row r="79" spans="2:29">
      <c r="B79" s="27"/>
      <c r="C79" s="16" t="s">
        <v>25</v>
      </c>
      <c r="D79" s="16" t="s">
        <v>23</v>
      </c>
      <c r="E79" s="21" t="s">
        <v>47</v>
      </c>
      <c r="F79" s="21" t="s">
        <v>47</v>
      </c>
      <c r="G79" s="51"/>
      <c r="K79" s="28"/>
      <c r="S79" t="s">
        <v>15</v>
      </c>
      <c r="T79" s="13"/>
      <c r="X79" s="1"/>
      <c r="Y79" s="62" t="s">
        <v>89</v>
      </c>
      <c r="Z79" s="62" t="s">
        <v>88</v>
      </c>
      <c r="AA79" s="62" t="s">
        <v>90</v>
      </c>
      <c r="AB79" s="1"/>
      <c r="AC79" s="1"/>
    </row>
    <row r="80" spans="2:29">
      <c r="B80" s="27"/>
      <c r="C80" s="2">
        <v>26</v>
      </c>
      <c r="D80" s="2">
        <v>40</v>
      </c>
      <c r="E80" s="24">
        <v>250878</v>
      </c>
      <c r="F80" s="19">
        <v>182666</v>
      </c>
      <c r="G80" s="52"/>
      <c r="K80" s="28"/>
      <c r="M80" t="s">
        <v>16</v>
      </c>
      <c r="N80" s="13"/>
      <c r="S80" s="16" t="s">
        <v>25</v>
      </c>
      <c r="T80" s="16" t="s">
        <v>23</v>
      </c>
      <c r="V80" s="16" t="s">
        <v>21</v>
      </c>
      <c r="W80" s="17" t="s">
        <v>23</v>
      </c>
      <c r="X80" s="1"/>
      <c r="Y80" s="2">
        <v>40</v>
      </c>
      <c r="Z80" s="2">
        <v>31</v>
      </c>
      <c r="AA80" s="2"/>
      <c r="AB80" s="1"/>
      <c r="AC80" s="1"/>
    </row>
    <row r="81" spans="1:29" ht="21" thickBot="1">
      <c r="B81" s="30"/>
      <c r="C81" s="31"/>
      <c r="D81" s="31"/>
      <c r="E81" s="31"/>
      <c r="F81" s="31"/>
      <c r="G81" s="31"/>
      <c r="H81" s="31"/>
      <c r="I81" s="31"/>
      <c r="J81" s="31"/>
      <c r="K81" s="32"/>
      <c r="M81" s="16" t="s">
        <v>25</v>
      </c>
      <c r="N81" s="16" t="s">
        <v>23</v>
      </c>
      <c r="S81" s="2">
        <v>28</v>
      </c>
      <c r="T81" s="2">
        <v>39</v>
      </c>
      <c r="U81">
        <v>0</v>
      </c>
      <c r="V81" s="9">
        <v>31</v>
      </c>
      <c r="W81" s="6">
        <v>40</v>
      </c>
      <c r="X81" s="63">
        <v>72</v>
      </c>
      <c r="Y81" s="2">
        <v>32</v>
      </c>
      <c r="Z81" s="2">
        <v>30</v>
      </c>
      <c r="AA81" s="2"/>
      <c r="AB81" s="1"/>
      <c r="AC81" s="1"/>
    </row>
    <row r="82" spans="1:29">
      <c r="C82" s="13"/>
      <c r="D82" s="13"/>
      <c r="M82" s="2">
        <v>26</v>
      </c>
      <c r="N82" s="2">
        <v>37</v>
      </c>
      <c r="U82">
        <v>1</v>
      </c>
      <c r="V82" s="9">
        <v>30</v>
      </c>
      <c r="W82" s="6">
        <v>32</v>
      </c>
      <c r="X82" s="1"/>
      <c r="Y82" s="2"/>
      <c r="Z82" s="2">
        <v>29</v>
      </c>
      <c r="AA82" s="2"/>
      <c r="AB82" s="1"/>
      <c r="AC82" s="1"/>
    </row>
    <row r="83" spans="1:29" ht="21" thickBot="1">
      <c r="C83" s="31"/>
      <c r="D83" s="31"/>
      <c r="E83" s="31"/>
      <c r="F83" s="31"/>
      <c r="G83" s="31"/>
      <c r="H83" s="31"/>
      <c r="S83" t="s">
        <v>16</v>
      </c>
      <c r="T83" s="13"/>
      <c r="U83">
        <v>2</v>
      </c>
      <c r="V83" s="9">
        <v>27</v>
      </c>
      <c r="W83" s="6">
        <v>34</v>
      </c>
      <c r="X83" s="1"/>
      <c r="Y83" s="2"/>
      <c r="Z83" s="2">
        <v>28</v>
      </c>
      <c r="AA83" s="2">
        <v>44</v>
      </c>
      <c r="AB83" s="1">
        <v>207</v>
      </c>
      <c r="AC83" s="1"/>
    </row>
    <row r="84" spans="1:29">
      <c r="A84" s="13"/>
      <c r="B84" s="25"/>
      <c r="C84" s="13"/>
      <c r="D84" s="13"/>
      <c r="E84" s="13"/>
      <c r="F84" s="13"/>
      <c r="G84" s="26"/>
      <c r="H84" s="26"/>
      <c r="I84" s="26"/>
      <c r="J84" s="26"/>
      <c r="K84" s="33"/>
      <c r="M84" t="s">
        <v>16</v>
      </c>
      <c r="N84" s="13"/>
      <c r="S84" s="16" t="s">
        <v>25</v>
      </c>
      <c r="T84" s="16" t="s">
        <v>23</v>
      </c>
      <c r="U84">
        <v>3</v>
      </c>
      <c r="V84" s="9">
        <v>24</v>
      </c>
      <c r="W84" s="6">
        <v>42</v>
      </c>
      <c r="X84" s="2">
        <v>106</v>
      </c>
      <c r="Y84" s="2">
        <v>34</v>
      </c>
      <c r="Z84" s="2">
        <v>27</v>
      </c>
      <c r="AA84" s="2">
        <v>38</v>
      </c>
      <c r="AB84" s="2">
        <v>163</v>
      </c>
      <c r="AC84" s="1"/>
    </row>
    <row r="85" spans="1:29">
      <c r="A85" s="13"/>
      <c r="B85" s="27"/>
      <c r="C85" s="13" t="s">
        <v>41</v>
      </c>
      <c r="D85" s="13"/>
      <c r="E85" s="13"/>
      <c r="F85" s="13"/>
      <c r="G85" s="13"/>
      <c r="H85" s="13"/>
      <c r="I85" s="13"/>
      <c r="J85" s="13"/>
      <c r="K85" s="28"/>
      <c r="M85" s="16" t="s">
        <v>25</v>
      </c>
      <c r="N85" s="16" t="s">
        <v>23</v>
      </c>
      <c r="S85" s="2">
        <v>26</v>
      </c>
      <c r="T85" s="2">
        <v>38</v>
      </c>
      <c r="U85">
        <v>4</v>
      </c>
      <c r="V85" s="10">
        <v>21</v>
      </c>
      <c r="W85" s="8">
        <v>40</v>
      </c>
      <c r="X85" s="1"/>
      <c r="Y85" s="2"/>
      <c r="Z85" s="2">
        <v>26</v>
      </c>
      <c r="AA85" s="2" t="s">
        <v>91</v>
      </c>
      <c r="AB85" s="1">
        <v>81</v>
      </c>
      <c r="AC85" s="1">
        <v>125</v>
      </c>
    </row>
    <row r="86" spans="1:29">
      <c r="A86" s="13"/>
      <c r="B86" s="27"/>
      <c r="C86" s="13" t="s">
        <v>42</v>
      </c>
      <c r="D86" s="13"/>
      <c r="E86" s="13"/>
      <c r="F86" s="13"/>
      <c r="G86" s="13"/>
      <c r="H86" s="13"/>
      <c r="I86" s="13"/>
      <c r="J86" s="13"/>
      <c r="K86" s="28"/>
      <c r="M86" s="2">
        <v>27</v>
      </c>
      <c r="N86" s="2">
        <v>37</v>
      </c>
      <c r="X86" s="1"/>
      <c r="Y86" s="2"/>
      <c r="Z86" s="2">
        <v>25</v>
      </c>
      <c r="AA86" s="2">
        <v>37</v>
      </c>
      <c r="AB86" s="1"/>
      <c r="AC86" s="1"/>
    </row>
    <row r="87" spans="1:29">
      <c r="A87" s="13"/>
      <c r="B87" s="27"/>
      <c r="C87" s="35">
        <v>80000000</v>
      </c>
      <c r="D87" s="43">
        <v>200020</v>
      </c>
      <c r="E87" s="44">
        <v>200020</v>
      </c>
      <c r="F87" s="13"/>
      <c r="G87" s="13"/>
      <c r="H87" s="13"/>
      <c r="I87" s="13"/>
      <c r="J87" s="13"/>
      <c r="K87" s="28"/>
      <c r="S87" t="s">
        <v>15</v>
      </c>
      <c r="T87" s="13"/>
      <c r="V87" s="16" t="s">
        <v>25</v>
      </c>
      <c r="W87" s="17" t="s">
        <v>23</v>
      </c>
      <c r="X87" s="1">
        <v>148</v>
      </c>
      <c r="Y87" s="2">
        <v>42</v>
      </c>
      <c r="Z87" s="2">
        <v>24</v>
      </c>
      <c r="AA87" s="2"/>
      <c r="AB87" s="1"/>
      <c r="AC87" s="1"/>
    </row>
    <row r="88" spans="1:29">
      <c r="A88" s="13"/>
      <c r="B88" s="27"/>
      <c r="C88" s="38">
        <v>80000000</v>
      </c>
      <c r="D88" s="13">
        <v>182920</v>
      </c>
      <c r="E88" s="45">
        <v>182920</v>
      </c>
      <c r="F88" s="13"/>
      <c r="G88" s="13"/>
      <c r="H88" s="13"/>
      <c r="I88" s="13"/>
      <c r="J88" s="13"/>
      <c r="K88" s="28"/>
      <c r="S88" s="16" t="s">
        <v>25</v>
      </c>
      <c r="T88" s="16" t="s">
        <v>23</v>
      </c>
      <c r="U88">
        <v>0</v>
      </c>
      <c r="V88" s="9">
        <v>28</v>
      </c>
      <c r="W88" s="6">
        <v>44</v>
      </c>
      <c r="X88" s="1"/>
      <c r="Y88" s="2"/>
      <c r="Z88" s="2">
        <v>23</v>
      </c>
      <c r="AA88" s="2"/>
      <c r="AB88" s="1"/>
      <c r="AC88" s="1"/>
    </row>
    <row r="89" spans="1:29">
      <c r="A89" s="13"/>
      <c r="B89" s="27"/>
      <c r="C89" s="38">
        <v>80000000</v>
      </c>
      <c r="D89" s="34">
        <v>199766</v>
      </c>
      <c r="E89" s="46">
        <v>199766</v>
      </c>
      <c r="F89" s="13" t="s">
        <v>37</v>
      </c>
      <c r="G89" s="13"/>
      <c r="H89" s="13"/>
      <c r="I89" s="13"/>
      <c r="J89" s="13"/>
      <c r="K89" s="28"/>
      <c r="M89" t="s">
        <v>15</v>
      </c>
      <c r="N89" s="13"/>
      <c r="S89" s="2">
        <v>24</v>
      </c>
      <c r="T89" s="2">
        <v>33</v>
      </c>
      <c r="U89">
        <v>1</v>
      </c>
      <c r="V89" s="9">
        <v>27</v>
      </c>
      <c r="W89" s="6">
        <v>38</v>
      </c>
      <c r="X89" s="1"/>
      <c r="Y89" s="2"/>
      <c r="Z89" s="2">
        <v>22</v>
      </c>
      <c r="AA89" s="2"/>
      <c r="AB89" s="1"/>
      <c r="AC89" s="1"/>
    </row>
    <row r="90" spans="1:29">
      <c r="A90" s="13"/>
      <c r="B90" s="27"/>
      <c r="C90" s="38">
        <v>80000000</v>
      </c>
      <c r="D90" s="39">
        <v>182666</v>
      </c>
      <c r="E90" s="40">
        <v>182666</v>
      </c>
      <c r="F90" s="13"/>
      <c r="G90" s="13"/>
      <c r="H90" s="13"/>
      <c r="I90" s="13"/>
      <c r="J90" s="13"/>
      <c r="K90" s="28"/>
      <c r="M90" s="16" t="s">
        <v>25</v>
      </c>
      <c r="N90" s="16" t="s">
        <v>23</v>
      </c>
      <c r="U90">
        <v>2</v>
      </c>
      <c r="V90" s="9">
        <v>26</v>
      </c>
      <c r="W90" s="6">
        <v>44</v>
      </c>
      <c r="X90" s="1">
        <v>188</v>
      </c>
      <c r="Y90" s="2">
        <v>40</v>
      </c>
      <c r="Z90" s="2">
        <v>21</v>
      </c>
      <c r="AA90" s="2"/>
      <c r="AB90" s="1"/>
      <c r="AC90" s="1"/>
    </row>
    <row r="91" spans="1:29">
      <c r="A91" s="13"/>
      <c r="B91" s="27"/>
      <c r="C91" s="41">
        <v>80000000</v>
      </c>
      <c r="D91" s="42">
        <v>182666</v>
      </c>
      <c r="E91" s="24">
        <v>182666</v>
      </c>
      <c r="F91" s="13"/>
      <c r="G91" s="13"/>
      <c r="H91" s="13"/>
      <c r="I91" s="13"/>
      <c r="J91" s="13"/>
      <c r="K91" s="28"/>
      <c r="M91" s="2">
        <v>30</v>
      </c>
      <c r="N91" s="2">
        <v>42</v>
      </c>
      <c r="S91" t="s">
        <v>15</v>
      </c>
      <c r="T91" s="13"/>
      <c r="U91">
        <v>3</v>
      </c>
      <c r="V91" s="9">
        <v>26</v>
      </c>
      <c r="W91" s="6">
        <v>44</v>
      </c>
      <c r="X91" s="1"/>
      <c r="Y91" s="1"/>
      <c r="Z91" s="1"/>
      <c r="AA91" s="1"/>
      <c r="AB91" s="1"/>
      <c r="AC91" s="1"/>
    </row>
    <row r="92" spans="1:29">
      <c r="A92" s="13"/>
      <c r="B92" s="27"/>
      <c r="C92" s="35">
        <v>80000000</v>
      </c>
      <c r="D92" s="36">
        <v>182920</v>
      </c>
      <c r="E92" s="37">
        <v>182920</v>
      </c>
      <c r="F92" s="13"/>
      <c r="G92" s="13"/>
      <c r="H92" s="13"/>
      <c r="I92" s="13"/>
      <c r="J92" s="13"/>
      <c r="K92" s="28"/>
      <c r="S92" s="16" t="s">
        <v>25</v>
      </c>
      <c r="T92" s="16" t="s">
        <v>23</v>
      </c>
      <c r="U92">
        <v>4</v>
      </c>
      <c r="V92" s="10">
        <v>25</v>
      </c>
      <c r="W92" s="8">
        <v>37</v>
      </c>
      <c r="Y92" s="62" t="s">
        <v>89</v>
      </c>
      <c r="Z92" s="62" t="s">
        <v>88</v>
      </c>
      <c r="AA92" s="62" t="s">
        <v>90</v>
      </c>
    </row>
    <row r="93" spans="1:29">
      <c r="A93" s="13"/>
      <c r="B93" s="27"/>
      <c r="C93" s="38">
        <v>80000000</v>
      </c>
      <c r="D93" s="39">
        <v>182920</v>
      </c>
      <c r="E93" s="40">
        <v>182920</v>
      </c>
      <c r="F93" s="13" t="s">
        <v>38</v>
      </c>
      <c r="G93" s="13"/>
      <c r="H93" s="13"/>
      <c r="I93" s="13"/>
      <c r="J93" s="13"/>
      <c r="K93" s="28"/>
      <c r="M93" t="s">
        <v>16</v>
      </c>
      <c r="N93" s="13"/>
      <c r="S93" s="2">
        <v>34</v>
      </c>
      <c r="T93" s="2">
        <v>33</v>
      </c>
      <c r="Y93" s="2">
        <v>33</v>
      </c>
      <c r="Z93" s="2">
        <v>31</v>
      </c>
      <c r="AA93" s="2"/>
    </row>
    <row r="94" spans="1:29">
      <c r="A94" s="13"/>
      <c r="B94" s="27"/>
      <c r="C94" s="38">
        <v>80000000</v>
      </c>
      <c r="D94" s="39">
        <v>182920</v>
      </c>
      <c r="E94" s="40">
        <v>182920</v>
      </c>
      <c r="F94" s="13"/>
      <c r="G94" s="13"/>
      <c r="H94" s="13"/>
      <c r="I94" s="13"/>
      <c r="J94" s="13"/>
      <c r="K94" s="28"/>
      <c r="M94" s="16" t="s">
        <v>25</v>
      </c>
      <c r="N94" s="16" t="s">
        <v>23</v>
      </c>
      <c r="Y94" s="2"/>
      <c r="Z94" s="2">
        <v>30</v>
      </c>
      <c r="AA94" s="2"/>
    </row>
    <row r="95" spans="1:29">
      <c r="A95" s="13"/>
      <c r="B95" s="27"/>
      <c r="C95" s="41">
        <v>80000000</v>
      </c>
      <c r="D95" s="42">
        <v>182666</v>
      </c>
      <c r="E95" s="24">
        <v>182666</v>
      </c>
      <c r="F95" s="13"/>
      <c r="G95" s="13"/>
      <c r="H95" s="13"/>
      <c r="I95" s="13"/>
      <c r="J95" s="13"/>
      <c r="K95" s="28"/>
      <c r="M95" s="2">
        <v>34</v>
      </c>
      <c r="N95" s="2">
        <v>44</v>
      </c>
      <c r="Y95" s="2"/>
      <c r="Z95" s="2">
        <v>29</v>
      </c>
      <c r="AA95" s="2"/>
    </row>
    <row r="96" spans="1:29">
      <c r="A96" s="13"/>
      <c r="B96" s="27"/>
      <c r="C96" s="47">
        <v>80000000</v>
      </c>
      <c r="D96" s="48">
        <v>441116</v>
      </c>
      <c r="E96" s="49">
        <v>441116</v>
      </c>
      <c r="F96" s="13" t="s">
        <v>39</v>
      </c>
      <c r="G96" s="13"/>
      <c r="H96" s="13"/>
      <c r="I96" s="13"/>
      <c r="J96" s="13"/>
      <c r="K96" s="28"/>
      <c r="Y96" s="2">
        <v>39</v>
      </c>
      <c r="Z96" s="2">
        <v>28</v>
      </c>
      <c r="AA96" s="2">
        <v>44</v>
      </c>
    </row>
    <row r="97" spans="1:28" ht="21" thickBot="1">
      <c r="A97" s="13"/>
      <c r="B97" s="30"/>
      <c r="C97" s="31"/>
      <c r="D97" s="31"/>
      <c r="E97" s="31"/>
      <c r="F97" s="31"/>
      <c r="G97" s="31"/>
      <c r="H97" s="31"/>
      <c r="I97" s="31"/>
      <c r="J97" s="31"/>
      <c r="K97" s="32"/>
      <c r="S97" t="s">
        <v>87</v>
      </c>
      <c r="Y97" s="2"/>
      <c r="Z97" s="2">
        <v>27</v>
      </c>
      <c r="AA97" s="2">
        <v>38</v>
      </c>
    </row>
    <row r="98" spans="1:28" ht="21" thickBot="1">
      <c r="M98" t="s">
        <v>87</v>
      </c>
      <c r="T98" t="s">
        <v>50</v>
      </c>
      <c r="V98" t="s">
        <v>55</v>
      </c>
      <c r="Y98" s="2"/>
      <c r="Z98" s="2">
        <v>26</v>
      </c>
      <c r="AA98" s="2">
        <v>19</v>
      </c>
      <c r="AB98">
        <v>38</v>
      </c>
    </row>
    <row r="99" spans="1:28">
      <c r="B99" s="25"/>
      <c r="C99" s="26" t="s">
        <v>48</v>
      </c>
      <c r="D99" s="26"/>
      <c r="E99" s="26"/>
      <c r="F99" s="26"/>
      <c r="G99" s="26"/>
      <c r="H99" s="26"/>
      <c r="I99" s="26"/>
      <c r="J99" s="26"/>
      <c r="K99" s="33"/>
      <c r="N99" t="s">
        <v>50</v>
      </c>
      <c r="P99" t="s">
        <v>55</v>
      </c>
      <c r="S99" s="53">
        <v>4895341</v>
      </c>
      <c r="T99" t="s">
        <v>49</v>
      </c>
      <c r="U99" s="53">
        <v>1696209</v>
      </c>
      <c r="V99" t="s">
        <v>49</v>
      </c>
      <c r="Y99" s="2"/>
      <c r="Z99" s="2">
        <v>25</v>
      </c>
      <c r="AA99" s="2"/>
    </row>
    <row r="100" spans="1:28">
      <c r="B100" s="27"/>
      <c r="C100" s="13" t="s">
        <v>15</v>
      </c>
      <c r="D100" s="13"/>
      <c r="F100" t="s">
        <v>16</v>
      </c>
      <c r="H100" s="13"/>
      <c r="I100" s="13"/>
      <c r="J100" s="13"/>
      <c r="K100" s="28"/>
      <c r="M100" s="53">
        <v>4942110</v>
      </c>
      <c r="N100" t="s">
        <v>49</v>
      </c>
      <c r="O100" s="53">
        <v>1742722</v>
      </c>
      <c r="P100" t="s">
        <v>49</v>
      </c>
      <c r="S100" s="53">
        <v>199998</v>
      </c>
      <c r="T100" t="s">
        <v>51</v>
      </c>
      <c r="U100" s="53">
        <v>200020</v>
      </c>
      <c r="V100" t="s">
        <v>51</v>
      </c>
      <c r="X100">
        <v>33</v>
      </c>
      <c r="Y100" s="2">
        <v>42</v>
      </c>
      <c r="Z100" s="2">
        <v>24</v>
      </c>
      <c r="AA100" s="2"/>
    </row>
    <row r="101" spans="1:28">
      <c r="B101" s="27"/>
      <c r="C101" s="16" t="s">
        <v>21</v>
      </c>
      <c r="D101" s="17" t="s">
        <v>23</v>
      </c>
      <c r="F101" s="16" t="s">
        <v>25</v>
      </c>
      <c r="G101" s="17" t="s">
        <v>23</v>
      </c>
      <c r="H101" s="13"/>
      <c r="I101" s="13"/>
      <c r="J101" s="13"/>
      <c r="K101" s="28"/>
      <c r="M101" s="53">
        <v>199998</v>
      </c>
      <c r="N101" t="s">
        <v>51</v>
      </c>
      <c r="O101" s="53">
        <v>200020</v>
      </c>
      <c r="P101" t="s">
        <v>51</v>
      </c>
      <c r="S101" s="53">
        <v>182898</v>
      </c>
      <c r="T101">
        <v>2</v>
      </c>
      <c r="U101" s="53">
        <v>182920</v>
      </c>
      <c r="V101">
        <v>2</v>
      </c>
      <c r="Y101" s="2"/>
      <c r="Z101" s="2">
        <v>23</v>
      </c>
      <c r="AA101" s="2"/>
    </row>
    <row r="102" spans="1:28">
      <c r="B102" s="27"/>
      <c r="C102" s="9">
        <v>33</v>
      </c>
      <c r="D102" s="6">
        <v>36</v>
      </c>
      <c r="F102" s="9">
        <v>27</v>
      </c>
      <c r="G102" s="6">
        <v>41</v>
      </c>
      <c r="H102" s="13"/>
      <c r="I102" s="13"/>
      <c r="J102" s="13"/>
      <c r="K102" s="28"/>
      <c r="M102" s="53">
        <v>182898</v>
      </c>
      <c r="N102">
        <v>2</v>
      </c>
      <c r="O102" s="53">
        <v>182920</v>
      </c>
      <c r="P102">
        <v>2</v>
      </c>
      <c r="S102" s="53">
        <v>182898</v>
      </c>
      <c r="T102">
        <v>3</v>
      </c>
      <c r="U102" s="53">
        <v>182920</v>
      </c>
      <c r="V102">
        <v>3</v>
      </c>
      <c r="Y102" s="2"/>
      <c r="Z102" s="2">
        <v>22</v>
      </c>
      <c r="AA102" s="2"/>
    </row>
    <row r="103" spans="1:28">
      <c r="B103" s="27"/>
      <c r="C103" s="9">
        <v>21</v>
      </c>
      <c r="D103" s="6">
        <v>40</v>
      </c>
      <c r="F103" s="9">
        <v>28</v>
      </c>
      <c r="G103" s="6">
        <v>42</v>
      </c>
      <c r="H103" s="13"/>
      <c r="I103" s="13"/>
      <c r="J103" s="13"/>
      <c r="K103" s="28"/>
      <c r="M103" s="53">
        <v>182898</v>
      </c>
      <c r="N103">
        <v>3</v>
      </c>
      <c r="O103" s="53">
        <v>182920</v>
      </c>
      <c r="P103">
        <v>3</v>
      </c>
      <c r="S103" s="53">
        <v>182898</v>
      </c>
      <c r="T103">
        <v>4</v>
      </c>
      <c r="U103" s="53">
        <v>182920</v>
      </c>
      <c r="V103">
        <v>4</v>
      </c>
      <c r="Y103" s="2">
        <v>40</v>
      </c>
      <c r="Z103" s="2">
        <v>21</v>
      </c>
      <c r="AA103" s="2"/>
    </row>
    <row r="104" spans="1:28">
      <c r="B104" s="27"/>
      <c r="C104" s="9">
        <v>25</v>
      </c>
      <c r="D104" s="6">
        <v>34</v>
      </c>
      <c r="F104" s="9">
        <v>26</v>
      </c>
      <c r="G104" s="6">
        <v>40</v>
      </c>
      <c r="H104" s="13"/>
      <c r="I104" s="13"/>
      <c r="J104" s="13"/>
      <c r="K104" s="28"/>
      <c r="M104" s="53">
        <v>182898</v>
      </c>
      <c r="N104">
        <v>4</v>
      </c>
      <c r="O104" s="53">
        <v>182920</v>
      </c>
      <c r="P104">
        <v>4</v>
      </c>
      <c r="S104" s="53">
        <v>182898</v>
      </c>
      <c r="T104">
        <v>5</v>
      </c>
      <c r="U104" s="53">
        <v>182920</v>
      </c>
      <c r="V104">
        <v>5</v>
      </c>
    </row>
    <row r="105" spans="1:28">
      <c r="B105" s="27"/>
      <c r="C105" s="9">
        <v>20</v>
      </c>
      <c r="D105" s="6">
        <v>38</v>
      </c>
      <c r="F105" s="9">
        <v>22</v>
      </c>
      <c r="G105" s="6">
        <v>35</v>
      </c>
      <c r="H105" s="13"/>
      <c r="I105" s="13"/>
      <c r="J105" s="13"/>
      <c r="K105" s="28"/>
      <c r="M105" s="53">
        <v>182898</v>
      </c>
      <c r="N105">
        <v>5</v>
      </c>
      <c r="O105" s="53">
        <v>182920</v>
      </c>
      <c r="P105">
        <v>5</v>
      </c>
      <c r="S105" s="53">
        <v>199766</v>
      </c>
      <c r="T105" t="s">
        <v>52</v>
      </c>
      <c r="U105" s="53">
        <v>199766</v>
      </c>
      <c r="V105" t="s">
        <v>52</v>
      </c>
    </row>
    <row r="106" spans="1:28">
      <c r="B106" s="27"/>
      <c r="C106" s="10">
        <v>24</v>
      </c>
      <c r="D106" s="8">
        <v>48</v>
      </c>
      <c r="F106" s="10">
        <v>27</v>
      </c>
      <c r="G106" s="8">
        <v>37</v>
      </c>
      <c r="H106" s="13"/>
      <c r="I106" s="13"/>
      <c r="J106" s="13"/>
      <c r="K106" s="28"/>
      <c r="M106" s="53">
        <v>199766</v>
      </c>
      <c r="N106" t="s">
        <v>52</v>
      </c>
      <c r="O106" s="53">
        <v>199766</v>
      </c>
      <c r="P106" t="s">
        <v>52</v>
      </c>
      <c r="S106" s="53">
        <v>182666</v>
      </c>
      <c r="T106">
        <v>2</v>
      </c>
      <c r="U106" s="53">
        <v>182666</v>
      </c>
      <c r="V106">
        <v>2</v>
      </c>
    </row>
    <row r="107" spans="1:28">
      <c r="B107" s="27"/>
      <c r="C107" s="15"/>
      <c r="D107" s="15"/>
      <c r="E107" s="13"/>
      <c r="F107" s="13"/>
      <c r="G107" s="13"/>
      <c r="H107" s="13"/>
      <c r="J107" s="13"/>
      <c r="K107" s="28"/>
      <c r="M107" s="53">
        <v>182666</v>
      </c>
      <c r="N107">
        <v>2</v>
      </c>
      <c r="O107" s="53">
        <v>182666</v>
      </c>
      <c r="P107">
        <v>2</v>
      </c>
      <c r="S107" s="53">
        <v>182666</v>
      </c>
      <c r="T107">
        <v>3</v>
      </c>
      <c r="U107" s="53">
        <v>182666</v>
      </c>
      <c r="V107">
        <v>3</v>
      </c>
    </row>
    <row r="108" spans="1:28">
      <c r="B108" s="27"/>
      <c r="C108" t="s">
        <v>16</v>
      </c>
      <c r="D108" s="13"/>
      <c r="E108" s="13" t="s">
        <v>35</v>
      </c>
      <c r="F108" s="13" t="s">
        <v>36</v>
      </c>
      <c r="G108" s="13"/>
      <c r="H108" s="34" t="s">
        <v>71</v>
      </c>
      <c r="I108" s="13"/>
      <c r="J108" s="13"/>
      <c r="K108" s="28"/>
      <c r="M108" s="53">
        <v>182666</v>
      </c>
      <c r="N108">
        <v>3</v>
      </c>
      <c r="O108" s="53">
        <v>182666</v>
      </c>
      <c r="P108">
        <v>3</v>
      </c>
      <c r="S108" s="53">
        <v>182666</v>
      </c>
      <c r="T108">
        <v>4</v>
      </c>
      <c r="U108" s="53">
        <v>182666</v>
      </c>
      <c r="V108">
        <v>4</v>
      </c>
    </row>
    <row r="109" spans="1:28">
      <c r="B109" s="27"/>
      <c r="C109" s="16" t="s">
        <v>25</v>
      </c>
      <c r="D109" s="16" t="s">
        <v>23</v>
      </c>
      <c r="E109" s="21" t="s">
        <v>47</v>
      </c>
      <c r="F109" s="21" t="s">
        <v>47</v>
      </c>
      <c r="G109" s="51"/>
      <c r="K109" s="28"/>
      <c r="M109" s="53">
        <v>182666</v>
      </c>
      <c r="N109">
        <v>4</v>
      </c>
      <c r="O109" s="53">
        <v>182666</v>
      </c>
      <c r="P109">
        <v>4</v>
      </c>
      <c r="S109" s="53">
        <v>182666</v>
      </c>
      <c r="T109">
        <v>5</v>
      </c>
      <c r="U109" s="53">
        <v>182666</v>
      </c>
      <c r="V109">
        <v>5</v>
      </c>
    </row>
    <row r="110" spans="1:28">
      <c r="B110" s="27"/>
      <c r="C110" s="2">
        <v>25</v>
      </c>
      <c r="D110" s="2">
        <v>42</v>
      </c>
      <c r="E110" s="24">
        <v>257803</v>
      </c>
      <c r="F110" s="19">
        <v>182920</v>
      </c>
      <c r="G110" s="52"/>
      <c r="K110" s="28"/>
      <c r="M110" s="53">
        <v>182666</v>
      </c>
      <c r="N110">
        <v>5</v>
      </c>
      <c r="O110" s="53">
        <v>182666</v>
      </c>
      <c r="P110">
        <v>5</v>
      </c>
      <c r="S110" s="53">
        <v>421778</v>
      </c>
      <c r="T110" t="s">
        <v>53</v>
      </c>
      <c r="U110" s="53">
        <v>421778</v>
      </c>
      <c r="V110" t="s">
        <v>53</v>
      </c>
    </row>
    <row r="111" spans="1:28">
      <c r="B111" s="27"/>
      <c r="C111" s="13"/>
      <c r="D111" s="13"/>
      <c r="F111" s="29"/>
      <c r="G111" s="51"/>
      <c r="K111" s="28"/>
      <c r="M111" s="53">
        <v>470691</v>
      </c>
      <c r="N111" t="s">
        <v>53</v>
      </c>
      <c r="O111" s="53">
        <v>470691</v>
      </c>
      <c r="P111" t="s">
        <v>53</v>
      </c>
      <c r="S111" s="53">
        <v>257803</v>
      </c>
      <c r="T111" t="s">
        <v>54</v>
      </c>
      <c r="U111" s="53">
        <v>1696209</v>
      </c>
      <c r="V111" t="s">
        <v>56</v>
      </c>
    </row>
    <row r="112" spans="1:28">
      <c r="B112" s="27"/>
      <c r="C112" t="s">
        <v>15</v>
      </c>
      <c r="D112" s="13"/>
      <c r="F112" s="29"/>
      <c r="G112" s="51"/>
      <c r="K112" s="28"/>
      <c r="M112" s="53">
        <v>257803</v>
      </c>
      <c r="N112" t="s">
        <v>54</v>
      </c>
      <c r="O112" s="19">
        <v>1742722</v>
      </c>
      <c r="P112" t="s">
        <v>56</v>
      </c>
      <c r="S112" s="53">
        <v>285703</v>
      </c>
      <c r="T112" t="s">
        <v>15</v>
      </c>
      <c r="U112" s="53">
        <v>200020</v>
      </c>
      <c r="V112" t="s">
        <v>57</v>
      </c>
    </row>
    <row r="113" spans="2:22">
      <c r="B113" s="27"/>
      <c r="C113" s="16" t="s">
        <v>25</v>
      </c>
      <c r="D113" s="16" t="s">
        <v>23</v>
      </c>
      <c r="E113" s="21" t="s">
        <v>47</v>
      </c>
      <c r="F113" s="21" t="s">
        <v>47</v>
      </c>
      <c r="G113" s="51"/>
      <c r="K113" s="28"/>
      <c r="M113" s="53">
        <v>283648</v>
      </c>
      <c r="N113" t="s">
        <v>15</v>
      </c>
      <c r="O113" s="53">
        <v>200020</v>
      </c>
      <c r="P113" t="s">
        <v>57</v>
      </c>
      <c r="S113" s="53">
        <v>269556</v>
      </c>
      <c r="T113" t="s">
        <v>16</v>
      </c>
      <c r="U113" s="53">
        <v>182920</v>
      </c>
      <c r="V113" t="s">
        <v>58</v>
      </c>
    </row>
    <row r="114" spans="2:22">
      <c r="B114" s="27"/>
      <c r="C114" s="2">
        <v>21</v>
      </c>
      <c r="D114" s="2">
        <v>43</v>
      </c>
      <c r="E114" s="24">
        <v>253195</v>
      </c>
      <c r="F114" s="19">
        <v>182920</v>
      </c>
      <c r="G114" s="52"/>
      <c r="K114" s="28"/>
      <c r="M114" s="53">
        <v>236220</v>
      </c>
      <c r="N114" t="s">
        <v>16</v>
      </c>
      <c r="O114" s="53">
        <v>182920</v>
      </c>
      <c r="P114" t="s">
        <v>58</v>
      </c>
      <c r="S114" s="53">
        <v>283986</v>
      </c>
      <c r="T114" t="s">
        <v>16</v>
      </c>
      <c r="U114" s="53">
        <v>165566</v>
      </c>
      <c r="V114" t="s">
        <v>62</v>
      </c>
    </row>
    <row r="115" spans="2:22">
      <c r="B115" s="27"/>
      <c r="C115" s="13"/>
      <c r="D115" s="13"/>
      <c r="E115" s="13"/>
      <c r="F115" s="29"/>
      <c r="G115" s="51"/>
      <c r="K115" s="28"/>
      <c r="M115" s="53">
        <v>355169</v>
      </c>
      <c r="N115" t="s">
        <v>16</v>
      </c>
      <c r="O115" s="53">
        <v>199766</v>
      </c>
      <c r="P115" t="s">
        <v>62</v>
      </c>
      <c r="S115">
        <f>SUM(S99:S114)</f>
        <v>8276187</v>
      </c>
      <c r="U115" s="53">
        <v>182666</v>
      </c>
      <c r="V115" t="s">
        <v>63</v>
      </c>
    </row>
    <row r="116" spans="2:22">
      <c r="B116" s="27"/>
      <c r="C116" t="s">
        <v>16</v>
      </c>
      <c r="D116" s="13"/>
      <c r="F116" s="29"/>
      <c r="G116" s="51"/>
      <c r="K116" s="28"/>
      <c r="M116">
        <f>SUM(M100:M115)</f>
        <v>8407661</v>
      </c>
      <c r="O116" s="53">
        <v>182666</v>
      </c>
      <c r="P116" t="s">
        <v>63</v>
      </c>
      <c r="S116" s="53">
        <v>3</v>
      </c>
      <c r="U116" s="53">
        <v>182666</v>
      </c>
      <c r="V116" t="s">
        <v>64</v>
      </c>
    </row>
    <row r="117" spans="2:22">
      <c r="B117" s="27"/>
      <c r="C117" s="16" t="s">
        <v>25</v>
      </c>
      <c r="D117" s="16" t="s">
        <v>23</v>
      </c>
      <c r="E117" s="21" t="s">
        <v>47</v>
      </c>
      <c r="F117" s="21" t="s">
        <v>47</v>
      </c>
      <c r="G117" s="51"/>
      <c r="K117" s="28"/>
      <c r="M117" s="53">
        <v>9</v>
      </c>
      <c r="O117" s="53">
        <v>182666</v>
      </c>
      <c r="P117" t="s">
        <v>64</v>
      </c>
      <c r="U117" s="53">
        <v>182920</v>
      </c>
      <c r="V117" t="s">
        <v>81</v>
      </c>
    </row>
    <row r="118" spans="2:22">
      <c r="B118" s="27"/>
      <c r="C118" s="2">
        <v>30</v>
      </c>
      <c r="D118" s="2">
        <v>42</v>
      </c>
      <c r="E118" s="24">
        <v>253195</v>
      </c>
      <c r="F118" s="19">
        <v>182920</v>
      </c>
      <c r="G118" s="52"/>
      <c r="K118" s="28"/>
      <c r="O118" s="53">
        <v>182920</v>
      </c>
      <c r="P118" t="s">
        <v>81</v>
      </c>
      <c r="U118" s="53">
        <v>182666</v>
      </c>
      <c r="V118" t="s">
        <v>84</v>
      </c>
    </row>
    <row r="119" spans="2:22">
      <c r="B119" s="27"/>
      <c r="C119" s="13"/>
      <c r="D119" s="13"/>
      <c r="E119" s="13"/>
      <c r="F119" s="29"/>
      <c r="G119" s="51"/>
      <c r="K119" s="28"/>
      <c r="O119" s="53">
        <v>182920</v>
      </c>
      <c r="P119" t="s">
        <v>82</v>
      </c>
      <c r="U119" s="53">
        <v>182920</v>
      </c>
      <c r="V119" t="s">
        <v>82</v>
      </c>
    </row>
    <row r="120" spans="2:22">
      <c r="B120" s="27"/>
      <c r="C120" t="s">
        <v>16</v>
      </c>
      <c r="D120" s="13"/>
      <c r="E120" s="13"/>
      <c r="F120" s="29"/>
      <c r="G120" s="51"/>
      <c r="K120" s="28"/>
      <c r="O120" s="53">
        <v>182920</v>
      </c>
      <c r="P120" t="s">
        <v>83</v>
      </c>
      <c r="U120" s="53">
        <v>143120</v>
      </c>
      <c r="V120" t="s">
        <v>92</v>
      </c>
    </row>
    <row r="121" spans="2:22">
      <c r="B121" s="27"/>
      <c r="C121" s="16" t="s">
        <v>25</v>
      </c>
      <c r="D121" s="16" t="s">
        <v>23</v>
      </c>
      <c r="E121" s="21" t="s">
        <v>47</v>
      </c>
      <c r="F121" s="21" t="s">
        <v>47</v>
      </c>
      <c r="G121" s="51"/>
      <c r="K121" s="28"/>
      <c r="O121" s="53">
        <v>182666</v>
      </c>
      <c r="P121" t="s">
        <v>84</v>
      </c>
      <c r="U121" s="53">
        <v>405291</v>
      </c>
      <c r="V121" t="s">
        <v>53</v>
      </c>
    </row>
    <row r="122" spans="2:22">
      <c r="B122" s="27"/>
      <c r="C122" s="2">
        <v>31</v>
      </c>
      <c r="D122" s="2">
        <v>33</v>
      </c>
      <c r="E122" s="24">
        <v>250878</v>
      </c>
      <c r="F122" s="19">
        <v>182666</v>
      </c>
      <c r="G122" s="52"/>
      <c r="K122" s="28"/>
      <c r="O122" s="53">
        <v>442489</v>
      </c>
      <c r="P122" t="s">
        <v>53</v>
      </c>
      <c r="U122">
        <f>SUM(U99:U121)</f>
        <v>7687081</v>
      </c>
    </row>
    <row r="123" spans="2:22" ht="21" thickBot="1">
      <c r="B123" s="30"/>
      <c r="C123" s="31"/>
      <c r="D123" s="31"/>
      <c r="E123" s="31"/>
      <c r="F123" s="31"/>
      <c r="G123" s="31"/>
      <c r="H123" s="31"/>
      <c r="I123" s="31"/>
      <c r="J123" s="31"/>
      <c r="K123" s="32"/>
      <c r="O123">
        <f>SUM(O100:O122)</f>
        <v>7940218</v>
      </c>
      <c r="U123" s="53">
        <v>4</v>
      </c>
    </row>
    <row r="124" spans="2:22">
      <c r="D124" t="s">
        <v>86</v>
      </c>
      <c r="J124" t="s">
        <v>87</v>
      </c>
      <c r="O124" s="53">
        <v>9</v>
      </c>
    </row>
    <row r="125" spans="2:22">
      <c r="E125" t="s">
        <v>50</v>
      </c>
      <c r="H125" t="s">
        <v>55</v>
      </c>
      <c r="K125" t="s">
        <v>50</v>
      </c>
      <c r="M125" t="s">
        <v>55</v>
      </c>
    </row>
    <row r="126" spans="2:22">
      <c r="D126" s="53">
        <v>4817776</v>
      </c>
      <c r="E126" t="s">
        <v>49</v>
      </c>
      <c r="G126" s="53">
        <v>1742722</v>
      </c>
      <c r="H126" t="s">
        <v>49</v>
      </c>
      <c r="J126" s="53">
        <v>4942110</v>
      </c>
      <c r="K126" t="s">
        <v>49</v>
      </c>
      <c r="L126" s="53">
        <v>1742722</v>
      </c>
      <c r="M126" t="s">
        <v>49</v>
      </c>
    </row>
    <row r="127" spans="2:22">
      <c r="C127" s="53"/>
      <c r="D127" s="53">
        <v>199998</v>
      </c>
      <c r="E127" t="s">
        <v>51</v>
      </c>
      <c r="G127" s="53">
        <v>200020</v>
      </c>
      <c r="H127" t="s">
        <v>51</v>
      </c>
      <c r="J127" s="53">
        <v>199998</v>
      </c>
      <c r="K127" t="s">
        <v>51</v>
      </c>
      <c r="L127" s="53">
        <v>200020</v>
      </c>
      <c r="M127" t="s">
        <v>51</v>
      </c>
    </row>
    <row r="128" spans="2:22">
      <c r="C128" s="53"/>
      <c r="D128" s="53">
        <v>182898</v>
      </c>
      <c r="E128">
        <v>2</v>
      </c>
      <c r="G128" s="53">
        <v>182920</v>
      </c>
      <c r="H128">
        <v>2</v>
      </c>
      <c r="J128" s="53">
        <v>182898</v>
      </c>
      <c r="K128">
        <v>2</v>
      </c>
      <c r="L128" s="53">
        <v>182920</v>
      </c>
      <c r="M128">
        <v>2</v>
      </c>
    </row>
    <row r="129" spans="4:13">
      <c r="D129" s="53">
        <v>182898</v>
      </c>
      <c r="E129">
        <v>3</v>
      </c>
      <c r="G129" s="53">
        <v>182920</v>
      </c>
      <c r="H129">
        <v>3</v>
      </c>
      <c r="J129" s="53">
        <v>182898</v>
      </c>
      <c r="K129">
        <v>3</v>
      </c>
      <c r="L129" s="53">
        <v>182920</v>
      </c>
      <c r="M129">
        <v>3</v>
      </c>
    </row>
    <row r="130" spans="4:13">
      <c r="D130" s="53">
        <v>182898</v>
      </c>
      <c r="E130">
        <v>4</v>
      </c>
      <c r="G130" s="53">
        <v>182920</v>
      </c>
      <c r="H130">
        <v>4</v>
      </c>
      <c r="J130" s="53">
        <v>182898</v>
      </c>
      <c r="K130">
        <v>4</v>
      </c>
      <c r="L130" s="53">
        <v>182920</v>
      </c>
      <c r="M130">
        <v>4</v>
      </c>
    </row>
    <row r="131" spans="4:13">
      <c r="D131" s="53">
        <v>182898</v>
      </c>
      <c r="E131">
        <v>5</v>
      </c>
      <c r="G131" s="53">
        <v>182920</v>
      </c>
      <c r="H131">
        <v>5</v>
      </c>
      <c r="J131" s="53">
        <v>182898</v>
      </c>
      <c r="K131">
        <v>5</v>
      </c>
      <c r="L131" s="53">
        <v>182920</v>
      </c>
      <c r="M131">
        <v>5</v>
      </c>
    </row>
    <row r="132" spans="4:13">
      <c r="D132" s="53">
        <v>199766</v>
      </c>
      <c r="E132" t="s">
        <v>52</v>
      </c>
      <c r="G132" s="53">
        <v>199766</v>
      </c>
      <c r="H132" t="s">
        <v>52</v>
      </c>
      <c r="J132" s="53">
        <v>199766</v>
      </c>
      <c r="K132" t="s">
        <v>52</v>
      </c>
      <c r="L132" s="53">
        <v>199766</v>
      </c>
      <c r="M132" t="s">
        <v>52</v>
      </c>
    </row>
    <row r="133" spans="4:13">
      <c r="D133" s="53">
        <v>182666</v>
      </c>
      <c r="E133">
        <v>2</v>
      </c>
      <c r="G133" s="53">
        <v>182666</v>
      </c>
      <c r="H133">
        <v>2</v>
      </c>
      <c r="J133" s="53">
        <v>182666</v>
      </c>
      <c r="K133">
        <v>2</v>
      </c>
      <c r="L133" s="53">
        <v>182666</v>
      </c>
      <c r="M133">
        <v>2</v>
      </c>
    </row>
    <row r="134" spans="4:13">
      <c r="D134" s="53">
        <v>182666</v>
      </c>
      <c r="E134">
        <v>3</v>
      </c>
      <c r="G134" s="53">
        <v>182666</v>
      </c>
      <c r="H134">
        <v>3</v>
      </c>
      <c r="J134" s="53">
        <v>182666</v>
      </c>
      <c r="K134">
        <v>3</v>
      </c>
      <c r="L134" s="53">
        <v>182666</v>
      </c>
      <c r="M134">
        <v>3</v>
      </c>
    </row>
    <row r="135" spans="4:13">
      <c r="D135" s="53">
        <v>182666</v>
      </c>
      <c r="E135">
        <v>4</v>
      </c>
      <c r="G135" s="53">
        <v>182666</v>
      </c>
      <c r="H135">
        <v>4</v>
      </c>
      <c r="J135" s="53">
        <v>182666</v>
      </c>
      <c r="K135">
        <v>4</v>
      </c>
      <c r="L135" s="53">
        <v>182666</v>
      </c>
      <c r="M135">
        <v>4</v>
      </c>
    </row>
    <row r="136" spans="4:13">
      <c r="D136" s="53">
        <v>182666</v>
      </c>
      <c r="E136">
        <v>5</v>
      </c>
      <c r="G136" s="53">
        <v>182666</v>
      </c>
      <c r="H136">
        <v>5</v>
      </c>
      <c r="J136" s="53">
        <v>182666</v>
      </c>
      <c r="K136">
        <v>5</v>
      </c>
      <c r="L136" s="53">
        <v>182666</v>
      </c>
      <c r="M136">
        <v>5</v>
      </c>
    </row>
    <row r="137" spans="4:13">
      <c r="D137" s="53">
        <v>473129</v>
      </c>
      <c r="E137" t="s">
        <v>53</v>
      </c>
      <c r="G137" s="53">
        <v>473129</v>
      </c>
      <c r="H137" t="s">
        <v>53</v>
      </c>
      <c r="J137" s="53">
        <v>470691</v>
      </c>
      <c r="K137" t="s">
        <v>53</v>
      </c>
      <c r="L137" s="53">
        <v>470691</v>
      </c>
      <c r="M137" t="s">
        <v>53</v>
      </c>
    </row>
    <row r="138" spans="4:13">
      <c r="D138" s="53">
        <v>429666</v>
      </c>
      <c r="E138" t="s">
        <v>54</v>
      </c>
      <c r="G138" s="19">
        <v>1742722</v>
      </c>
      <c r="H138" t="s">
        <v>56</v>
      </c>
      <c r="J138" s="53">
        <v>257803</v>
      </c>
      <c r="K138" t="s">
        <v>54</v>
      </c>
      <c r="L138" s="19">
        <v>1742722</v>
      </c>
      <c r="M138" t="s">
        <v>56</v>
      </c>
    </row>
    <row r="139" spans="4:13">
      <c r="D139" s="53">
        <v>269189</v>
      </c>
      <c r="E139" t="s">
        <v>15</v>
      </c>
      <c r="G139" s="53">
        <v>200020</v>
      </c>
      <c r="H139" t="s">
        <v>57</v>
      </c>
      <c r="J139" s="53">
        <v>283648</v>
      </c>
      <c r="K139" t="s">
        <v>15</v>
      </c>
      <c r="L139" s="53">
        <v>200020</v>
      </c>
      <c r="M139" t="s">
        <v>57</v>
      </c>
    </row>
    <row r="140" spans="4:13">
      <c r="D140" s="53">
        <v>250208</v>
      </c>
      <c r="E140" t="s">
        <v>16</v>
      </c>
      <c r="G140" s="53">
        <v>182920</v>
      </c>
      <c r="H140" t="s">
        <v>58</v>
      </c>
      <c r="J140" s="53">
        <v>236220</v>
      </c>
      <c r="K140" t="s">
        <v>16</v>
      </c>
      <c r="L140" s="53">
        <v>182920</v>
      </c>
      <c r="M140" t="s">
        <v>58</v>
      </c>
    </row>
    <row r="141" spans="4:13">
      <c r="D141" s="53">
        <v>247968</v>
      </c>
      <c r="E141" t="s">
        <v>16</v>
      </c>
      <c r="G141" s="53">
        <v>182920</v>
      </c>
      <c r="H141" t="s">
        <v>59</v>
      </c>
      <c r="J141" s="53">
        <v>355169</v>
      </c>
      <c r="K141" t="s">
        <v>16</v>
      </c>
      <c r="L141" s="53">
        <v>199766</v>
      </c>
      <c r="M141" t="s">
        <v>62</v>
      </c>
    </row>
    <row r="142" spans="4:13">
      <c r="D142" s="43">
        <f>SUM(D126:D141)</f>
        <v>8349956</v>
      </c>
      <c r="E142" s="43" t="s">
        <v>70</v>
      </c>
      <c r="G142" s="53">
        <v>182920</v>
      </c>
      <c r="H142" t="s">
        <v>60</v>
      </c>
      <c r="J142">
        <f>SUM(J126:J141)</f>
        <v>8407661</v>
      </c>
      <c r="L142" s="53">
        <v>182666</v>
      </c>
      <c r="M142" t="s">
        <v>63</v>
      </c>
    </row>
    <row r="143" spans="4:13">
      <c r="D143">
        <f>D142*F55</f>
        <v>1.1823537696E+18</v>
      </c>
      <c r="E143" s="34" t="s">
        <v>72</v>
      </c>
      <c r="G143" s="53">
        <v>182920</v>
      </c>
      <c r="H143" t="s">
        <v>61</v>
      </c>
      <c r="J143">
        <v>10</v>
      </c>
      <c r="L143" s="53">
        <v>182666</v>
      </c>
      <c r="M143" t="s">
        <v>64</v>
      </c>
    </row>
    <row r="144" spans="4:13">
      <c r="D144">
        <f>D143/J53</f>
        <v>1.1823537695999999</v>
      </c>
      <c r="E144" s="34" t="s">
        <v>74</v>
      </c>
      <c r="G144" s="53">
        <v>199766</v>
      </c>
      <c r="H144" t="s">
        <v>62</v>
      </c>
      <c r="I144" t="s">
        <v>69</v>
      </c>
      <c r="L144" s="53">
        <v>182920</v>
      </c>
      <c r="M144" t="s">
        <v>81</v>
      </c>
    </row>
    <row r="145" spans="3:13">
      <c r="D145">
        <f>D144*I53</f>
        <v>27194.136700799998</v>
      </c>
      <c r="E145" s="34" t="s">
        <v>77</v>
      </c>
      <c r="G145" s="53">
        <v>182666</v>
      </c>
      <c r="H145" t="s">
        <v>63</v>
      </c>
      <c r="L145" s="53">
        <v>182920</v>
      </c>
      <c r="M145" t="s">
        <v>82</v>
      </c>
    </row>
    <row r="146" spans="3:13">
      <c r="D146">
        <v>3</v>
      </c>
      <c r="G146" s="53">
        <v>182666</v>
      </c>
      <c r="H146" t="s">
        <v>64</v>
      </c>
      <c r="L146" s="53">
        <v>182920</v>
      </c>
      <c r="M146" t="s">
        <v>83</v>
      </c>
    </row>
    <row r="147" spans="3:13">
      <c r="G147" s="53">
        <v>182666</v>
      </c>
      <c r="H147" t="s">
        <v>65</v>
      </c>
      <c r="L147" s="53">
        <v>182666</v>
      </c>
      <c r="M147" t="s">
        <v>84</v>
      </c>
    </row>
    <row r="148" spans="3:13">
      <c r="G148" s="53">
        <v>182666</v>
      </c>
      <c r="H148" t="s">
        <v>66</v>
      </c>
      <c r="L148" s="53">
        <v>442489</v>
      </c>
      <c r="M148" t="s">
        <v>53</v>
      </c>
    </row>
    <row r="149" spans="3:13">
      <c r="G149" s="53">
        <v>182666</v>
      </c>
      <c r="H149" t="s">
        <v>67</v>
      </c>
      <c r="L149">
        <f>SUM(L126:L148)</f>
        <v>7940218</v>
      </c>
    </row>
    <row r="150" spans="3:13">
      <c r="G150" s="53">
        <v>182666</v>
      </c>
      <c r="H150" t="s">
        <v>68</v>
      </c>
      <c r="L150">
        <v>8</v>
      </c>
    </row>
    <row r="151" spans="3:13">
      <c r="D151" t="s">
        <v>78</v>
      </c>
      <c r="G151" s="53">
        <v>561490</v>
      </c>
      <c r="H151" t="s">
        <v>53</v>
      </c>
    </row>
    <row r="152" spans="3:13">
      <c r="D152">
        <f>G155-D145</f>
        <v>845.78770320000331</v>
      </c>
      <c r="E152" t="s">
        <v>77</v>
      </c>
      <c r="G152" s="43">
        <f>SUM(G126:G151)</f>
        <v>8609655</v>
      </c>
      <c r="H152" s="43" t="s">
        <v>70</v>
      </c>
    </row>
    <row r="153" spans="3:13">
      <c r="G153">
        <f>G152*F55</f>
        <v>1.219127148E+18</v>
      </c>
      <c r="H153" s="34" t="s">
        <v>72</v>
      </c>
    </row>
    <row r="154" spans="3:13">
      <c r="G154">
        <f>G153/J53</f>
        <v>1.2191271480000001</v>
      </c>
      <c r="H154" s="34" t="s">
        <v>74</v>
      </c>
    </row>
    <row r="155" spans="3:13">
      <c r="D155" s="53"/>
      <c r="G155">
        <f>G154*I53</f>
        <v>28039.924404000001</v>
      </c>
      <c r="H155" s="34" t="s">
        <v>77</v>
      </c>
    </row>
    <row r="156" spans="3:13">
      <c r="G156">
        <v>3</v>
      </c>
    </row>
    <row r="157" spans="3:13">
      <c r="G157" s="39"/>
    </row>
    <row r="158" spans="3:13">
      <c r="D158" t="s">
        <v>79</v>
      </c>
      <c r="G158" s="39"/>
    </row>
    <row r="159" spans="3:13">
      <c r="D159" t="s">
        <v>80</v>
      </c>
      <c r="E159" t="s">
        <v>55</v>
      </c>
      <c r="G159" s="39"/>
    </row>
    <row r="160" spans="3:13">
      <c r="C160">
        <v>1</v>
      </c>
      <c r="D160" s="19">
        <v>4817776</v>
      </c>
      <c r="E160" s="19">
        <f>G126</f>
        <v>1742722</v>
      </c>
      <c r="G160" s="39"/>
    </row>
    <row r="161" spans="3:7">
      <c r="C161">
        <v>2</v>
      </c>
      <c r="D161">
        <f>SUM(D127:D136)</f>
        <v>1862020</v>
      </c>
      <c r="E161">
        <f>SUM(G127:G136)</f>
        <v>1862130</v>
      </c>
      <c r="G161" s="39"/>
    </row>
    <row r="162" spans="3:7">
      <c r="C162">
        <v>3</v>
      </c>
      <c r="D162" s="53">
        <v>473129</v>
      </c>
      <c r="E162" s="53">
        <v>473129</v>
      </c>
      <c r="G162" s="39"/>
    </row>
    <row r="163" spans="3:7">
      <c r="C163">
        <v>4</v>
      </c>
      <c r="D163">
        <f>D138</f>
        <v>429666</v>
      </c>
      <c r="E163" s="19">
        <v>1742722</v>
      </c>
      <c r="G163" s="39"/>
    </row>
    <row r="164" spans="3:7">
      <c r="C164">
        <v>5</v>
      </c>
      <c r="D164">
        <f>SUM(D139:D141)</f>
        <v>767365</v>
      </c>
      <c r="E164">
        <f>SUM(G139:G150)</f>
        <v>2227462</v>
      </c>
      <c r="G164" s="39"/>
    </row>
    <row r="165" spans="3:7">
      <c r="C165">
        <v>6</v>
      </c>
      <c r="E165">
        <f>G151</f>
        <v>561490</v>
      </c>
      <c r="G165" s="39"/>
    </row>
    <row r="166" spans="3:7">
      <c r="C166" t="s">
        <v>70</v>
      </c>
      <c r="D166">
        <f>SUM(D160:D164)</f>
        <v>8349956</v>
      </c>
      <c r="E166">
        <f>SUM(E160:E165)</f>
        <v>8609655</v>
      </c>
      <c r="G166" s="39"/>
    </row>
    <row r="167" spans="3:7">
      <c r="G167" s="39"/>
    </row>
    <row r="168" spans="3:7">
      <c r="G168" s="39"/>
    </row>
    <row r="169" spans="3:7">
      <c r="G169" s="39"/>
    </row>
    <row r="170" spans="3:7">
      <c r="G170" s="39"/>
    </row>
    <row r="171" spans="3:7">
      <c r="G171" s="39"/>
    </row>
    <row r="172" spans="3:7">
      <c r="G172" s="39"/>
    </row>
    <row r="173" spans="3:7">
      <c r="G173" s="39"/>
    </row>
    <row r="174" spans="3:7">
      <c r="G174" s="39"/>
    </row>
    <row r="175" spans="3:7">
      <c r="G175" s="39"/>
    </row>
    <row r="176" spans="3:7">
      <c r="G176" s="39"/>
    </row>
    <row r="177" spans="7:7">
      <c r="G177" s="39"/>
    </row>
    <row r="178" spans="7:7">
      <c r="G178" s="39"/>
    </row>
    <row r="179" spans="7:7">
      <c r="G179" s="39"/>
    </row>
    <row r="180" spans="7:7">
      <c r="G180" s="39"/>
    </row>
    <row r="181" spans="7:7">
      <c r="G181" s="13"/>
    </row>
    <row r="182" spans="7:7">
      <c r="G182" s="13"/>
    </row>
    <row r="183" spans="7:7">
      <c r="G183" s="13"/>
    </row>
  </sheetData>
  <phoneticPr fontId="1"/>
  <hyperlinks>
    <hyperlink ref="C29" r:id="rId1" xr:uid="{18A8F95D-B577-D742-9AC5-6CC956318D2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Button1_Click">
                <anchor moveWithCells="1" sizeWithCells="1">
                  <from>
                    <xdr:col>1</xdr:col>
                    <xdr:colOff>939800</xdr:colOff>
                    <xdr:row>38</xdr:row>
                    <xdr:rowOff>215900</xdr:rowOff>
                  </from>
                  <to>
                    <xdr:col>3</xdr:col>
                    <xdr:colOff>25400</xdr:colOff>
                    <xdr:row>41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Button2_Click">
                <anchor moveWithCells="1" sizeWithCells="1">
                  <from>
                    <xdr:col>1</xdr:col>
                    <xdr:colOff>927100</xdr:colOff>
                    <xdr:row>49</xdr:row>
                    <xdr:rowOff>215900</xdr:rowOff>
                  </from>
                  <to>
                    <xdr:col>2</xdr:col>
                    <xdr:colOff>1816100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226BE-8D9E-0947-857C-3CF440E1B353}">
  <dimension ref="A1:P27"/>
  <sheetViews>
    <sheetView tabSelected="1" topLeftCell="F1" zoomScale="125" zoomScaleNormal="85" workbookViewId="0">
      <selection activeCell="K10" sqref="K10"/>
    </sheetView>
  </sheetViews>
  <sheetFormatPr baseColWidth="10" defaultRowHeight="20"/>
  <cols>
    <col min="1" max="1" width="18.5703125" bestFit="1" customWidth="1"/>
    <col min="2" max="5" width="12.42578125" bestFit="1" customWidth="1"/>
    <col min="6" max="6" width="13.5703125" bestFit="1" customWidth="1"/>
    <col min="8" max="8" width="13.85546875" bestFit="1" customWidth="1"/>
    <col min="11" max="11" width="24.42578125" bestFit="1" customWidth="1"/>
    <col min="12" max="12" width="13.140625" bestFit="1" customWidth="1"/>
    <col min="13" max="13" width="16.42578125" bestFit="1" customWidth="1"/>
    <col min="14" max="14" width="25.5703125" bestFit="1" customWidth="1"/>
  </cols>
  <sheetData>
    <row r="1" spans="1:12">
      <c r="A1" s="64"/>
      <c r="B1" s="64">
        <v>2</v>
      </c>
      <c r="C1" s="64">
        <v>4</v>
      </c>
      <c r="D1" s="64">
        <v>6</v>
      </c>
      <c r="E1" s="64">
        <v>8</v>
      </c>
      <c r="F1" s="64">
        <v>10</v>
      </c>
      <c r="H1" s="3" t="s">
        <v>117</v>
      </c>
      <c r="I1" s="3" t="s">
        <v>74</v>
      </c>
      <c r="J1" s="3" t="s">
        <v>73</v>
      </c>
      <c r="K1" s="3" t="s">
        <v>72</v>
      </c>
      <c r="L1" s="46" t="s">
        <v>122</v>
      </c>
    </row>
    <row r="2" spans="1:12">
      <c r="A2" s="64" t="s">
        <v>80</v>
      </c>
      <c r="B2" s="65">
        <v>8006873</v>
      </c>
      <c r="C2" s="65">
        <v>8505049</v>
      </c>
      <c r="D2" s="65">
        <v>9335777</v>
      </c>
      <c r="E2" s="65">
        <v>9947939</v>
      </c>
      <c r="F2" s="65">
        <v>10638330</v>
      </c>
      <c r="H2" s="70">
        <v>141600000000</v>
      </c>
      <c r="I2" s="3">
        <v>1</v>
      </c>
      <c r="J2" s="61">
        <v>451053.96</v>
      </c>
      <c r="K2" s="54">
        <v>1E+18</v>
      </c>
      <c r="L2" s="46">
        <v>1000000</v>
      </c>
    </row>
    <row r="3" spans="1:12">
      <c r="A3" s="64" t="s">
        <v>55</v>
      </c>
      <c r="B3" s="66">
        <v>8184612</v>
      </c>
      <c r="C3" s="66">
        <v>8580916</v>
      </c>
      <c r="D3" s="65">
        <v>9069911</v>
      </c>
      <c r="E3" s="65">
        <v>9516588</v>
      </c>
      <c r="F3" s="65">
        <v>10055543</v>
      </c>
      <c r="H3">
        <f>B2/$L$2</f>
        <v>8.0068730000000006</v>
      </c>
      <c r="I3">
        <f>C2/$L$2</f>
        <v>8.5050489999999996</v>
      </c>
      <c r="J3">
        <f>D2/$L$2</f>
        <v>9.3357770000000002</v>
      </c>
      <c r="K3">
        <f>E2/$L$2</f>
        <v>9.9479389999999999</v>
      </c>
      <c r="L3">
        <f>F2/$L$2</f>
        <v>10.63833</v>
      </c>
    </row>
    <row r="4" spans="1:12">
      <c r="A4" s="64" t="s">
        <v>113</v>
      </c>
      <c r="B4" s="65">
        <v>3</v>
      </c>
      <c r="C4" s="65">
        <v>3</v>
      </c>
      <c r="D4" s="65">
        <v>5</v>
      </c>
      <c r="E4" s="65">
        <v>5</v>
      </c>
      <c r="F4" s="65">
        <v>9</v>
      </c>
      <c r="H4">
        <f>B3/$L$2</f>
        <v>8.1846119999999996</v>
      </c>
      <c r="I4">
        <f t="shared" ref="I4:L4" si="0">C3/$L$2</f>
        <v>8.5809160000000002</v>
      </c>
      <c r="J4">
        <f t="shared" si="0"/>
        <v>9.0699109999999994</v>
      </c>
      <c r="K4">
        <f t="shared" si="0"/>
        <v>9.5165880000000005</v>
      </c>
      <c r="L4">
        <f t="shared" si="0"/>
        <v>10.055543</v>
      </c>
    </row>
    <row r="5" spans="1:12" ht="23">
      <c r="A5" s="64" t="s">
        <v>114</v>
      </c>
      <c r="B5" s="65">
        <v>3</v>
      </c>
      <c r="C5" s="65">
        <v>3</v>
      </c>
      <c r="D5" s="65">
        <v>5</v>
      </c>
      <c r="E5" s="65">
        <v>5</v>
      </c>
      <c r="F5" s="67">
        <v>6</v>
      </c>
      <c r="H5">
        <f>H3/B4</f>
        <v>2.668957666666667</v>
      </c>
      <c r="I5">
        <f>I3/C4</f>
        <v>2.8350163333333334</v>
      </c>
      <c r="J5">
        <f t="shared" ref="J5:L5" si="1">J3/D4</f>
        <v>1.8671554000000001</v>
      </c>
      <c r="K5">
        <f t="shared" si="1"/>
        <v>1.9895878</v>
      </c>
      <c r="L5">
        <f t="shared" si="1"/>
        <v>1.1820366666666666</v>
      </c>
    </row>
    <row r="6" spans="1:12">
      <c r="A6" s="64" t="s">
        <v>80</v>
      </c>
      <c r="B6" s="65">
        <f>B2/B4</f>
        <v>2668957.6666666665</v>
      </c>
      <c r="C6" s="65">
        <f t="shared" ref="C6:E6" si="2">C2/C4</f>
        <v>2835016.3333333335</v>
      </c>
      <c r="D6" s="65">
        <f t="shared" si="2"/>
        <v>1867155.4</v>
      </c>
      <c r="E6" s="65">
        <f t="shared" si="2"/>
        <v>1989587.8</v>
      </c>
      <c r="F6" s="65">
        <f>F2/F4</f>
        <v>1182036.6666666667</v>
      </c>
      <c r="H6" s="65">
        <f>H4/B5</f>
        <v>2.7282039999999999</v>
      </c>
      <c r="I6" s="65">
        <f t="shared" ref="I6:L6" si="3">I4/C5</f>
        <v>2.8603053333333333</v>
      </c>
      <c r="J6" s="65">
        <f t="shared" si="3"/>
        <v>1.8139821999999999</v>
      </c>
      <c r="K6" s="65">
        <f>K4/E5</f>
        <v>1.9033176000000001</v>
      </c>
      <c r="L6" s="65">
        <f t="shared" si="3"/>
        <v>1.6759238333333333</v>
      </c>
    </row>
    <row r="7" spans="1:12">
      <c r="A7" s="64" t="s">
        <v>55</v>
      </c>
      <c r="B7" s="65">
        <f>B3/B5</f>
        <v>2728204</v>
      </c>
      <c r="C7" s="65">
        <f t="shared" ref="C7:E7" si="4">C3/C5</f>
        <v>2860305.3333333335</v>
      </c>
      <c r="D7" s="65">
        <f t="shared" si="4"/>
        <v>1813982.2</v>
      </c>
      <c r="E7" s="65">
        <f t="shared" si="4"/>
        <v>1903317.6</v>
      </c>
      <c r="F7" s="65">
        <f>F3/F5</f>
        <v>1675923.8333333333</v>
      </c>
    </row>
    <row r="8" spans="1:12">
      <c r="A8" s="64" t="s">
        <v>115</v>
      </c>
      <c r="B8" s="65">
        <f>B2*$H$2/$K$2</f>
        <v>1.1337732168000001</v>
      </c>
      <c r="C8" s="65">
        <f t="shared" ref="C8:E8" si="5">C2*$H$2/$K$2</f>
        <v>1.2043149384</v>
      </c>
      <c r="D8" s="65">
        <f t="shared" si="5"/>
        <v>1.3219460232</v>
      </c>
      <c r="E8" s="65">
        <f t="shared" si="5"/>
        <v>1.4086281624000001</v>
      </c>
      <c r="F8" s="65">
        <f>F2*$H$2/$K$2</f>
        <v>1.5063875280000001</v>
      </c>
      <c r="H8" s="73">
        <v>43770</v>
      </c>
      <c r="I8" s="3"/>
      <c r="J8" s="3"/>
      <c r="K8" s="3"/>
    </row>
    <row r="9" spans="1:12">
      <c r="A9" s="64" t="s">
        <v>116</v>
      </c>
      <c r="B9" s="65">
        <f>B3*$H$2/$K$2</f>
        <v>1.1589410592</v>
      </c>
      <c r="C9" s="65">
        <f t="shared" ref="C9:E9" si="6">C3*$H$2/$K$2</f>
        <v>1.2150577056</v>
      </c>
      <c r="D9" s="65">
        <f t="shared" si="6"/>
        <v>1.2842993975999999</v>
      </c>
      <c r="E9" s="65">
        <f t="shared" si="6"/>
        <v>1.3475488607999999</v>
      </c>
      <c r="F9" s="65">
        <f>F3*$H$2/$K$2</f>
        <v>1.4238648888000001</v>
      </c>
      <c r="H9" s="3" t="s">
        <v>130</v>
      </c>
      <c r="I9" s="3"/>
      <c r="J9" s="3"/>
      <c r="K9" s="3" t="s">
        <v>131</v>
      </c>
    </row>
    <row r="10" spans="1:12">
      <c r="A10" s="64" t="s">
        <v>118</v>
      </c>
      <c r="B10" s="65">
        <f>B8*$J$2</f>
        <v>511392.89917957858</v>
      </c>
      <c r="C10" s="65">
        <f t="shared" ref="C10:F10" si="7">C8*$J$2</f>
        <v>543211.02205247607</v>
      </c>
      <c r="D10" s="65">
        <f t="shared" si="7"/>
        <v>596268.98867061187</v>
      </c>
      <c r="E10" s="65">
        <f t="shared" si="7"/>
        <v>635367.31081804319</v>
      </c>
      <c r="F10" s="65">
        <f t="shared" si="7"/>
        <v>679462.05979901098</v>
      </c>
      <c r="H10" s="3">
        <v>13170000000</v>
      </c>
      <c r="I10" s="3">
        <v>1</v>
      </c>
      <c r="J10" s="3">
        <v>15367</v>
      </c>
      <c r="K10" s="3">
        <f>H10/K2*J10*696498</f>
        <v>140.95962636822</v>
      </c>
    </row>
    <row r="11" spans="1:12">
      <c r="A11" s="64" t="s">
        <v>119</v>
      </c>
      <c r="B11" s="65">
        <f>B9*$J$2</f>
        <v>522744.95415875444</v>
      </c>
      <c r="C11" s="65">
        <f t="shared" ref="C11:E11" si="8">C9*$J$2</f>
        <v>548056.58973939426</v>
      </c>
      <c r="D11" s="65">
        <f t="shared" si="8"/>
        <v>579288.32911309449</v>
      </c>
      <c r="E11" s="65">
        <f t="shared" si="8"/>
        <v>607817.24995732878</v>
      </c>
      <c r="F11" s="65">
        <f>F9*$J$2</f>
        <v>642239.89659819973</v>
      </c>
    </row>
    <row r="12" spans="1:12">
      <c r="A12" s="64" t="s">
        <v>120</v>
      </c>
      <c r="B12" s="65">
        <f>B10/B4</f>
        <v>170464.29972652619</v>
      </c>
      <c r="C12" s="65">
        <f t="shared" ref="C12:F12" si="9">C10/C4</f>
        <v>181070.3406841587</v>
      </c>
      <c r="D12" s="65">
        <f t="shared" si="9"/>
        <v>119253.79773412237</v>
      </c>
      <c r="E12" s="65">
        <f t="shared" si="9"/>
        <v>127073.46216360864</v>
      </c>
      <c r="F12" s="65">
        <f t="shared" si="9"/>
        <v>75495.784422112338</v>
      </c>
    </row>
    <row r="13" spans="1:12">
      <c r="A13" s="64" t="s">
        <v>121</v>
      </c>
      <c r="B13" s="65">
        <f>B11/B5</f>
        <v>174248.31805291816</v>
      </c>
      <c r="C13" s="65">
        <f t="shared" ref="C13:F13" si="10">C11/C5</f>
        <v>182685.52991313141</v>
      </c>
      <c r="D13" s="65">
        <f t="shared" si="10"/>
        <v>115857.6658226189</v>
      </c>
      <c r="E13" s="65">
        <f t="shared" si="10"/>
        <v>121563.44999146575</v>
      </c>
      <c r="F13" s="65">
        <f t="shared" si="10"/>
        <v>107039.98276636662</v>
      </c>
    </row>
    <row r="26" spans="12:16">
      <c r="L26" t="s">
        <v>29</v>
      </c>
      <c r="M26" t="s">
        <v>127</v>
      </c>
      <c r="N26" t="s">
        <v>126</v>
      </c>
      <c r="O26" t="s">
        <v>128</v>
      </c>
      <c r="P26" t="s">
        <v>129</v>
      </c>
    </row>
    <row r="27" spans="12:16">
      <c r="L27" s="71">
        <f>B2</f>
        <v>8006873</v>
      </c>
      <c r="M27" s="72">
        <f>H2</f>
        <v>141600000000</v>
      </c>
      <c r="N27" s="54">
        <v>1E+18</v>
      </c>
      <c r="O27">
        <f>J2</f>
        <v>451053.96</v>
      </c>
      <c r="P27">
        <f>L27*M27/N27*O27</f>
        <v>511392.89917957858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3A45-5FA3-674A-8642-C68AEF39185A}">
  <dimension ref="B1:C32"/>
  <sheetViews>
    <sheetView topLeftCell="A11" zoomScale="106" workbookViewId="0">
      <selection activeCell="B1" sqref="B1:C32"/>
    </sheetView>
  </sheetViews>
  <sheetFormatPr baseColWidth="10" defaultRowHeight="20"/>
  <sheetData>
    <row r="1" spans="2:3">
      <c r="B1" t="s">
        <v>123</v>
      </c>
      <c r="C1" t="s">
        <v>124</v>
      </c>
    </row>
    <row r="2" spans="2:3">
      <c r="B2" s="68">
        <v>44530</v>
      </c>
      <c r="C2" s="69">
        <v>142.41999999999999</v>
      </c>
    </row>
    <row r="3" spans="2:3">
      <c r="B3" s="68">
        <v>44529</v>
      </c>
      <c r="C3" s="69">
        <v>128.93</v>
      </c>
    </row>
    <row r="4" spans="2:3">
      <c r="B4" s="68">
        <v>44528</v>
      </c>
      <c r="C4" s="69">
        <v>119.12</v>
      </c>
    </row>
    <row r="5" spans="2:3">
      <c r="B5" s="68">
        <v>44527</v>
      </c>
      <c r="C5" s="69">
        <v>126.86</v>
      </c>
    </row>
    <row r="6" spans="2:3">
      <c r="B6" s="68">
        <v>44526</v>
      </c>
      <c r="C6" s="69">
        <v>120.3</v>
      </c>
    </row>
    <row r="7" spans="2:3">
      <c r="B7" s="68">
        <v>44525</v>
      </c>
      <c r="C7" s="69">
        <v>129.47999999999999</v>
      </c>
    </row>
    <row r="8" spans="2:3">
      <c r="B8" s="68">
        <v>44524</v>
      </c>
      <c r="C8" s="69">
        <v>136.33000000000001</v>
      </c>
    </row>
    <row r="9" spans="2:3">
      <c r="B9" s="68">
        <v>44523</v>
      </c>
      <c r="C9" s="69">
        <v>140.44999999999999</v>
      </c>
    </row>
    <row r="10" spans="2:3">
      <c r="B10" s="68">
        <v>44522</v>
      </c>
      <c r="C10" s="69">
        <v>151.88</v>
      </c>
    </row>
    <row r="11" spans="2:3">
      <c r="B11" s="68">
        <v>44521</v>
      </c>
      <c r="C11" s="69">
        <v>112.07</v>
      </c>
    </row>
    <row r="12" spans="2:3">
      <c r="B12" s="68">
        <v>44520</v>
      </c>
      <c r="C12" s="69">
        <v>109.74</v>
      </c>
    </row>
    <row r="13" spans="2:3">
      <c r="B13" s="68">
        <v>44519</v>
      </c>
      <c r="C13" s="69">
        <v>127.11</v>
      </c>
    </row>
    <row r="14" spans="2:3">
      <c r="B14" s="68">
        <v>44518</v>
      </c>
      <c r="C14" s="69">
        <v>149.6</v>
      </c>
    </row>
    <row r="15" spans="2:3">
      <c r="B15" s="68">
        <v>44517</v>
      </c>
      <c r="C15" s="69">
        <v>137.44</v>
      </c>
    </row>
    <row r="16" spans="2:3">
      <c r="B16" s="68">
        <v>44516</v>
      </c>
      <c r="C16" s="69">
        <v>150.72999999999999</v>
      </c>
    </row>
    <row r="17" spans="2:3">
      <c r="B17" s="68">
        <v>44515</v>
      </c>
      <c r="C17" s="69">
        <v>159.57</v>
      </c>
    </row>
    <row r="18" spans="2:3">
      <c r="B18" s="68">
        <v>44514</v>
      </c>
      <c r="C18" s="69">
        <v>118.46</v>
      </c>
    </row>
    <row r="19" spans="2:3">
      <c r="B19" s="68">
        <v>44513</v>
      </c>
      <c r="C19" s="69">
        <v>136.56</v>
      </c>
    </row>
    <row r="20" spans="2:3">
      <c r="B20" s="68">
        <v>44512</v>
      </c>
      <c r="C20" s="69">
        <v>154.77000000000001</v>
      </c>
    </row>
    <row r="21" spans="2:3">
      <c r="B21" s="68">
        <v>44511</v>
      </c>
      <c r="C21" s="69">
        <v>167.06</v>
      </c>
    </row>
    <row r="22" spans="2:3">
      <c r="B22" s="68">
        <v>44510</v>
      </c>
      <c r="C22" s="69">
        <v>173.9</v>
      </c>
    </row>
    <row r="23" spans="2:3">
      <c r="B23" s="68">
        <v>44509</v>
      </c>
      <c r="C23" s="69">
        <v>181.38</v>
      </c>
    </row>
    <row r="24" spans="2:3">
      <c r="B24" s="68">
        <v>44508</v>
      </c>
      <c r="C24" s="69">
        <v>133.38</v>
      </c>
    </row>
    <row r="25" spans="2:3">
      <c r="B25" s="68">
        <v>44507</v>
      </c>
      <c r="C25" s="69">
        <v>104.34</v>
      </c>
    </row>
    <row r="26" spans="2:3">
      <c r="B26" s="68">
        <v>44506</v>
      </c>
      <c r="C26" s="69">
        <v>118.06</v>
      </c>
    </row>
    <row r="27" spans="2:3">
      <c r="B27" s="68">
        <v>44505</v>
      </c>
      <c r="C27" s="69">
        <v>141.36000000000001</v>
      </c>
    </row>
    <row r="28" spans="2:3">
      <c r="B28" s="68">
        <v>44504</v>
      </c>
      <c r="C28" s="69">
        <v>153.5</v>
      </c>
    </row>
    <row r="29" spans="2:3">
      <c r="B29" s="68">
        <v>44503</v>
      </c>
      <c r="C29" s="69">
        <v>170.82</v>
      </c>
    </row>
    <row r="30" spans="2:3">
      <c r="B30" s="68">
        <v>44502</v>
      </c>
      <c r="C30" s="69">
        <v>184.01</v>
      </c>
    </row>
    <row r="31" spans="2:3">
      <c r="B31" s="68">
        <v>44501</v>
      </c>
      <c r="C31" s="69">
        <v>166.95</v>
      </c>
    </row>
    <row r="32" spans="2:3">
      <c r="B32" t="s">
        <v>125</v>
      </c>
      <c r="C32">
        <f>AVERAGE(C2:C31)</f>
        <v>141.55266666666665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4DE0-D293-7C49-8BE5-5AC6B662A6AD}">
  <dimension ref="B2:K29"/>
  <sheetViews>
    <sheetView topLeftCell="B9" zoomScale="80" zoomScaleNormal="80" workbookViewId="0">
      <selection activeCell="I29" sqref="I29"/>
    </sheetView>
  </sheetViews>
  <sheetFormatPr baseColWidth="10" defaultRowHeight="20"/>
  <cols>
    <col min="8" max="8" width="10.7109375" style="34"/>
  </cols>
  <sheetData>
    <row r="2" spans="2:9">
      <c r="B2" s="13" t="s">
        <v>15</v>
      </c>
      <c r="C2" s="13"/>
      <c r="E2" t="s">
        <v>16</v>
      </c>
      <c r="H2" s="34" t="s">
        <v>103</v>
      </c>
      <c r="I2" t="s">
        <v>29</v>
      </c>
    </row>
    <row r="3" spans="2:9">
      <c r="B3" s="16" t="s">
        <v>21</v>
      </c>
      <c r="C3" s="17" t="s">
        <v>23</v>
      </c>
      <c r="E3" s="16" t="s">
        <v>25</v>
      </c>
      <c r="F3" s="17" t="s">
        <v>23</v>
      </c>
      <c r="H3" s="34" t="s">
        <v>106</v>
      </c>
      <c r="I3" s="53">
        <v>5031096</v>
      </c>
    </row>
    <row r="4" spans="2:9">
      <c r="B4" s="9">
        <v>33</v>
      </c>
      <c r="C4" s="6">
        <v>36</v>
      </c>
      <c r="E4" s="9">
        <v>27</v>
      </c>
      <c r="F4" s="6">
        <v>41</v>
      </c>
      <c r="H4" s="34" t="s">
        <v>57</v>
      </c>
      <c r="I4">
        <v>199998</v>
      </c>
    </row>
    <row r="5" spans="2:9">
      <c r="B5" s="9">
        <v>21</v>
      </c>
      <c r="C5" s="6">
        <v>40</v>
      </c>
      <c r="E5" s="9">
        <v>28</v>
      </c>
      <c r="F5" s="6">
        <v>42</v>
      </c>
      <c r="H5" s="34" t="s">
        <v>104</v>
      </c>
      <c r="I5" s="53">
        <v>182898</v>
      </c>
    </row>
    <row r="6" spans="2:9">
      <c r="B6" s="9">
        <v>25</v>
      </c>
      <c r="C6" s="6">
        <v>34</v>
      </c>
      <c r="E6" s="9">
        <v>26</v>
      </c>
      <c r="F6" s="6">
        <v>40</v>
      </c>
      <c r="H6" s="34" t="s">
        <v>59</v>
      </c>
      <c r="I6" s="53">
        <v>182898</v>
      </c>
    </row>
    <row r="7" spans="2:9">
      <c r="B7" s="9">
        <v>20</v>
      </c>
      <c r="C7" s="6">
        <v>38</v>
      </c>
      <c r="E7" s="9">
        <v>22</v>
      </c>
      <c r="F7" s="6">
        <v>35</v>
      </c>
      <c r="H7" s="34" t="s">
        <v>60</v>
      </c>
      <c r="I7" s="53">
        <v>182898</v>
      </c>
    </row>
    <row r="8" spans="2:9">
      <c r="B8" s="10">
        <v>24</v>
      </c>
      <c r="C8" s="8">
        <v>48</v>
      </c>
      <c r="E8" s="10">
        <v>27</v>
      </c>
      <c r="F8" s="8">
        <v>37</v>
      </c>
      <c r="H8" s="34" t="s">
        <v>61</v>
      </c>
      <c r="I8" s="53">
        <v>182898</v>
      </c>
    </row>
    <row r="9" spans="2:9">
      <c r="B9" s="15"/>
      <c r="C9" s="15"/>
      <c r="D9" s="13"/>
      <c r="E9" s="13"/>
      <c r="F9" s="13"/>
      <c r="H9" s="34" t="s">
        <v>62</v>
      </c>
      <c r="I9" s="53">
        <v>199766</v>
      </c>
    </row>
    <row r="10" spans="2:9">
      <c r="B10" t="s">
        <v>93</v>
      </c>
      <c r="C10" s="13"/>
      <c r="D10" s="13"/>
      <c r="E10" t="s">
        <v>98</v>
      </c>
      <c r="F10" s="13"/>
      <c r="H10" s="34" t="s">
        <v>105</v>
      </c>
      <c r="I10" s="53">
        <v>182666</v>
      </c>
    </row>
    <row r="11" spans="2:9">
      <c r="B11" s="16" t="s">
        <v>25</v>
      </c>
      <c r="C11" s="16" t="s">
        <v>23</v>
      </c>
      <c r="D11" s="51"/>
      <c r="E11" s="16" t="s">
        <v>25</v>
      </c>
      <c r="F11" s="16" t="s">
        <v>23</v>
      </c>
      <c r="H11" s="34" t="s">
        <v>64</v>
      </c>
      <c r="I11" s="53">
        <v>182666</v>
      </c>
    </row>
    <row r="12" spans="2:9">
      <c r="B12" s="2">
        <v>25</v>
      </c>
      <c r="C12" s="2">
        <v>42</v>
      </c>
      <c r="D12" s="52"/>
      <c r="E12" s="2">
        <v>26</v>
      </c>
      <c r="F12" s="2">
        <v>35</v>
      </c>
      <c r="H12" s="34" t="s">
        <v>65</v>
      </c>
      <c r="I12" s="53">
        <v>182666</v>
      </c>
    </row>
    <row r="13" spans="2:9">
      <c r="B13" s="13"/>
      <c r="C13" s="13"/>
      <c r="D13" s="51"/>
      <c r="H13" s="34" t="s">
        <v>66</v>
      </c>
      <c r="I13" s="53">
        <v>182666</v>
      </c>
    </row>
    <row r="14" spans="2:9">
      <c r="B14" t="s">
        <v>94</v>
      </c>
      <c r="C14" s="13"/>
      <c r="D14" s="51"/>
      <c r="E14" t="s">
        <v>99</v>
      </c>
      <c r="F14" s="13"/>
      <c r="H14" s="34" t="s">
        <v>107</v>
      </c>
      <c r="I14" s="53">
        <v>414643</v>
      </c>
    </row>
    <row r="15" spans="2:9">
      <c r="B15" s="16" t="s">
        <v>25</v>
      </c>
      <c r="C15" s="16" t="s">
        <v>23</v>
      </c>
      <c r="D15" s="51"/>
      <c r="E15" s="16" t="s">
        <v>25</v>
      </c>
      <c r="F15" s="16" t="s">
        <v>23</v>
      </c>
      <c r="H15" s="34" t="s">
        <v>90</v>
      </c>
      <c r="I15" s="53">
        <v>429666</v>
      </c>
    </row>
    <row r="16" spans="2:9">
      <c r="B16" s="2">
        <v>21</v>
      </c>
      <c r="C16" s="2">
        <v>43</v>
      </c>
      <c r="D16" s="52"/>
      <c r="E16" s="2">
        <v>27</v>
      </c>
      <c r="F16" s="2">
        <v>39</v>
      </c>
      <c r="H16" s="34" t="s">
        <v>89</v>
      </c>
      <c r="I16" s="53">
        <v>269448</v>
      </c>
    </row>
    <row r="17" spans="2:11">
      <c r="B17" s="13"/>
      <c r="C17" s="13"/>
      <c r="D17" s="51"/>
      <c r="H17" s="34" t="s">
        <v>90</v>
      </c>
      <c r="I17" s="53">
        <v>250208</v>
      </c>
    </row>
    <row r="18" spans="2:11">
      <c r="B18" t="s">
        <v>95</v>
      </c>
      <c r="C18" s="13"/>
      <c r="D18" s="51"/>
      <c r="E18" t="s">
        <v>100</v>
      </c>
      <c r="F18" s="13"/>
      <c r="H18" s="34" t="s">
        <v>90</v>
      </c>
      <c r="I18" s="53">
        <v>247968</v>
      </c>
    </row>
    <row r="19" spans="2:11">
      <c r="B19" s="16" t="s">
        <v>25</v>
      </c>
      <c r="C19" s="16" t="s">
        <v>23</v>
      </c>
      <c r="D19" s="51"/>
      <c r="E19" s="16" t="s">
        <v>25</v>
      </c>
      <c r="F19" s="16" t="s">
        <v>23</v>
      </c>
      <c r="H19" s="34" t="s">
        <v>89</v>
      </c>
      <c r="I19" s="53">
        <v>494407</v>
      </c>
    </row>
    <row r="20" spans="2:11">
      <c r="B20" s="2">
        <v>30</v>
      </c>
      <c r="C20" s="2">
        <v>42</v>
      </c>
      <c r="D20" s="52"/>
      <c r="E20" s="2">
        <v>21</v>
      </c>
      <c r="F20" s="2">
        <v>42</v>
      </c>
      <c r="H20" s="34" t="s">
        <v>90</v>
      </c>
      <c r="I20" s="53">
        <v>336321</v>
      </c>
    </row>
    <row r="21" spans="2:11">
      <c r="B21" s="13"/>
      <c r="C21" s="13"/>
      <c r="D21" s="51"/>
      <c r="H21" s="34" t="s">
        <v>90</v>
      </c>
      <c r="I21" s="53">
        <v>322166</v>
      </c>
    </row>
    <row r="22" spans="2:11">
      <c r="B22" t="s">
        <v>96</v>
      </c>
      <c r="C22" s="13"/>
      <c r="D22" s="51"/>
      <c r="E22" t="s">
        <v>101</v>
      </c>
      <c r="F22" s="13"/>
      <c r="H22" s="34" t="s">
        <v>89</v>
      </c>
      <c r="I22" s="53">
        <v>289996</v>
      </c>
    </row>
    <row r="23" spans="2:11">
      <c r="B23" s="16" t="s">
        <v>25</v>
      </c>
      <c r="C23" s="16" t="s">
        <v>23</v>
      </c>
      <c r="D23" s="51"/>
      <c r="E23" s="16" t="s">
        <v>25</v>
      </c>
      <c r="F23" s="16" t="s">
        <v>23</v>
      </c>
      <c r="H23" s="34" t="s">
        <v>89</v>
      </c>
      <c r="I23" s="53">
        <v>365719</v>
      </c>
    </row>
    <row r="24" spans="2:11">
      <c r="B24" s="2">
        <v>31</v>
      </c>
      <c r="C24" s="2">
        <v>33</v>
      </c>
      <c r="D24" s="52"/>
      <c r="E24" s="2">
        <v>29</v>
      </c>
      <c r="F24" s="2">
        <v>40</v>
      </c>
      <c r="H24" s="34" t="s">
        <v>90</v>
      </c>
      <c r="I24" s="53">
        <v>324672</v>
      </c>
      <c r="J24" t="s">
        <v>111</v>
      </c>
      <c r="K24" t="s">
        <v>112</v>
      </c>
    </row>
    <row r="25" spans="2:11">
      <c r="H25" s="34" t="s">
        <v>87</v>
      </c>
      <c r="I25">
        <f>SUM(I3:I16)</f>
        <v>8006873</v>
      </c>
      <c r="J25">
        <v>3</v>
      </c>
      <c r="K25">
        <f>I25/J25</f>
        <v>2668957.6666666665</v>
      </c>
    </row>
    <row r="26" spans="2:11">
      <c r="B26" t="s">
        <v>97</v>
      </c>
      <c r="C26" s="13"/>
      <c r="E26" t="s">
        <v>102</v>
      </c>
      <c r="F26" s="13"/>
      <c r="H26" s="34" t="s">
        <v>85</v>
      </c>
      <c r="I26">
        <f>SUM(I3:I18)</f>
        <v>8505049</v>
      </c>
      <c r="J26">
        <v>3</v>
      </c>
      <c r="K26">
        <f>I26/J26</f>
        <v>2835016.3333333335</v>
      </c>
    </row>
    <row r="27" spans="2:11">
      <c r="B27" s="16" t="s">
        <v>25</v>
      </c>
      <c r="C27" s="16" t="s">
        <v>23</v>
      </c>
      <c r="E27" s="16" t="s">
        <v>25</v>
      </c>
      <c r="F27" s="16" t="s">
        <v>23</v>
      </c>
      <c r="H27" s="34" t="s">
        <v>108</v>
      </c>
      <c r="I27">
        <f>SUM(I3:I20)</f>
        <v>9335777</v>
      </c>
      <c r="J27">
        <v>5</v>
      </c>
      <c r="K27">
        <f t="shared" ref="K27:K29" si="0">I27/J27</f>
        <v>1867155.4</v>
      </c>
    </row>
    <row r="28" spans="2:11">
      <c r="B28" s="2">
        <v>25</v>
      </c>
      <c r="C28" s="2">
        <v>39</v>
      </c>
      <c r="E28" s="2">
        <v>18</v>
      </c>
      <c r="F28" s="2">
        <v>36</v>
      </c>
      <c r="H28" s="34" t="s">
        <v>109</v>
      </c>
      <c r="I28">
        <f>SUM(I3:I22)</f>
        <v>9947939</v>
      </c>
      <c r="J28">
        <v>5</v>
      </c>
      <c r="K28">
        <f t="shared" si="0"/>
        <v>1989587.8</v>
      </c>
    </row>
    <row r="29" spans="2:11">
      <c r="H29" s="34" t="s">
        <v>110</v>
      </c>
      <c r="I29">
        <f>SUM(I3:I24)</f>
        <v>10638330</v>
      </c>
      <c r="J29">
        <v>8</v>
      </c>
      <c r="K29">
        <f t="shared" si="0"/>
        <v>1329791.25</v>
      </c>
    </row>
  </sheetData>
  <phoneticPr fontId="1"/>
  <pageMargins left="0.7" right="0.7" top="0.75" bottom="0.75" header="0.3" footer="0.3"/>
  <ignoredErrors>
    <ignoredError sqref="I25:I27 I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C8-E57B-8C4B-A00F-3A903F778545}">
  <dimension ref="B2:M37"/>
  <sheetViews>
    <sheetView topLeftCell="B16" zoomScale="76" zoomScaleNormal="76" workbookViewId="0">
      <selection activeCell="I25" sqref="I25"/>
    </sheetView>
  </sheetViews>
  <sheetFormatPr baseColWidth="10" defaultRowHeight="20"/>
  <cols>
    <col min="8" max="8" width="10.7109375" style="34"/>
  </cols>
  <sheetData>
    <row r="2" spans="2:13">
      <c r="B2" s="13" t="s">
        <v>15</v>
      </c>
      <c r="C2" s="13"/>
      <c r="E2" t="s">
        <v>16</v>
      </c>
      <c r="H2" s="34" t="s">
        <v>103</v>
      </c>
      <c r="I2" t="s">
        <v>87</v>
      </c>
      <c r="J2" t="s">
        <v>85</v>
      </c>
      <c r="K2" t="s">
        <v>108</v>
      </c>
      <c r="L2" t="s">
        <v>109</v>
      </c>
      <c r="M2" t="s">
        <v>110</v>
      </c>
    </row>
    <row r="3" spans="2:13">
      <c r="B3" s="16" t="s">
        <v>21</v>
      </c>
      <c r="C3" s="17" t="s">
        <v>23</v>
      </c>
      <c r="E3" s="16" t="s">
        <v>25</v>
      </c>
      <c r="F3" s="17" t="s">
        <v>23</v>
      </c>
      <c r="H3" s="34" t="s">
        <v>106</v>
      </c>
      <c r="I3" s="53">
        <v>1831685</v>
      </c>
      <c r="J3" s="53">
        <v>1831685</v>
      </c>
      <c r="K3" s="53">
        <v>1831685</v>
      </c>
      <c r="L3" s="53">
        <v>1831685</v>
      </c>
      <c r="M3" s="53">
        <v>1831685</v>
      </c>
    </row>
    <row r="4" spans="2:13">
      <c r="B4" s="9">
        <v>33</v>
      </c>
      <c r="C4" s="6">
        <v>36</v>
      </c>
      <c r="E4" s="9">
        <v>27</v>
      </c>
      <c r="F4" s="6">
        <v>41</v>
      </c>
      <c r="H4" s="34" t="s">
        <v>57</v>
      </c>
      <c r="I4" s="53">
        <v>200020</v>
      </c>
      <c r="J4" s="53">
        <v>200020</v>
      </c>
      <c r="K4" s="53">
        <v>200020</v>
      </c>
      <c r="L4" s="53">
        <v>200020</v>
      </c>
      <c r="M4" s="53">
        <v>200020</v>
      </c>
    </row>
    <row r="5" spans="2:13">
      <c r="B5" s="9">
        <v>21</v>
      </c>
      <c r="C5" s="6">
        <v>40</v>
      </c>
      <c r="E5" s="9">
        <v>28</v>
      </c>
      <c r="F5" s="6">
        <v>42</v>
      </c>
      <c r="H5" s="34" t="s">
        <v>104</v>
      </c>
      <c r="I5">
        <v>182920</v>
      </c>
      <c r="J5">
        <v>182920</v>
      </c>
      <c r="K5">
        <v>182920</v>
      </c>
      <c r="L5">
        <v>182920</v>
      </c>
      <c r="M5">
        <v>182920</v>
      </c>
    </row>
    <row r="6" spans="2:13">
      <c r="B6" s="9">
        <v>25</v>
      </c>
      <c r="C6" s="6">
        <v>34</v>
      </c>
      <c r="E6" s="9">
        <v>26</v>
      </c>
      <c r="F6" s="6">
        <v>40</v>
      </c>
      <c r="H6" s="34" t="s">
        <v>59</v>
      </c>
      <c r="I6" s="53">
        <v>182920</v>
      </c>
      <c r="J6" s="53">
        <v>182920</v>
      </c>
      <c r="K6" s="53">
        <v>182920</v>
      </c>
      <c r="L6" s="53">
        <v>182920</v>
      </c>
      <c r="M6" s="53">
        <v>182920</v>
      </c>
    </row>
    <row r="7" spans="2:13">
      <c r="B7" s="9">
        <v>20</v>
      </c>
      <c r="C7" s="6">
        <v>38</v>
      </c>
      <c r="E7" s="9">
        <v>22</v>
      </c>
      <c r="F7" s="6">
        <v>35</v>
      </c>
      <c r="H7" s="34" t="s">
        <v>60</v>
      </c>
      <c r="I7" s="53">
        <v>182920</v>
      </c>
      <c r="J7" s="53">
        <v>182920</v>
      </c>
      <c r="K7" s="53">
        <v>182920</v>
      </c>
      <c r="L7" s="53">
        <v>182920</v>
      </c>
      <c r="M7" s="53">
        <v>182920</v>
      </c>
    </row>
    <row r="8" spans="2:13">
      <c r="B8" s="10">
        <v>24</v>
      </c>
      <c r="C8" s="8">
        <v>48</v>
      </c>
      <c r="E8" s="10">
        <v>27</v>
      </c>
      <c r="F8" s="8">
        <v>37</v>
      </c>
      <c r="H8" s="34" t="s">
        <v>61</v>
      </c>
      <c r="I8" s="53">
        <v>182920</v>
      </c>
      <c r="J8" s="53">
        <v>182920</v>
      </c>
      <c r="K8" s="53">
        <v>182920</v>
      </c>
      <c r="L8" s="53">
        <v>182920</v>
      </c>
      <c r="M8" s="53">
        <v>182920</v>
      </c>
    </row>
    <row r="9" spans="2:13">
      <c r="B9" s="15"/>
      <c r="C9" s="15"/>
      <c r="D9" s="13"/>
      <c r="E9" s="13"/>
      <c r="F9" s="13"/>
      <c r="H9" s="34" t="s">
        <v>62</v>
      </c>
      <c r="I9" s="53">
        <v>199766</v>
      </c>
      <c r="J9" s="53">
        <v>199766</v>
      </c>
      <c r="K9" s="53">
        <v>199766</v>
      </c>
      <c r="L9" s="53">
        <v>199766</v>
      </c>
      <c r="M9" s="53">
        <v>199766</v>
      </c>
    </row>
    <row r="10" spans="2:13">
      <c r="B10" t="s">
        <v>93</v>
      </c>
      <c r="C10" s="13"/>
      <c r="D10" s="13"/>
      <c r="E10" t="s">
        <v>98</v>
      </c>
      <c r="F10" s="13"/>
      <c r="H10" s="34" t="s">
        <v>105</v>
      </c>
      <c r="I10" s="53">
        <v>182666</v>
      </c>
      <c r="J10" s="53">
        <v>182666</v>
      </c>
      <c r="K10" s="53">
        <v>182666</v>
      </c>
      <c r="L10" s="53">
        <v>182666</v>
      </c>
      <c r="M10" s="53">
        <v>182666</v>
      </c>
    </row>
    <row r="11" spans="2:13">
      <c r="B11" s="16" t="s">
        <v>25</v>
      </c>
      <c r="C11" s="16" t="s">
        <v>23</v>
      </c>
      <c r="D11" s="51"/>
      <c r="E11" s="16" t="s">
        <v>25</v>
      </c>
      <c r="F11" s="16" t="s">
        <v>23</v>
      </c>
      <c r="H11" s="34" t="s">
        <v>64</v>
      </c>
      <c r="I11" s="53">
        <v>182666</v>
      </c>
      <c r="J11" s="53">
        <v>182666</v>
      </c>
      <c r="K11" s="53">
        <v>182666</v>
      </c>
      <c r="L11" s="53">
        <v>182666</v>
      </c>
      <c r="M11" s="53">
        <v>182666</v>
      </c>
    </row>
    <row r="12" spans="2:13">
      <c r="B12" s="2">
        <v>25</v>
      </c>
      <c r="C12" s="2">
        <v>42</v>
      </c>
      <c r="D12" s="52"/>
      <c r="E12" s="2">
        <v>26</v>
      </c>
      <c r="F12" s="2">
        <v>35</v>
      </c>
      <c r="H12" s="34" t="s">
        <v>65</v>
      </c>
      <c r="I12" s="53">
        <v>182666</v>
      </c>
      <c r="J12" s="53">
        <v>182666</v>
      </c>
      <c r="K12" s="53">
        <v>182666</v>
      </c>
      <c r="L12" s="53">
        <v>182666</v>
      </c>
      <c r="M12" s="53">
        <v>182666</v>
      </c>
    </row>
    <row r="13" spans="2:13">
      <c r="B13" s="13"/>
      <c r="C13" s="13"/>
      <c r="D13" s="51"/>
      <c r="H13" s="34" t="s">
        <v>66</v>
      </c>
      <c r="I13" s="53">
        <v>182666</v>
      </c>
      <c r="J13" s="53">
        <v>182666</v>
      </c>
      <c r="K13" s="53">
        <v>182666</v>
      </c>
      <c r="L13" s="53">
        <v>182666</v>
      </c>
      <c r="M13" s="53">
        <v>182666</v>
      </c>
    </row>
    <row r="14" spans="2:13">
      <c r="B14" t="s">
        <v>94</v>
      </c>
      <c r="C14" s="13"/>
      <c r="D14" s="51"/>
      <c r="E14" t="s">
        <v>99</v>
      </c>
      <c r="F14" s="13"/>
      <c r="H14" s="34" t="s">
        <v>107</v>
      </c>
      <c r="I14" s="53">
        <v>414643</v>
      </c>
      <c r="J14" s="53">
        <v>414643</v>
      </c>
      <c r="K14" s="53">
        <v>414643</v>
      </c>
      <c r="L14" s="53">
        <v>414643</v>
      </c>
      <c r="M14" s="53">
        <v>414643</v>
      </c>
    </row>
    <row r="15" spans="2:13">
      <c r="B15" s="16" t="s">
        <v>25</v>
      </c>
      <c r="C15" s="16" t="s">
        <v>23</v>
      </c>
      <c r="D15" s="51"/>
      <c r="E15" s="16" t="s">
        <v>25</v>
      </c>
      <c r="F15" s="16" t="s">
        <v>23</v>
      </c>
      <c r="H15" s="34" t="s">
        <v>106</v>
      </c>
      <c r="I15" s="53">
        <v>1831685</v>
      </c>
      <c r="J15" s="53">
        <v>1831685</v>
      </c>
      <c r="K15" s="53">
        <v>1831685</v>
      </c>
      <c r="L15" s="53">
        <v>1831685</v>
      </c>
      <c r="M15" s="53">
        <v>1831685</v>
      </c>
    </row>
    <row r="16" spans="2:13">
      <c r="B16" s="2">
        <v>21</v>
      </c>
      <c r="C16" s="2">
        <v>43</v>
      </c>
      <c r="D16" s="52"/>
      <c r="E16" s="2">
        <v>27</v>
      </c>
      <c r="F16" s="2">
        <v>39</v>
      </c>
      <c r="H16" s="34" t="s">
        <v>57</v>
      </c>
      <c r="I16" s="53">
        <v>200020</v>
      </c>
      <c r="J16" s="53">
        <v>200020</v>
      </c>
      <c r="K16" s="53">
        <v>200020</v>
      </c>
      <c r="L16" s="53">
        <v>200020</v>
      </c>
      <c r="M16" s="53">
        <v>200020</v>
      </c>
    </row>
    <row r="17" spans="2:13">
      <c r="B17" s="13"/>
      <c r="C17" s="13"/>
      <c r="D17" s="51"/>
      <c r="H17" s="34" t="s">
        <v>58</v>
      </c>
      <c r="I17" s="53">
        <v>182920</v>
      </c>
      <c r="J17" s="53">
        <v>182920</v>
      </c>
      <c r="K17" s="53">
        <v>182920</v>
      </c>
      <c r="L17" s="53">
        <v>182920</v>
      </c>
      <c r="M17" s="53">
        <v>182920</v>
      </c>
    </row>
    <row r="18" spans="2:13">
      <c r="B18" t="s">
        <v>95</v>
      </c>
      <c r="C18" s="13"/>
      <c r="D18" s="51"/>
      <c r="E18" t="s">
        <v>100</v>
      </c>
      <c r="F18" s="13"/>
      <c r="H18" s="34" t="s">
        <v>59</v>
      </c>
      <c r="I18" s="53">
        <v>182920</v>
      </c>
      <c r="J18" s="53">
        <v>182920</v>
      </c>
      <c r="K18" s="53">
        <v>182920</v>
      </c>
      <c r="L18" s="53">
        <v>182920</v>
      </c>
      <c r="M18" s="53">
        <v>182920</v>
      </c>
    </row>
    <row r="19" spans="2:13">
      <c r="B19" s="16" t="s">
        <v>25</v>
      </c>
      <c r="C19" s="16" t="s">
        <v>23</v>
      </c>
      <c r="D19" s="51"/>
      <c r="E19" s="16" t="s">
        <v>25</v>
      </c>
      <c r="F19" s="16" t="s">
        <v>23</v>
      </c>
      <c r="H19" s="34" t="s">
        <v>60</v>
      </c>
      <c r="I19" s="53">
        <v>182920</v>
      </c>
      <c r="J19" s="53">
        <v>182920</v>
      </c>
      <c r="K19" s="53">
        <v>182920</v>
      </c>
      <c r="L19" s="53">
        <v>182920</v>
      </c>
      <c r="M19" s="53">
        <v>182920</v>
      </c>
    </row>
    <row r="20" spans="2:13">
      <c r="B20" s="2">
        <v>30</v>
      </c>
      <c r="C20" s="2">
        <v>42</v>
      </c>
      <c r="D20" s="52"/>
      <c r="E20" s="2">
        <v>21</v>
      </c>
      <c r="F20" s="2">
        <v>42</v>
      </c>
      <c r="H20" s="34" t="s">
        <v>62</v>
      </c>
      <c r="I20" s="53">
        <v>199766</v>
      </c>
      <c r="J20" s="53">
        <v>199766</v>
      </c>
      <c r="K20" s="53">
        <v>199766</v>
      </c>
      <c r="L20" s="53">
        <v>199766</v>
      </c>
      <c r="M20" s="53">
        <v>199766</v>
      </c>
    </row>
    <row r="21" spans="2:13">
      <c r="B21" s="13"/>
      <c r="C21" s="13"/>
      <c r="D21" s="51"/>
      <c r="H21" s="34" t="s">
        <v>63</v>
      </c>
      <c r="I21" s="53">
        <v>182666</v>
      </c>
      <c r="J21" s="53">
        <v>182666</v>
      </c>
      <c r="K21" s="53">
        <v>182666</v>
      </c>
      <c r="L21" s="53">
        <v>182666</v>
      </c>
      <c r="M21" s="53">
        <v>182666</v>
      </c>
    </row>
    <row r="22" spans="2:13">
      <c r="B22" t="s">
        <v>96</v>
      </c>
      <c r="C22" s="13"/>
      <c r="D22" s="51"/>
      <c r="E22" t="s">
        <v>101</v>
      </c>
      <c r="F22" s="13"/>
      <c r="H22" s="34" t="s">
        <v>64</v>
      </c>
      <c r="I22" s="53">
        <v>182666</v>
      </c>
      <c r="J22" s="53">
        <v>182666</v>
      </c>
      <c r="K22" s="53">
        <v>182666</v>
      </c>
      <c r="L22" s="53">
        <v>182666</v>
      </c>
      <c r="M22" s="53">
        <v>182666</v>
      </c>
    </row>
    <row r="23" spans="2:13">
      <c r="B23" s="16" t="s">
        <v>25</v>
      </c>
      <c r="C23" s="16" t="s">
        <v>23</v>
      </c>
      <c r="D23" s="51"/>
      <c r="E23" s="16" t="s">
        <v>25</v>
      </c>
      <c r="F23" s="16" t="s">
        <v>23</v>
      </c>
      <c r="H23" s="34" t="s">
        <v>65</v>
      </c>
      <c r="I23" s="53">
        <v>182666</v>
      </c>
      <c r="J23" s="53">
        <v>182666</v>
      </c>
      <c r="K23" s="53">
        <v>182666</v>
      </c>
      <c r="L23" s="53">
        <v>182666</v>
      </c>
      <c r="M23" s="53">
        <v>182666</v>
      </c>
    </row>
    <row r="24" spans="2:13">
      <c r="B24" s="2">
        <v>31</v>
      </c>
      <c r="C24" s="2">
        <v>33</v>
      </c>
      <c r="D24" s="52"/>
      <c r="E24" s="2">
        <v>29</v>
      </c>
      <c r="F24" s="2">
        <v>40</v>
      </c>
      <c r="H24" s="34" t="s">
        <v>90</v>
      </c>
      <c r="I24" s="53">
        <v>182666</v>
      </c>
      <c r="J24" s="53">
        <v>182666</v>
      </c>
      <c r="K24" s="53">
        <v>182666</v>
      </c>
      <c r="L24" s="53">
        <v>182666</v>
      </c>
      <c r="M24" s="53">
        <v>182666</v>
      </c>
    </row>
    <row r="25" spans="2:13">
      <c r="H25" s="34" t="s">
        <v>89</v>
      </c>
      <c r="I25" s="53">
        <v>182920</v>
      </c>
      <c r="J25" s="53">
        <v>182920</v>
      </c>
      <c r="K25" s="53">
        <v>182920</v>
      </c>
      <c r="L25" s="53">
        <v>182920</v>
      </c>
      <c r="M25" s="53">
        <v>182920</v>
      </c>
    </row>
    <row r="26" spans="2:13">
      <c r="B26" t="s">
        <v>97</v>
      </c>
      <c r="C26" s="13"/>
      <c r="E26" t="s">
        <v>102</v>
      </c>
      <c r="F26" s="13"/>
      <c r="H26" s="34" t="s">
        <v>90</v>
      </c>
      <c r="J26" s="53">
        <v>182666</v>
      </c>
      <c r="K26" s="53">
        <v>182666</v>
      </c>
      <c r="L26" s="53">
        <v>182666</v>
      </c>
      <c r="M26" s="53">
        <v>182666</v>
      </c>
    </row>
    <row r="27" spans="2:13">
      <c r="B27" s="16" t="s">
        <v>25</v>
      </c>
      <c r="C27" s="16" t="s">
        <v>23</v>
      </c>
      <c r="E27" s="16" t="s">
        <v>25</v>
      </c>
      <c r="F27" s="16" t="s">
        <v>23</v>
      </c>
      <c r="H27" s="34" t="s">
        <v>90</v>
      </c>
      <c r="J27" s="53">
        <v>182666</v>
      </c>
      <c r="K27" s="53">
        <v>182666</v>
      </c>
      <c r="L27" s="53">
        <v>182666</v>
      </c>
      <c r="M27" s="53">
        <v>182666</v>
      </c>
    </row>
    <row r="28" spans="2:13">
      <c r="B28" s="2">
        <v>25</v>
      </c>
      <c r="C28" s="2">
        <v>39</v>
      </c>
      <c r="E28" s="2">
        <v>18</v>
      </c>
      <c r="F28" s="2">
        <v>36</v>
      </c>
      <c r="H28" s="34" t="s">
        <v>89</v>
      </c>
      <c r="K28" s="53">
        <v>182920</v>
      </c>
      <c r="L28" s="53">
        <v>182920</v>
      </c>
      <c r="M28" s="53">
        <v>182920</v>
      </c>
    </row>
    <row r="29" spans="2:13">
      <c r="H29" s="34" t="s">
        <v>90</v>
      </c>
      <c r="K29" s="53">
        <v>182666</v>
      </c>
      <c r="L29" s="53">
        <v>182666</v>
      </c>
      <c r="M29" s="53">
        <v>182666</v>
      </c>
    </row>
    <row r="30" spans="2:13">
      <c r="H30" s="34" t="s">
        <v>90</v>
      </c>
      <c r="L30" s="53">
        <v>182666</v>
      </c>
      <c r="M30" s="53">
        <v>182666</v>
      </c>
    </row>
    <row r="31" spans="2:13">
      <c r="H31" s="34" t="s">
        <v>89</v>
      </c>
      <c r="L31" s="53">
        <v>182920</v>
      </c>
      <c r="M31" s="53">
        <v>182920</v>
      </c>
    </row>
    <row r="32" spans="2:13">
      <c r="H32" s="34" t="s">
        <v>89</v>
      </c>
      <c r="M32" s="53">
        <v>182920</v>
      </c>
    </row>
    <row r="33" spans="8:13">
      <c r="H33" s="34" t="s">
        <v>90</v>
      </c>
      <c r="M33" s="53">
        <v>182666</v>
      </c>
    </row>
    <row r="34" spans="8:13">
      <c r="H34" s="34" t="s">
        <v>107</v>
      </c>
      <c r="I34" s="53">
        <v>382339</v>
      </c>
      <c r="J34" s="53">
        <v>413311</v>
      </c>
      <c r="K34" s="53">
        <v>536720</v>
      </c>
      <c r="L34" s="53">
        <v>617811</v>
      </c>
      <c r="M34" s="53">
        <v>791180</v>
      </c>
    </row>
    <row r="35" spans="8:13">
      <c r="H35" s="34" t="s">
        <v>70</v>
      </c>
      <c r="I35" s="34">
        <f>SUM(I3:I34)</f>
        <v>8184612</v>
      </c>
      <c r="J35" s="34">
        <f>SUM(J3:J34)</f>
        <v>8580916</v>
      </c>
      <c r="K35">
        <f>SUM(K3:K34)</f>
        <v>9069911</v>
      </c>
      <c r="L35">
        <f>SUM(L3:L34)</f>
        <v>9516588</v>
      </c>
      <c r="M35">
        <f>SUM(M3:M34)</f>
        <v>10055543</v>
      </c>
    </row>
    <row r="36" spans="8:13">
      <c r="H36" s="34" t="s">
        <v>111</v>
      </c>
      <c r="I36">
        <v>3</v>
      </c>
      <c r="J36">
        <v>3</v>
      </c>
      <c r="K36">
        <v>5</v>
      </c>
      <c r="L36">
        <v>5</v>
      </c>
      <c r="M36" s="53">
        <v>6</v>
      </c>
    </row>
    <row r="37" spans="8:13">
      <c r="H37" s="34" t="s">
        <v>112</v>
      </c>
      <c r="I37">
        <f>I35/I36</f>
        <v>2728204</v>
      </c>
      <c r="J37">
        <f t="shared" ref="J37:L37" si="0">J35/J36</f>
        <v>2860305.3333333335</v>
      </c>
      <c r="K37">
        <f t="shared" si="0"/>
        <v>1813982.2</v>
      </c>
      <c r="L37">
        <f t="shared" si="0"/>
        <v>1903317.6</v>
      </c>
      <c r="M37">
        <f>M35/M36</f>
        <v>1675923.8333333333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データ生成シート</vt:lpstr>
      <vt:lpstr>まとめ</vt:lpstr>
      <vt:lpstr>Gas Price AVG</vt:lpstr>
      <vt:lpstr>ザラ場</vt:lpstr>
      <vt:lpstr>板寄せ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バグス　サントソ</dc:creator>
  <cp:lastModifiedBy>バグス　サントソ</cp:lastModifiedBy>
  <dcterms:created xsi:type="dcterms:W3CDTF">2021-10-21T05:47:37Z</dcterms:created>
  <dcterms:modified xsi:type="dcterms:W3CDTF">2022-01-05T05:06:33Z</dcterms:modified>
</cp:coreProperties>
</file>