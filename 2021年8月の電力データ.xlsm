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TUS\BLOCKCHAIN\研究\研究\"/>
    </mc:Choice>
  </mc:AlternateContent>
  <xr:revisionPtr revIDLastSave="0" documentId="13_ncr:1_{E1E4D7A3-4082-40D0-B213-716516AB6D63}" xr6:coauthVersionLast="47" xr6:coauthVersionMax="47" xr10:uidLastSave="{00000000-0000-0000-0000-000000000000}"/>
  <bookViews>
    <workbookView xWindow="-120" yWindow="-120" windowWidth="29040" windowHeight="16440" activeTab="4" xr2:uid="{D8BAF8DF-C535-4A43-9EB8-B233BEE6ABBE}"/>
  </bookViews>
  <sheets>
    <sheet name="8月全国の電力取引データ" sheetId="1" r:id="rId1"/>
    <sheet name="抽出(不足のみ)" sheetId="2" r:id="rId2"/>
    <sheet name="抽出(余剰のみ)" sheetId="3" r:id="rId3"/>
    <sheet name="抽出(18時30分)" sheetId="4" r:id="rId4"/>
    <sheet name="抽出(15時00分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4" i="5" l="1"/>
  <c r="Q34" i="4"/>
  <c r="Q1492" i="1" a="1"/>
  <c r="Q1492" i="1" s="1"/>
  <c r="P1113" i="3"/>
  <c r="P383" i="2"/>
  <c r="P35" i="5"/>
  <c r="P34" i="5"/>
  <c r="A2" i="4" a="1"/>
  <c r="A2" i="4" s="1"/>
  <c r="Q1493" i="1" a="1"/>
  <c r="Q1493" i="1" s="1"/>
  <c r="P1493" i="1"/>
  <c r="P1492" i="1"/>
  <c r="A2" i="5" a="1"/>
  <c r="A2" i="5" s="1"/>
  <c r="A2" i="3" a="1"/>
  <c r="A2" i="3" s="1"/>
  <c r="A2" i="2" a="1"/>
  <c r="A2" i="2" s="1"/>
  <c r="T37" i="1"/>
  <c r="T36" i="1"/>
  <c r="T35" i="1"/>
  <c r="T33" i="1"/>
  <c r="T2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2" i="1"/>
  <c r="B1113" i="3" l="1" a="1"/>
  <c r="B1113" i="3" s="1"/>
  <c r="B383" i="2" a="1"/>
  <c r="B383" i="2" s="1"/>
  <c r="P34" i="4"/>
  <c r="P3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<sst xmlns="http://schemas.openxmlformats.org/spreadsheetml/2006/main" count="122" uniqueCount="53">
  <si>
    <t>日付</t>
    <rPh sb="0" eb="2">
      <t>ヒヅケ</t>
    </rPh>
    <phoneticPr fontId="1"/>
  </si>
  <si>
    <t>時間</t>
    <rPh sb="0" eb="2">
      <t>ジカン</t>
    </rPh>
    <phoneticPr fontId="1"/>
  </si>
  <si>
    <t>北海道</t>
    <rPh sb="0" eb="3">
      <t>ホッカイドウ</t>
    </rPh>
    <phoneticPr fontId="1"/>
  </si>
  <si>
    <t>東北</t>
    <rPh sb="0" eb="2">
      <t>トウホク</t>
    </rPh>
    <phoneticPr fontId="1"/>
  </si>
  <si>
    <t>東京</t>
    <rPh sb="0" eb="2">
      <t>トウキョウ</t>
    </rPh>
    <phoneticPr fontId="1"/>
  </si>
  <si>
    <t>中部</t>
    <rPh sb="0" eb="2">
      <t>チュウブ</t>
    </rPh>
    <phoneticPr fontId="1"/>
  </si>
  <si>
    <t>北陸</t>
    <rPh sb="0" eb="2">
      <t>ホクリク</t>
    </rPh>
    <phoneticPr fontId="1"/>
  </si>
  <si>
    <t>関西</t>
    <rPh sb="0" eb="2">
      <t>カンサイ</t>
    </rPh>
    <phoneticPr fontId="1"/>
  </si>
  <si>
    <t>中国</t>
    <rPh sb="0" eb="2">
      <t>チュウゴク</t>
    </rPh>
    <phoneticPr fontId="1"/>
  </si>
  <si>
    <t>四国</t>
    <rPh sb="0" eb="2">
      <t>シコク</t>
    </rPh>
    <phoneticPr fontId="1"/>
  </si>
  <si>
    <t>九州</t>
    <rPh sb="0" eb="2">
      <t>キュウシュウ</t>
    </rPh>
    <phoneticPr fontId="1"/>
  </si>
  <si>
    <t>沖縄</t>
    <rPh sb="0" eb="2">
      <t>オキナワ</t>
    </rPh>
    <phoneticPr fontId="1"/>
  </si>
  <si>
    <t>システムプライス(円/kwh)</t>
    <rPh sb="9" eb="10">
      <t>エン</t>
    </rPh>
    <phoneticPr fontId="1"/>
  </si>
  <si>
    <t>合計インバランス量[kwh]</t>
    <rPh sb="0" eb="2">
      <t>ゴウケイ</t>
    </rPh>
    <rPh sb="8" eb="9">
      <t>リョウ</t>
    </rPh>
    <phoneticPr fontId="1"/>
  </si>
  <si>
    <t>約定量[kwh]</t>
    <rPh sb="0" eb="3">
      <t>ヤクジョウリョウ</t>
    </rPh>
    <phoneticPr fontId="1"/>
  </si>
  <si>
    <t>インバランス率[%]</t>
    <rPh sb="6" eb="7">
      <t>リツ</t>
    </rPh>
    <phoneticPr fontId="1"/>
  </si>
  <si>
    <t>value(仮) [ETH]</t>
    <rPh sb="6" eb="7">
      <t>カリ</t>
    </rPh>
    <phoneticPr fontId="1"/>
  </si>
  <si>
    <t>&lt;-10</t>
    <phoneticPr fontId="1"/>
  </si>
  <si>
    <t>-10&lt;X&lt;-9</t>
    <phoneticPr fontId="1"/>
  </si>
  <si>
    <t>-9&lt;X&lt;-8</t>
    <phoneticPr fontId="1"/>
  </si>
  <si>
    <t>-8&lt;X&lt;-7</t>
    <phoneticPr fontId="1"/>
  </si>
  <si>
    <t>-7&lt;X&lt;-6</t>
    <phoneticPr fontId="1"/>
  </si>
  <si>
    <t>-6&lt;X&lt;-5</t>
    <phoneticPr fontId="1"/>
  </si>
  <si>
    <t>-5&lt;X&lt;-4</t>
    <phoneticPr fontId="1"/>
  </si>
  <si>
    <t>-4&lt;X&lt;-3</t>
    <phoneticPr fontId="1"/>
  </si>
  <si>
    <t>-3&lt;X&lt;-2</t>
    <phoneticPr fontId="1"/>
  </si>
  <si>
    <t>-2&lt;X&lt;-1</t>
    <phoneticPr fontId="1"/>
  </si>
  <si>
    <t>-1&lt;X&lt;0</t>
    <phoneticPr fontId="1"/>
  </si>
  <si>
    <t>0&lt;X&lt;1</t>
    <phoneticPr fontId="1"/>
  </si>
  <si>
    <t>1&lt;X&lt;2</t>
    <phoneticPr fontId="1"/>
  </si>
  <si>
    <t>2&lt;X&lt;3</t>
    <phoneticPr fontId="1"/>
  </si>
  <si>
    <t>3&lt;X&lt;4</t>
    <phoneticPr fontId="1"/>
  </si>
  <si>
    <t>4&lt;X&lt;5</t>
    <phoneticPr fontId="1"/>
  </si>
  <si>
    <t>5&lt;X&lt;6</t>
    <phoneticPr fontId="1"/>
  </si>
  <si>
    <t>6&lt;X&lt;7</t>
    <phoneticPr fontId="1"/>
  </si>
  <si>
    <t>7&lt;X&lt;8</t>
    <phoneticPr fontId="1"/>
  </si>
  <si>
    <t>8&lt;X&lt;9</t>
    <phoneticPr fontId="1"/>
  </si>
  <si>
    <t>9&lt;X&lt;10</t>
    <phoneticPr fontId="1"/>
  </si>
  <si>
    <t>10&lt;X&lt;11</t>
    <phoneticPr fontId="1"/>
  </si>
  <si>
    <t>11&lt;X&lt;12</t>
    <phoneticPr fontId="1"/>
  </si>
  <si>
    <t>12&lt;X&lt;13</t>
    <phoneticPr fontId="1"/>
  </si>
  <si>
    <t>13&lt;X&lt;14</t>
    <phoneticPr fontId="1"/>
  </si>
  <si>
    <t>14&lt;X&lt;15</t>
    <phoneticPr fontId="1"/>
  </si>
  <si>
    <t>15&lt;X&lt;16</t>
    <phoneticPr fontId="1"/>
  </si>
  <si>
    <t>16&lt;X&lt;17</t>
    <phoneticPr fontId="1"/>
  </si>
  <si>
    <t>17&lt;X&lt;18</t>
    <phoneticPr fontId="1"/>
  </si>
  <si>
    <t>18&lt;X&lt;19</t>
    <phoneticPr fontId="1"/>
  </si>
  <si>
    <t>19&lt;X&lt;20</t>
    <phoneticPr fontId="1"/>
  </si>
  <si>
    <t>&gt;20</t>
    <phoneticPr fontId="1"/>
  </si>
  <si>
    <t>SUM</t>
    <phoneticPr fontId="1"/>
  </si>
  <si>
    <t>不足SUM</t>
    <rPh sb="0" eb="2">
      <t>フソク</t>
    </rPh>
    <phoneticPr fontId="1"/>
  </si>
  <si>
    <t>不足率</t>
    <rPh sb="0" eb="2">
      <t>フソク</t>
    </rPh>
    <rPh sb="2" eb="3">
      <t>リツ</t>
    </rPh>
    <phoneticPr fontId="1"/>
  </si>
  <si>
    <t>多い時間帯</t>
    <rPh sb="0" eb="1">
      <t>オオ</t>
    </rPh>
    <rPh sb="2" eb="5">
      <t>ジカンタイ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</si>
</sst>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248-499A-867A-2451039FCD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48-499A-867A-2451039FCD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248-499A-867A-2451039FCD0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48-499A-867A-2451039FCD0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48-499A-867A-2451039FCD0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48-499A-867A-2451039FCD0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248-499A-867A-2451039FCD0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248-499A-867A-2451039FCD01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248-499A-867A-2451039FCD0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248-499A-867A-2451039FCD01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248-499A-867A-2451039FCD0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248-499A-867A-2451039FCD01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248-499A-867A-2451039FCD0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248-499A-867A-2451039FCD01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48-499A-867A-2451039FCD01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248-499A-867A-2451039FCD01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248-499A-867A-2451039FCD01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1248-499A-867A-2451039FCD01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248-499A-867A-2451039FCD01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248-499A-867A-2451039FCD01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1248-499A-867A-2451039FCD01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248-499A-867A-2451039FCD01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248-499A-867A-2451039FCD01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248-499A-867A-2451039FCD01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248-499A-867A-2451039FCD01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248-499A-867A-2451039FCD01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1248-499A-867A-2451039FCD0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1248-499A-867A-2451039FCD01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1248-499A-867A-2451039FCD01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1248-499A-867A-2451039FCD01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1248-499A-867A-2451039FCD01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1248-499A-867A-2451039FCD01}"/>
              </c:ext>
            </c:extLst>
          </c:dPt>
          <c:cat>
            <c:strRef>
              <c:f>'8月全国の電力取引データ'!$S$2:$S$33</c:f>
              <c:strCache>
                <c:ptCount val="32"/>
                <c:pt idx="0">
                  <c:v>&lt;-10</c:v>
                </c:pt>
                <c:pt idx="1">
                  <c:v>-10&lt;X&lt;-9</c:v>
                </c:pt>
                <c:pt idx="2">
                  <c:v>-9&lt;X&lt;-8</c:v>
                </c:pt>
                <c:pt idx="3">
                  <c:v>-8&lt;X&lt;-7</c:v>
                </c:pt>
                <c:pt idx="4">
                  <c:v>-7&lt;X&lt;-6</c:v>
                </c:pt>
                <c:pt idx="5">
                  <c:v>-6&lt;X&lt;-5</c:v>
                </c:pt>
                <c:pt idx="6">
                  <c:v>-5&lt;X&lt;-4</c:v>
                </c:pt>
                <c:pt idx="7">
                  <c:v>-4&lt;X&lt;-3</c:v>
                </c:pt>
                <c:pt idx="8">
                  <c:v>-3&lt;X&lt;-2</c:v>
                </c:pt>
                <c:pt idx="9">
                  <c:v>-2&lt;X&lt;-1</c:v>
                </c:pt>
                <c:pt idx="10">
                  <c:v>-1&lt;X&lt;0</c:v>
                </c:pt>
                <c:pt idx="11">
                  <c:v>0&lt;X&lt;1</c:v>
                </c:pt>
                <c:pt idx="12">
                  <c:v>1&lt;X&lt;2</c:v>
                </c:pt>
                <c:pt idx="13">
                  <c:v>2&lt;X&lt;3</c:v>
                </c:pt>
                <c:pt idx="14">
                  <c:v>3&lt;X&lt;4</c:v>
                </c:pt>
                <c:pt idx="15">
                  <c:v>4&lt;X&lt;5</c:v>
                </c:pt>
                <c:pt idx="16">
                  <c:v>5&lt;X&lt;6</c:v>
                </c:pt>
                <c:pt idx="17">
                  <c:v>6&lt;X&lt;7</c:v>
                </c:pt>
                <c:pt idx="18">
                  <c:v>7&lt;X&lt;8</c:v>
                </c:pt>
                <c:pt idx="19">
                  <c:v>8&lt;X&lt;9</c:v>
                </c:pt>
                <c:pt idx="20">
                  <c:v>9&lt;X&lt;10</c:v>
                </c:pt>
                <c:pt idx="21">
                  <c:v>10&lt;X&lt;11</c:v>
                </c:pt>
                <c:pt idx="22">
                  <c:v>11&lt;X&lt;12</c:v>
                </c:pt>
                <c:pt idx="23">
                  <c:v>12&lt;X&lt;13</c:v>
                </c:pt>
                <c:pt idx="24">
                  <c:v>13&lt;X&lt;14</c:v>
                </c:pt>
                <c:pt idx="25">
                  <c:v>14&lt;X&lt;15</c:v>
                </c:pt>
                <c:pt idx="26">
                  <c:v>15&lt;X&lt;16</c:v>
                </c:pt>
                <c:pt idx="27">
                  <c:v>16&lt;X&lt;17</c:v>
                </c:pt>
                <c:pt idx="28">
                  <c:v>17&lt;X&lt;18</c:v>
                </c:pt>
                <c:pt idx="29">
                  <c:v>18&lt;X&lt;19</c:v>
                </c:pt>
                <c:pt idx="30">
                  <c:v>19&lt;X&lt;20</c:v>
                </c:pt>
                <c:pt idx="31">
                  <c:v>&gt;20</c:v>
                </c:pt>
              </c:strCache>
            </c:strRef>
          </c:cat>
          <c:val>
            <c:numRef>
              <c:f>'8月全国の電力取引データ'!$T$2:$T$33</c:f>
              <c:numCache>
                <c:formatCode>General</c:formatCode>
                <c:ptCount val="32"/>
                <c:pt idx="0">
                  <c:v>15</c:v>
                </c:pt>
                <c:pt idx="1">
                  <c:v>7</c:v>
                </c:pt>
                <c:pt idx="2">
                  <c:v>6</c:v>
                </c:pt>
                <c:pt idx="3">
                  <c:v>13</c:v>
                </c:pt>
                <c:pt idx="4">
                  <c:v>13</c:v>
                </c:pt>
                <c:pt idx="5">
                  <c:v>18</c:v>
                </c:pt>
                <c:pt idx="6">
                  <c:v>26</c:v>
                </c:pt>
                <c:pt idx="7">
                  <c:v>51</c:v>
                </c:pt>
                <c:pt idx="8">
                  <c:v>49</c:v>
                </c:pt>
                <c:pt idx="9">
                  <c:v>80</c:v>
                </c:pt>
                <c:pt idx="10">
                  <c:v>101</c:v>
                </c:pt>
                <c:pt idx="11">
                  <c:v>141</c:v>
                </c:pt>
                <c:pt idx="12">
                  <c:v>142</c:v>
                </c:pt>
                <c:pt idx="13">
                  <c:v>102</c:v>
                </c:pt>
                <c:pt idx="14">
                  <c:v>78</c:v>
                </c:pt>
                <c:pt idx="15">
                  <c:v>70</c:v>
                </c:pt>
                <c:pt idx="16">
                  <c:v>75</c:v>
                </c:pt>
                <c:pt idx="17">
                  <c:v>87</c:v>
                </c:pt>
                <c:pt idx="18">
                  <c:v>77</c:v>
                </c:pt>
                <c:pt idx="19">
                  <c:v>58</c:v>
                </c:pt>
                <c:pt idx="20">
                  <c:v>35</c:v>
                </c:pt>
                <c:pt idx="21">
                  <c:v>25</c:v>
                </c:pt>
                <c:pt idx="22">
                  <c:v>30</c:v>
                </c:pt>
                <c:pt idx="23">
                  <c:v>24</c:v>
                </c:pt>
                <c:pt idx="24">
                  <c:v>23</c:v>
                </c:pt>
                <c:pt idx="25">
                  <c:v>25</c:v>
                </c:pt>
                <c:pt idx="26">
                  <c:v>28</c:v>
                </c:pt>
                <c:pt idx="27">
                  <c:v>24</c:v>
                </c:pt>
                <c:pt idx="28">
                  <c:v>18</c:v>
                </c:pt>
                <c:pt idx="29">
                  <c:v>20</c:v>
                </c:pt>
                <c:pt idx="30">
                  <c:v>10</c:v>
                </c:pt>
                <c:pt idx="3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8-499A-867A-2451039FC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1773470447"/>
        <c:axId val="1773475439"/>
      </c:barChart>
      <c:catAx>
        <c:axId val="17734704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インバランス率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475439"/>
        <c:crosses val="autoZero"/>
        <c:auto val="1"/>
        <c:lblAlgn val="ctr"/>
        <c:lblOffset val="100"/>
        <c:noMultiLvlLbl val="0"/>
      </c:catAx>
      <c:valAx>
        <c:axId val="17734754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該当コマ数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470447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425824</xdr:colOff>
      <xdr:row>3</xdr:row>
      <xdr:rowOff>23532</xdr:rowOff>
    </xdr:from>
    <xdr:to>
      <xdr:col>29</xdr:col>
      <xdr:colOff>437029</xdr:colOff>
      <xdr:row>23</xdr:row>
      <xdr:rowOff>145676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E1A0869-4F51-4EDF-8D71-37074467D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83B1-1403-4D55-B89E-93485E0467C2}">
  <dimension ref="A1:T1493"/>
  <sheetViews>
    <sheetView zoomScale="85" zoomScaleNormal="85" workbookViewId="0">
      <selection activeCell="M1494" sqref="M1494"/>
    </sheetView>
  </sheetViews>
  <sheetFormatPr defaultRowHeight="18.75" x14ac:dyDescent="0.4"/>
  <cols>
    <col min="1" max="1" width="10" bestFit="1" customWidth="1"/>
    <col min="2" max="2" width="6.25" bestFit="1" customWidth="1"/>
    <col min="3" max="3" width="8.625" bestFit="1" customWidth="1"/>
    <col min="5" max="6" width="9.625" bestFit="1" customWidth="1"/>
    <col min="7" max="7" width="8.625" bestFit="1" customWidth="1"/>
    <col min="9" max="10" width="8.625" bestFit="1" customWidth="1"/>
    <col min="11" max="11" width="9.625" bestFit="1" customWidth="1"/>
    <col min="12" max="12" width="7.625" bestFit="1" customWidth="1"/>
    <col min="13" max="13" width="25.75" bestFit="1" customWidth="1"/>
    <col min="14" max="14" width="25" bestFit="1" customWidth="1"/>
    <col min="15" max="15" width="12.5" bestFit="1" customWidth="1"/>
    <col min="16" max="16" width="18.5" bestFit="1" customWidth="1"/>
    <col min="17" max="17" width="15.5" bestFit="1" customWidth="1"/>
  </cols>
  <sheetData>
    <row r="1" spans="1:2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20" x14ac:dyDescent="0.4">
      <c r="A2">
        <v>20210801</v>
      </c>
      <c r="B2" s="1">
        <v>0</v>
      </c>
      <c r="C2">
        <v>15532</v>
      </c>
      <c r="D2">
        <v>-26679</v>
      </c>
      <c r="E2">
        <v>-33793</v>
      </c>
      <c r="F2">
        <v>210874</v>
      </c>
      <c r="G2">
        <v>-13087</v>
      </c>
      <c r="H2">
        <v>210470</v>
      </c>
      <c r="I2">
        <v>-89236</v>
      </c>
      <c r="J2">
        <v>-17860</v>
      </c>
      <c r="K2">
        <v>-110700</v>
      </c>
      <c r="L2">
        <v>-50207</v>
      </c>
      <c r="M2">
        <v>6.93</v>
      </c>
      <c r="N2">
        <f>C2+D2+E2+F2+G2+H2+I2+J2+K2+L2</f>
        <v>95314</v>
      </c>
      <c r="O2">
        <v>17655400</v>
      </c>
      <c r="P2" s="2">
        <f>((N2*100)/O2)</f>
        <v>0.53985749402449112</v>
      </c>
      <c r="Q2" s="4">
        <f>(M2*O2)/10^7</f>
        <v>12.2351922</v>
      </c>
      <c r="S2" s="5" t="s">
        <v>17</v>
      </c>
      <c r="T2">
        <f>COUNTIF(P2:P1489,"&lt;-10")</f>
        <v>15</v>
      </c>
    </row>
    <row r="3" spans="1:20" x14ac:dyDescent="0.4">
      <c r="A3">
        <v>20210801</v>
      </c>
      <c r="B3" s="1">
        <v>2.0833333333333332E-2</v>
      </c>
      <c r="C3">
        <v>13765</v>
      </c>
      <c r="D3">
        <v>8553</v>
      </c>
      <c r="E3">
        <v>-121859</v>
      </c>
      <c r="F3">
        <v>243887</v>
      </c>
      <c r="G3">
        <v>10507</v>
      </c>
      <c r="H3">
        <v>190937</v>
      </c>
      <c r="I3">
        <v>-90586</v>
      </c>
      <c r="J3">
        <v>-23970</v>
      </c>
      <c r="K3">
        <v>-93444</v>
      </c>
      <c r="L3">
        <v>-46398</v>
      </c>
      <c r="M3">
        <v>6.93</v>
      </c>
      <c r="N3">
        <f t="shared" ref="N3:N66" si="0">C3+D3+E3+F3+G3+H3+I3+J3+K3+L3</f>
        <v>91392</v>
      </c>
      <c r="O3">
        <v>18958700</v>
      </c>
      <c r="P3" s="2">
        <f t="shared" ref="P3:P66" si="1">((N3*100)/O3)</f>
        <v>0.48205836898099552</v>
      </c>
      <c r="Q3" s="4">
        <f t="shared" ref="Q3:Q66" si="2">(M3*O3)/10^7</f>
        <v>13.1383791</v>
      </c>
      <c r="S3" s="5" t="s">
        <v>18</v>
      </c>
      <c r="T3">
        <f>COUNTIFS(P2:P1489,"&gt;=-10",P2:P1489,"&lt;-9")</f>
        <v>7</v>
      </c>
    </row>
    <row r="4" spans="1:20" x14ac:dyDescent="0.4">
      <c r="A4">
        <v>20210801</v>
      </c>
      <c r="B4" s="1">
        <v>4.1666666666666664E-2</v>
      </c>
      <c r="C4">
        <v>40699</v>
      </c>
      <c r="D4">
        <v>-45666</v>
      </c>
      <c r="E4">
        <v>-152555</v>
      </c>
      <c r="F4">
        <v>236714</v>
      </c>
      <c r="G4">
        <v>10703</v>
      </c>
      <c r="H4">
        <v>199471</v>
      </c>
      <c r="I4">
        <v>-44477</v>
      </c>
      <c r="J4">
        <v>-10904</v>
      </c>
      <c r="K4">
        <v>-59007</v>
      </c>
      <c r="L4">
        <v>-41214</v>
      </c>
      <c r="M4">
        <v>7.03</v>
      </c>
      <c r="N4">
        <f t="shared" si="0"/>
        <v>133764</v>
      </c>
      <c r="O4">
        <v>19205250</v>
      </c>
      <c r="P4" s="2">
        <f t="shared" si="1"/>
        <v>0.69649705158745656</v>
      </c>
      <c r="Q4" s="4">
        <f t="shared" si="2"/>
        <v>13.501290750000001</v>
      </c>
      <c r="S4" s="5" t="s">
        <v>19</v>
      </c>
      <c r="T4">
        <f>COUNTIFS(P2:P1489,"&gt;=-9",P2:P1489,"&lt;-8")</f>
        <v>6</v>
      </c>
    </row>
    <row r="5" spans="1:20" x14ac:dyDescent="0.4">
      <c r="A5">
        <v>20210801</v>
      </c>
      <c r="B5" s="1">
        <v>6.25E-2</v>
      </c>
      <c r="C5">
        <v>43710</v>
      </c>
      <c r="D5">
        <v>-47171</v>
      </c>
      <c r="E5">
        <v>5069</v>
      </c>
      <c r="F5">
        <v>225977</v>
      </c>
      <c r="G5">
        <v>-2754</v>
      </c>
      <c r="H5">
        <v>156520</v>
      </c>
      <c r="I5">
        <v>-22997</v>
      </c>
      <c r="J5">
        <v>-16464</v>
      </c>
      <c r="K5">
        <v>-36193</v>
      </c>
      <c r="L5">
        <v>-42234</v>
      </c>
      <c r="M5">
        <v>6.99</v>
      </c>
      <c r="N5">
        <f t="shared" si="0"/>
        <v>263463</v>
      </c>
      <c r="O5">
        <v>19286800</v>
      </c>
      <c r="P5" s="2">
        <f t="shared" si="1"/>
        <v>1.3660275421531825</v>
      </c>
      <c r="Q5" s="4">
        <f t="shared" si="2"/>
        <v>13.4814732</v>
      </c>
      <c r="S5" s="5" t="s">
        <v>20</v>
      </c>
      <c r="T5">
        <f>COUNTIFS(P2:P1489,"&gt;=-8",P2:P1489,"&lt;-7")</f>
        <v>13</v>
      </c>
    </row>
    <row r="6" spans="1:20" x14ac:dyDescent="0.4">
      <c r="A6">
        <v>20210801</v>
      </c>
      <c r="B6" s="1">
        <v>8.3333333333333329E-2</v>
      </c>
      <c r="C6">
        <v>34667</v>
      </c>
      <c r="D6">
        <v>-60448</v>
      </c>
      <c r="E6">
        <v>-99797</v>
      </c>
      <c r="F6">
        <v>250335</v>
      </c>
      <c r="G6">
        <v>12366</v>
      </c>
      <c r="H6">
        <v>130315</v>
      </c>
      <c r="I6">
        <v>-6157</v>
      </c>
      <c r="J6">
        <v>-6901</v>
      </c>
      <c r="K6">
        <v>-82360</v>
      </c>
      <c r="L6">
        <v>-36874</v>
      </c>
      <c r="M6">
        <v>6.72</v>
      </c>
      <c r="N6">
        <f t="shared" si="0"/>
        <v>135146</v>
      </c>
      <c r="O6">
        <v>19354300</v>
      </c>
      <c r="P6" s="2">
        <f t="shared" si="1"/>
        <v>0.69827376861989321</v>
      </c>
      <c r="Q6" s="4">
        <f t="shared" si="2"/>
        <v>13.006089599999999</v>
      </c>
      <c r="S6" s="5" t="s">
        <v>21</v>
      </c>
      <c r="T6">
        <f>COUNTIFS(P2:P1489,"&gt;=-7",P2:P1489,"&lt;-6")</f>
        <v>13</v>
      </c>
    </row>
    <row r="7" spans="1:20" x14ac:dyDescent="0.4">
      <c r="A7">
        <v>20210801</v>
      </c>
      <c r="B7" s="1">
        <v>0.10416666666666667</v>
      </c>
      <c r="C7">
        <v>95393</v>
      </c>
      <c r="D7">
        <v>-46171</v>
      </c>
      <c r="E7">
        <v>-7859</v>
      </c>
      <c r="F7">
        <v>282793</v>
      </c>
      <c r="G7">
        <v>-210</v>
      </c>
      <c r="H7">
        <v>82810</v>
      </c>
      <c r="I7">
        <v>-39216</v>
      </c>
      <c r="J7">
        <v>-7439</v>
      </c>
      <c r="K7">
        <v>-76289</v>
      </c>
      <c r="L7">
        <v>-46219</v>
      </c>
      <c r="M7">
        <v>6.64</v>
      </c>
      <c r="N7">
        <f t="shared" si="0"/>
        <v>237593</v>
      </c>
      <c r="O7">
        <v>19478100</v>
      </c>
      <c r="P7" s="2">
        <f t="shared" si="1"/>
        <v>1.2197955652758738</v>
      </c>
      <c r="Q7" s="4">
        <f t="shared" si="2"/>
        <v>12.933458399999999</v>
      </c>
      <c r="S7" s="5" t="s">
        <v>22</v>
      </c>
      <c r="T7">
        <f>COUNTIFS(P2:P1489,"&gt;=-6",P2:P1489,"&lt;-5")</f>
        <v>18</v>
      </c>
    </row>
    <row r="8" spans="1:20" x14ac:dyDescent="0.4">
      <c r="A8">
        <v>20210801</v>
      </c>
      <c r="B8" s="1">
        <v>0.125</v>
      </c>
      <c r="C8">
        <v>50620</v>
      </c>
      <c r="D8">
        <v>-63868</v>
      </c>
      <c r="E8">
        <v>-100555</v>
      </c>
      <c r="F8">
        <v>220451</v>
      </c>
      <c r="G8">
        <v>9310</v>
      </c>
      <c r="H8">
        <v>124574</v>
      </c>
      <c r="I8">
        <v>-35978</v>
      </c>
      <c r="J8">
        <v>5124</v>
      </c>
      <c r="K8">
        <v>-78296</v>
      </c>
      <c r="L8">
        <v>-41617</v>
      </c>
      <c r="M8">
        <v>6.78</v>
      </c>
      <c r="N8">
        <f t="shared" si="0"/>
        <v>89765</v>
      </c>
      <c r="O8">
        <v>19630600</v>
      </c>
      <c r="P8" s="2">
        <f t="shared" si="1"/>
        <v>0.45727079151936262</v>
      </c>
      <c r="Q8" s="4">
        <f t="shared" si="2"/>
        <v>13.3095468</v>
      </c>
      <c r="S8" s="5" t="s">
        <v>23</v>
      </c>
      <c r="T8">
        <f>COUNTIFS(P2:P1489,"&gt;=-5",P2:P1489,"&lt;-4")</f>
        <v>26</v>
      </c>
    </row>
    <row r="9" spans="1:20" x14ac:dyDescent="0.4">
      <c r="A9">
        <v>20210801</v>
      </c>
      <c r="B9" s="1">
        <v>0.14583333333333334</v>
      </c>
      <c r="C9">
        <v>29282</v>
      </c>
      <c r="D9">
        <v>-42491</v>
      </c>
      <c r="E9">
        <v>-6132</v>
      </c>
      <c r="F9">
        <v>230161</v>
      </c>
      <c r="G9">
        <v>26846</v>
      </c>
      <c r="H9">
        <v>122642</v>
      </c>
      <c r="I9">
        <v>23671</v>
      </c>
      <c r="J9">
        <v>21113</v>
      </c>
      <c r="K9">
        <v>-20359</v>
      </c>
      <c r="L9">
        <v>-40148</v>
      </c>
      <c r="M9">
        <v>6.72</v>
      </c>
      <c r="N9">
        <f t="shared" si="0"/>
        <v>344585</v>
      </c>
      <c r="O9">
        <v>19671400</v>
      </c>
      <c r="P9" s="2">
        <f t="shared" si="1"/>
        <v>1.7517055217218906</v>
      </c>
      <c r="Q9" s="4">
        <f t="shared" si="2"/>
        <v>13.2191808</v>
      </c>
      <c r="S9" s="5" t="s">
        <v>24</v>
      </c>
      <c r="T9">
        <f>COUNTIFS(P2:P1489,"&gt;=-4",P2:P1489,"&lt;-3")</f>
        <v>51</v>
      </c>
    </row>
    <row r="10" spans="1:20" x14ac:dyDescent="0.4">
      <c r="A10">
        <v>20210801</v>
      </c>
      <c r="B10" s="1">
        <v>0.16666666666666666</v>
      </c>
      <c r="C10">
        <v>53859</v>
      </c>
      <c r="D10">
        <v>-55393</v>
      </c>
      <c r="E10">
        <v>-7903</v>
      </c>
      <c r="F10">
        <v>42878</v>
      </c>
      <c r="G10">
        <v>30778</v>
      </c>
      <c r="H10">
        <v>203201</v>
      </c>
      <c r="I10">
        <v>22149</v>
      </c>
      <c r="J10">
        <v>50012</v>
      </c>
      <c r="K10">
        <v>-23002</v>
      </c>
      <c r="L10">
        <v>-37405</v>
      </c>
      <c r="M10">
        <v>6.77</v>
      </c>
      <c r="N10">
        <f t="shared" si="0"/>
        <v>279174</v>
      </c>
      <c r="O10">
        <v>19693950</v>
      </c>
      <c r="P10" s="2">
        <f t="shared" si="1"/>
        <v>1.4175622462736017</v>
      </c>
      <c r="Q10" s="4">
        <f t="shared" si="2"/>
        <v>13.332804149999998</v>
      </c>
      <c r="S10" s="5" t="s">
        <v>25</v>
      </c>
      <c r="T10">
        <f>COUNTIFS(P2:P1489,"&gt;=-3",P2:P1489,"&lt;-2")</f>
        <v>49</v>
      </c>
    </row>
    <row r="11" spans="1:20" x14ac:dyDescent="0.4">
      <c r="A11">
        <v>20210801</v>
      </c>
      <c r="B11" s="1">
        <v>0.1875</v>
      </c>
      <c r="C11">
        <v>20961</v>
      </c>
      <c r="D11">
        <v>-21574</v>
      </c>
      <c r="E11">
        <v>32411</v>
      </c>
      <c r="F11">
        <v>50284</v>
      </c>
      <c r="G11">
        <v>5676</v>
      </c>
      <c r="H11">
        <v>129662</v>
      </c>
      <c r="I11">
        <v>-23372</v>
      </c>
      <c r="J11">
        <v>30798</v>
      </c>
      <c r="K11">
        <v>73523</v>
      </c>
      <c r="L11">
        <v>-43755</v>
      </c>
      <c r="M11">
        <v>6.77</v>
      </c>
      <c r="N11">
        <f t="shared" si="0"/>
        <v>254614</v>
      </c>
      <c r="O11">
        <v>19808300</v>
      </c>
      <c r="P11" s="2">
        <f t="shared" si="1"/>
        <v>1.2853904676322552</v>
      </c>
      <c r="Q11" s="4">
        <f t="shared" si="2"/>
        <v>13.410219099999999</v>
      </c>
      <c r="S11" s="5" t="s">
        <v>26</v>
      </c>
      <c r="T11">
        <f>COUNTIFS(P2:P1489,"&gt;=-2",P2:P1489,"&lt;-1")</f>
        <v>80</v>
      </c>
    </row>
    <row r="12" spans="1:20" x14ac:dyDescent="0.4">
      <c r="A12">
        <v>20210801</v>
      </c>
      <c r="B12" s="1">
        <v>0.20833333333333334</v>
      </c>
      <c r="C12">
        <v>44954</v>
      </c>
      <c r="D12">
        <v>39060</v>
      </c>
      <c r="E12">
        <v>-110005</v>
      </c>
      <c r="F12">
        <v>27209</v>
      </c>
      <c r="G12">
        <v>-8791</v>
      </c>
      <c r="H12">
        <v>98854</v>
      </c>
      <c r="I12">
        <v>-4221</v>
      </c>
      <c r="J12">
        <v>30755</v>
      </c>
      <c r="K12">
        <v>5202</v>
      </c>
      <c r="L12">
        <v>-42462</v>
      </c>
      <c r="M12">
        <v>6.77</v>
      </c>
      <c r="N12">
        <f t="shared" si="0"/>
        <v>80555</v>
      </c>
      <c r="O12">
        <v>19812950</v>
      </c>
      <c r="P12" s="2">
        <f t="shared" si="1"/>
        <v>0.4065775162204518</v>
      </c>
      <c r="Q12" s="4">
        <f t="shared" si="2"/>
        <v>13.413367149999999</v>
      </c>
      <c r="S12" s="5" t="s">
        <v>27</v>
      </c>
      <c r="T12">
        <f>COUNTIFS(P2:P1489,"&gt;=-1",P2:P1489,"&lt;0")</f>
        <v>101</v>
      </c>
    </row>
    <row r="13" spans="1:20" x14ac:dyDescent="0.4">
      <c r="A13">
        <v>20210801</v>
      </c>
      <c r="B13" s="1">
        <v>0.22916666666666666</v>
      </c>
      <c r="C13">
        <v>-12639</v>
      </c>
      <c r="D13">
        <v>115350</v>
      </c>
      <c r="E13">
        <v>292527</v>
      </c>
      <c r="F13">
        <v>73221</v>
      </c>
      <c r="G13">
        <v>9436</v>
      </c>
      <c r="H13">
        <v>110068</v>
      </c>
      <c r="I13">
        <v>-1184</v>
      </c>
      <c r="J13">
        <v>13719</v>
      </c>
      <c r="K13">
        <v>-29512</v>
      </c>
      <c r="L13">
        <v>-41661</v>
      </c>
      <c r="M13">
        <v>6.6</v>
      </c>
      <c r="N13">
        <f t="shared" si="0"/>
        <v>529325</v>
      </c>
      <c r="O13">
        <v>19937100</v>
      </c>
      <c r="P13" s="2">
        <f t="shared" si="1"/>
        <v>2.654974896048071</v>
      </c>
      <c r="Q13" s="4">
        <f t="shared" si="2"/>
        <v>13.158486</v>
      </c>
      <c r="S13" s="5" t="s">
        <v>28</v>
      </c>
      <c r="T13">
        <f>COUNTIFS(P2:P1489,"&gt;=0",P2:P1489,"&lt;1")</f>
        <v>141</v>
      </c>
    </row>
    <row r="14" spans="1:20" x14ac:dyDescent="0.4">
      <c r="A14">
        <v>20210801</v>
      </c>
      <c r="B14" s="1">
        <v>0.25</v>
      </c>
      <c r="C14">
        <v>-10985</v>
      </c>
      <c r="D14">
        <v>177670</v>
      </c>
      <c r="E14">
        <v>77890</v>
      </c>
      <c r="F14">
        <v>28840</v>
      </c>
      <c r="G14">
        <v>10269</v>
      </c>
      <c r="H14">
        <v>58511</v>
      </c>
      <c r="I14">
        <v>87364</v>
      </c>
      <c r="J14">
        <v>11226</v>
      </c>
      <c r="K14">
        <v>-107933</v>
      </c>
      <c r="L14">
        <v>-43681</v>
      </c>
      <c r="M14">
        <v>6.45</v>
      </c>
      <c r="N14">
        <f t="shared" si="0"/>
        <v>289171</v>
      </c>
      <c r="O14">
        <v>19844000</v>
      </c>
      <c r="P14" s="2">
        <f t="shared" si="1"/>
        <v>1.4572213263454949</v>
      </c>
      <c r="Q14" s="4">
        <f t="shared" si="2"/>
        <v>12.799379999999999</v>
      </c>
      <c r="S14" s="5" t="s">
        <v>29</v>
      </c>
      <c r="T14">
        <f>COUNTIFS(P2:P1489,"&gt;=1",P2:P1489,"&lt;2")</f>
        <v>142</v>
      </c>
    </row>
    <row r="15" spans="1:20" x14ac:dyDescent="0.4">
      <c r="A15">
        <v>20210801</v>
      </c>
      <c r="B15" s="1">
        <v>0.27083333333333331</v>
      </c>
      <c r="C15">
        <v>7457</v>
      </c>
      <c r="D15">
        <v>296590</v>
      </c>
      <c r="E15">
        <v>662476</v>
      </c>
      <c r="F15">
        <v>48279</v>
      </c>
      <c r="G15">
        <v>-6332</v>
      </c>
      <c r="H15">
        <v>31267</v>
      </c>
      <c r="I15">
        <v>224312</v>
      </c>
      <c r="J15">
        <v>8388</v>
      </c>
      <c r="K15">
        <v>-228477</v>
      </c>
      <c r="L15">
        <v>-47352</v>
      </c>
      <c r="M15">
        <v>6.45</v>
      </c>
      <c r="N15">
        <f t="shared" si="0"/>
        <v>996608</v>
      </c>
      <c r="O15">
        <v>20183800</v>
      </c>
      <c r="P15" s="2">
        <f t="shared" si="1"/>
        <v>4.9376628781498031</v>
      </c>
      <c r="Q15" s="4">
        <f t="shared" si="2"/>
        <v>13.018551</v>
      </c>
      <c r="S15" s="5" t="s">
        <v>30</v>
      </c>
      <c r="T15">
        <f>COUNTIFS(P2:P1489,"&gt;=2",P2:P1489,"&lt;3")</f>
        <v>102</v>
      </c>
    </row>
    <row r="16" spans="1:20" x14ac:dyDescent="0.4">
      <c r="A16">
        <v>20210801</v>
      </c>
      <c r="B16" s="1">
        <v>0.29166666666666669</v>
      </c>
      <c r="C16">
        <v>-17446</v>
      </c>
      <c r="D16">
        <v>402173</v>
      </c>
      <c r="E16">
        <v>558734</v>
      </c>
      <c r="F16">
        <v>-8664</v>
      </c>
      <c r="G16">
        <v>-19854</v>
      </c>
      <c r="H16">
        <v>65511</v>
      </c>
      <c r="I16">
        <v>292083</v>
      </c>
      <c r="J16">
        <v>38524</v>
      </c>
      <c r="K16">
        <v>-378919</v>
      </c>
      <c r="L16">
        <v>-37757</v>
      </c>
      <c r="M16">
        <v>6.33</v>
      </c>
      <c r="N16">
        <f t="shared" si="0"/>
        <v>894385</v>
      </c>
      <c r="O16">
        <v>20648150</v>
      </c>
      <c r="P16" s="2">
        <f t="shared" si="1"/>
        <v>4.3315502841658935</v>
      </c>
      <c r="Q16" s="4">
        <f t="shared" si="2"/>
        <v>13.070278950000001</v>
      </c>
      <c r="S16" s="5" t="s">
        <v>31</v>
      </c>
      <c r="T16">
        <f>COUNTIFS(P2:P1489,"&gt;=3",P2:P1489,"&lt;4")</f>
        <v>78</v>
      </c>
    </row>
    <row r="17" spans="1:20" x14ac:dyDescent="0.4">
      <c r="A17">
        <v>20210801</v>
      </c>
      <c r="B17" s="1">
        <v>0.3125</v>
      </c>
      <c r="C17">
        <v>-28851</v>
      </c>
      <c r="D17">
        <v>509884</v>
      </c>
      <c r="E17">
        <v>999224</v>
      </c>
      <c r="F17">
        <v>43190</v>
      </c>
      <c r="G17">
        <v>21010</v>
      </c>
      <c r="H17">
        <v>80202</v>
      </c>
      <c r="I17">
        <v>441912</v>
      </c>
      <c r="J17">
        <v>102728</v>
      </c>
      <c r="K17">
        <v>-543720</v>
      </c>
      <c r="L17">
        <v>-46136</v>
      </c>
      <c r="M17">
        <v>6.48</v>
      </c>
      <c r="N17">
        <f t="shared" si="0"/>
        <v>1579443</v>
      </c>
      <c r="O17">
        <v>21270700</v>
      </c>
      <c r="P17" s="2">
        <f t="shared" si="1"/>
        <v>7.4254396893379155</v>
      </c>
      <c r="Q17" s="4">
        <f t="shared" si="2"/>
        <v>13.783413599999999</v>
      </c>
      <c r="S17" s="5" t="s">
        <v>32</v>
      </c>
      <c r="T17">
        <f>COUNTIFS(P2:P1489,"&gt;=4",P2:P1489,"&lt;5")</f>
        <v>70</v>
      </c>
    </row>
    <row r="18" spans="1:20" x14ac:dyDescent="0.4">
      <c r="A18">
        <v>20210801</v>
      </c>
      <c r="B18" s="1">
        <v>0.33333333333333331</v>
      </c>
      <c r="C18">
        <v>-34378</v>
      </c>
      <c r="D18">
        <v>435225</v>
      </c>
      <c r="E18">
        <v>212331</v>
      </c>
      <c r="F18">
        <v>161624</v>
      </c>
      <c r="G18">
        <v>82525</v>
      </c>
      <c r="H18">
        <v>133925</v>
      </c>
      <c r="I18">
        <v>84545</v>
      </c>
      <c r="J18">
        <v>140183</v>
      </c>
      <c r="K18">
        <v>-617188</v>
      </c>
      <c r="L18">
        <v>-34092</v>
      </c>
      <c r="M18">
        <v>6.49</v>
      </c>
      <c r="N18">
        <f t="shared" si="0"/>
        <v>564700</v>
      </c>
      <c r="O18">
        <v>21859100</v>
      </c>
      <c r="P18" s="2">
        <f t="shared" si="1"/>
        <v>2.5833634504622789</v>
      </c>
      <c r="Q18" s="4">
        <f t="shared" si="2"/>
        <v>14.1865559</v>
      </c>
      <c r="S18" s="5" t="s">
        <v>33</v>
      </c>
      <c r="T18">
        <f>COUNTIFS(P2:P1489,"&gt;=5",P2:P1489,"&lt;6")</f>
        <v>75</v>
      </c>
    </row>
    <row r="19" spans="1:20" x14ac:dyDescent="0.4">
      <c r="A19">
        <v>20210801</v>
      </c>
      <c r="B19" s="1">
        <v>0.35416666666666669</v>
      </c>
      <c r="C19">
        <v>-2655</v>
      </c>
      <c r="D19">
        <v>443342</v>
      </c>
      <c r="E19">
        <v>526844</v>
      </c>
      <c r="F19">
        <v>282448</v>
      </c>
      <c r="G19">
        <v>40505</v>
      </c>
      <c r="H19">
        <v>110372</v>
      </c>
      <c r="I19">
        <v>135995</v>
      </c>
      <c r="J19">
        <v>156328</v>
      </c>
      <c r="K19">
        <v>-688292</v>
      </c>
      <c r="L19">
        <v>-48991</v>
      </c>
      <c r="M19">
        <v>6.45</v>
      </c>
      <c r="N19">
        <f t="shared" si="0"/>
        <v>955896</v>
      </c>
      <c r="O19">
        <v>22280600</v>
      </c>
      <c r="P19" s="2">
        <f t="shared" si="1"/>
        <v>4.2902614830839383</v>
      </c>
      <c r="Q19" s="4">
        <f t="shared" si="2"/>
        <v>14.370987</v>
      </c>
      <c r="S19" s="5" t="s">
        <v>34</v>
      </c>
      <c r="T19">
        <f>COUNTIFS(P2:P1489,"&gt;=6",P2:P1489,"&lt;7")</f>
        <v>87</v>
      </c>
    </row>
    <row r="20" spans="1:20" x14ac:dyDescent="0.4">
      <c r="A20">
        <v>20210801</v>
      </c>
      <c r="B20" s="1">
        <v>0.375</v>
      </c>
      <c r="C20">
        <v>-32268</v>
      </c>
      <c r="D20">
        <v>385856</v>
      </c>
      <c r="E20">
        <v>-60700</v>
      </c>
      <c r="F20">
        <v>452420</v>
      </c>
      <c r="G20">
        <v>93164</v>
      </c>
      <c r="H20">
        <v>43215</v>
      </c>
      <c r="I20">
        <v>201920</v>
      </c>
      <c r="J20">
        <v>151425</v>
      </c>
      <c r="K20">
        <v>-598216</v>
      </c>
      <c r="L20">
        <v>-19041</v>
      </c>
      <c r="M20">
        <v>6.64</v>
      </c>
      <c r="N20">
        <f t="shared" si="0"/>
        <v>617775</v>
      </c>
      <c r="O20">
        <v>22607000</v>
      </c>
      <c r="P20" s="2">
        <f t="shared" si="1"/>
        <v>2.7326712965010835</v>
      </c>
      <c r="Q20" s="4">
        <f t="shared" si="2"/>
        <v>15.011048000000001</v>
      </c>
      <c r="S20" s="5" t="s">
        <v>35</v>
      </c>
      <c r="T20">
        <f>COUNTIFS(P2:P1489,"&gt;=7",P2:P1489,"&lt;8")</f>
        <v>77</v>
      </c>
    </row>
    <row r="21" spans="1:20" x14ac:dyDescent="0.4">
      <c r="A21">
        <v>20210801</v>
      </c>
      <c r="B21" s="1">
        <v>0.39583333333333331</v>
      </c>
      <c r="C21">
        <v>-33867</v>
      </c>
      <c r="D21">
        <v>379460</v>
      </c>
      <c r="E21">
        <v>41409</v>
      </c>
      <c r="F21">
        <v>461133</v>
      </c>
      <c r="G21">
        <v>98592</v>
      </c>
      <c r="H21">
        <v>208498</v>
      </c>
      <c r="I21">
        <v>260687</v>
      </c>
      <c r="J21">
        <v>156399</v>
      </c>
      <c r="K21">
        <v>-395871</v>
      </c>
      <c r="L21">
        <v>-21961</v>
      </c>
      <c r="M21">
        <v>6.86</v>
      </c>
      <c r="N21">
        <f t="shared" si="0"/>
        <v>1154479</v>
      </c>
      <c r="O21">
        <v>22793750</v>
      </c>
      <c r="P21" s="2">
        <f t="shared" si="1"/>
        <v>5.0648927885933643</v>
      </c>
      <c r="Q21" s="4">
        <f t="shared" si="2"/>
        <v>15.6365125</v>
      </c>
      <c r="S21" s="5" t="s">
        <v>36</v>
      </c>
      <c r="T21">
        <f>COUNTIFS(P2:P1489,"&gt;=8",P2:P1489,"&lt;9")</f>
        <v>58</v>
      </c>
    </row>
    <row r="22" spans="1:20" x14ac:dyDescent="0.4">
      <c r="A22">
        <v>20210801</v>
      </c>
      <c r="B22" s="1">
        <v>0.41666666666666702</v>
      </c>
      <c r="C22">
        <v>-47269</v>
      </c>
      <c r="D22">
        <v>288527</v>
      </c>
      <c r="E22">
        <v>-128927</v>
      </c>
      <c r="F22">
        <v>578136</v>
      </c>
      <c r="G22">
        <v>106463</v>
      </c>
      <c r="H22">
        <v>121970</v>
      </c>
      <c r="I22">
        <v>358283</v>
      </c>
      <c r="J22">
        <v>196397</v>
      </c>
      <c r="K22">
        <v>-207222</v>
      </c>
      <c r="L22">
        <v>-28492</v>
      </c>
      <c r="M22">
        <v>6.92</v>
      </c>
      <c r="N22">
        <f t="shared" si="0"/>
        <v>1237866</v>
      </c>
      <c r="O22">
        <v>23239550</v>
      </c>
      <c r="P22" s="2">
        <f t="shared" si="1"/>
        <v>5.3265489219885929</v>
      </c>
      <c r="Q22" s="4">
        <f t="shared" si="2"/>
        <v>16.0817686</v>
      </c>
      <c r="S22" s="5" t="s">
        <v>37</v>
      </c>
      <c r="T22">
        <f>COUNTIFS(P2:P1489,"&gt;=9",P2:P1489,"&lt;10")</f>
        <v>35</v>
      </c>
    </row>
    <row r="23" spans="1:20" x14ac:dyDescent="0.4">
      <c r="A23">
        <v>20210801</v>
      </c>
      <c r="B23" s="1">
        <v>0.4375</v>
      </c>
      <c r="C23">
        <v>84481</v>
      </c>
      <c r="D23">
        <v>227765</v>
      </c>
      <c r="E23">
        <v>231594</v>
      </c>
      <c r="F23">
        <v>603095</v>
      </c>
      <c r="G23">
        <v>114636</v>
      </c>
      <c r="H23">
        <v>135684</v>
      </c>
      <c r="I23">
        <v>328888</v>
      </c>
      <c r="J23">
        <v>212545</v>
      </c>
      <c r="K23">
        <v>49061</v>
      </c>
      <c r="L23">
        <v>-35896</v>
      </c>
      <c r="M23">
        <v>6.92</v>
      </c>
      <c r="N23">
        <f t="shared" si="0"/>
        <v>1951853</v>
      </c>
      <c r="O23">
        <v>23331400</v>
      </c>
      <c r="P23" s="2">
        <f t="shared" si="1"/>
        <v>8.3657774501315831</v>
      </c>
      <c r="Q23" s="4">
        <f t="shared" si="2"/>
        <v>16.145328800000001</v>
      </c>
      <c r="S23" s="5" t="s">
        <v>38</v>
      </c>
      <c r="T23">
        <f>COUNTIFS(P2:P1489,"&gt;=10",P2:P1489,"&lt;11")</f>
        <v>25</v>
      </c>
    </row>
    <row r="24" spans="1:20" x14ac:dyDescent="0.4">
      <c r="A24">
        <v>20210801</v>
      </c>
      <c r="B24" s="1">
        <v>0.45833333333333331</v>
      </c>
      <c r="C24">
        <v>6947</v>
      </c>
      <c r="D24">
        <v>176200</v>
      </c>
      <c r="E24">
        <v>167566</v>
      </c>
      <c r="F24">
        <v>632852</v>
      </c>
      <c r="G24">
        <v>108975</v>
      </c>
      <c r="H24">
        <v>-35495</v>
      </c>
      <c r="I24">
        <v>361279</v>
      </c>
      <c r="J24">
        <v>193198</v>
      </c>
      <c r="K24">
        <v>283850</v>
      </c>
      <c r="L24">
        <v>-30061</v>
      </c>
      <c r="M24">
        <v>6.99</v>
      </c>
      <c r="N24">
        <f t="shared" si="0"/>
        <v>1865311</v>
      </c>
      <c r="O24">
        <v>23482850</v>
      </c>
      <c r="P24" s="2">
        <f t="shared" si="1"/>
        <v>7.9432905290456652</v>
      </c>
      <c r="Q24" s="4">
        <f t="shared" si="2"/>
        <v>16.41451215</v>
      </c>
      <c r="S24" s="5" t="s">
        <v>39</v>
      </c>
      <c r="T24">
        <f>COUNTIFS(P2:P1489,"&gt;=11",P2:P1489,"&lt;12")</f>
        <v>30</v>
      </c>
    </row>
    <row r="25" spans="1:20" x14ac:dyDescent="0.4">
      <c r="A25">
        <v>20210801</v>
      </c>
      <c r="B25" s="1">
        <v>0.47916666666666669</v>
      </c>
      <c r="C25">
        <v>4577</v>
      </c>
      <c r="D25">
        <v>145686</v>
      </c>
      <c r="E25">
        <v>29841</v>
      </c>
      <c r="F25">
        <v>565297</v>
      </c>
      <c r="G25">
        <v>141791</v>
      </c>
      <c r="H25">
        <v>-143991</v>
      </c>
      <c r="I25">
        <v>357910</v>
      </c>
      <c r="J25">
        <v>160985</v>
      </c>
      <c r="K25">
        <v>509954</v>
      </c>
      <c r="L25">
        <v>-31983</v>
      </c>
      <c r="M25">
        <v>6.99</v>
      </c>
      <c r="N25">
        <f t="shared" si="0"/>
        <v>1740067</v>
      </c>
      <c r="O25">
        <v>23658950</v>
      </c>
      <c r="P25" s="2">
        <f t="shared" si="1"/>
        <v>7.3547938517981564</v>
      </c>
      <c r="Q25" s="4">
        <f t="shared" si="2"/>
        <v>16.537606050000001</v>
      </c>
      <c r="S25" s="5" t="s">
        <v>40</v>
      </c>
      <c r="T25">
        <f>COUNTIFS(P2:P1489,"&gt;=12",P2:P1489,"&lt;13")</f>
        <v>24</v>
      </c>
    </row>
    <row r="26" spans="1:20" x14ac:dyDescent="0.4">
      <c r="A26">
        <v>20210801</v>
      </c>
      <c r="B26" s="1">
        <v>0.5</v>
      </c>
      <c r="C26">
        <v>53747</v>
      </c>
      <c r="D26">
        <v>245285</v>
      </c>
      <c r="E26">
        <v>-103007</v>
      </c>
      <c r="F26">
        <v>354168</v>
      </c>
      <c r="G26">
        <v>127001</v>
      </c>
      <c r="H26">
        <v>-166738</v>
      </c>
      <c r="I26">
        <v>357669</v>
      </c>
      <c r="J26">
        <v>127168</v>
      </c>
      <c r="K26">
        <v>762628</v>
      </c>
      <c r="L26">
        <v>-20188</v>
      </c>
      <c r="M26">
        <v>7.23</v>
      </c>
      <c r="N26">
        <f t="shared" si="0"/>
        <v>1737733</v>
      </c>
      <c r="O26">
        <v>23236550</v>
      </c>
      <c r="P26" s="2">
        <f t="shared" si="1"/>
        <v>7.4784466713001718</v>
      </c>
      <c r="Q26" s="4">
        <f t="shared" si="2"/>
        <v>16.800025649999998</v>
      </c>
      <c r="S26" s="5" t="s">
        <v>41</v>
      </c>
      <c r="T26">
        <f>COUNTIFS(P2:P1489,"&gt;=13",P2:P1489,"&lt;14")</f>
        <v>23</v>
      </c>
    </row>
    <row r="27" spans="1:20" x14ac:dyDescent="0.4">
      <c r="A27">
        <v>20210801</v>
      </c>
      <c r="B27" s="1">
        <v>0.52083333333333337</v>
      </c>
      <c r="C27">
        <v>48928</v>
      </c>
      <c r="D27">
        <v>375241</v>
      </c>
      <c r="E27">
        <v>-166399</v>
      </c>
      <c r="F27">
        <v>305022</v>
      </c>
      <c r="G27">
        <v>134336</v>
      </c>
      <c r="H27">
        <v>-308355</v>
      </c>
      <c r="I27">
        <v>397453</v>
      </c>
      <c r="J27">
        <v>95197</v>
      </c>
      <c r="K27">
        <v>989149</v>
      </c>
      <c r="L27">
        <v>-20847</v>
      </c>
      <c r="M27">
        <v>7.46</v>
      </c>
      <c r="N27">
        <f t="shared" si="0"/>
        <v>1849725</v>
      </c>
      <c r="O27">
        <v>22936500</v>
      </c>
      <c r="P27" s="2">
        <f t="shared" si="1"/>
        <v>8.0645477731999211</v>
      </c>
      <c r="Q27" s="4">
        <f t="shared" si="2"/>
        <v>17.110628999999999</v>
      </c>
      <c r="S27" s="5" t="s">
        <v>42</v>
      </c>
      <c r="T27">
        <f>COUNTIFS(P2:P1489,"&gt;=14",P2:P1489,"&lt;15")</f>
        <v>25</v>
      </c>
    </row>
    <row r="28" spans="1:20" x14ac:dyDescent="0.4">
      <c r="A28">
        <v>20210801</v>
      </c>
      <c r="B28" s="1">
        <v>0.54166666666666663</v>
      </c>
      <c r="C28">
        <v>62258</v>
      </c>
      <c r="D28">
        <v>407053</v>
      </c>
      <c r="E28">
        <v>402567</v>
      </c>
      <c r="F28">
        <v>163127</v>
      </c>
      <c r="G28">
        <v>116591</v>
      </c>
      <c r="H28">
        <v>-261833</v>
      </c>
      <c r="I28">
        <v>364111</v>
      </c>
      <c r="J28">
        <v>87111</v>
      </c>
      <c r="K28">
        <v>1112817</v>
      </c>
      <c r="L28">
        <v>-16827</v>
      </c>
      <c r="M28">
        <v>8.86</v>
      </c>
      <c r="N28">
        <f t="shared" si="0"/>
        <v>2436975</v>
      </c>
      <c r="O28">
        <v>22399100</v>
      </c>
      <c r="P28" s="2">
        <f t="shared" si="1"/>
        <v>10.879789812983557</v>
      </c>
      <c r="Q28" s="4">
        <f t="shared" si="2"/>
        <v>19.845602599999999</v>
      </c>
      <c r="S28" s="5" t="s">
        <v>43</v>
      </c>
      <c r="T28">
        <f>COUNTIFS(P2:P1489,"&gt;=15",P2:P1489,"&lt;16")</f>
        <v>28</v>
      </c>
    </row>
    <row r="29" spans="1:20" x14ac:dyDescent="0.4">
      <c r="A29">
        <v>20210801</v>
      </c>
      <c r="B29" s="1">
        <v>0.5625</v>
      </c>
      <c r="C29">
        <v>64705</v>
      </c>
      <c r="D29">
        <v>236538</v>
      </c>
      <c r="E29">
        <v>-58709</v>
      </c>
      <c r="F29">
        <v>226852</v>
      </c>
      <c r="G29">
        <v>136501</v>
      </c>
      <c r="H29">
        <v>-340620</v>
      </c>
      <c r="I29">
        <v>391814</v>
      </c>
      <c r="J29">
        <v>81922</v>
      </c>
      <c r="K29">
        <v>1268927</v>
      </c>
      <c r="L29">
        <v>-29703</v>
      </c>
      <c r="M29">
        <v>8.19</v>
      </c>
      <c r="N29">
        <f t="shared" si="0"/>
        <v>1978227</v>
      </c>
      <c r="O29">
        <v>22919300</v>
      </c>
      <c r="P29" s="2">
        <f t="shared" si="1"/>
        <v>8.6312714611702805</v>
      </c>
      <c r="Q29" s="4">
        <f t="shared" si="2"/>
        <v>18.770906700000001</v>
      </c>
      <c r="S29" s="5" t="s">
        <v>44</v>
      </c>
      <c r="T29">
        <f>COUNTIFS(P2:P1489,"&gt;=16",P2:P1489,"&lt;17")</f>
        <v>24</v>
      </c>
    </row>
    <row r="30" spans="1:20" x14ac:dyDescent="0.4">
      <c r="A30">
        <v>20210801</v>
      </c>
      <c r="B30" s="1">
        <v>0.58333333333333337</v>
      </c>
      <c r="C30">
        <v>100381</v>
      </c>
      <c r="D30">
        <v>254229</v>
      </c>
      <c r="E30">
        <v>420549</v>
      </c>
      <c r="F30">
        <v>273965</v>
      </c>
      <c r="G30">
        <v>137682</v>
      </c>
      <c r="H30">
        <v>-143025</v>
      </c>
      <c r="I30">
        <v>356597</v>
      </c>
      <c r="J30">
        <v>39103</v>
      </c>
      <c r="K30">
        <v>1206885</v>
      </c>
      <c r="L30">
        <v>-12474</v>
      </c>
      <c r="M30">
        <v>8.86</v>
      </c>
      <c r="N30">
        <f t="shared" si="0"/>
        <v>2633892</v>
      </c>
      <c r="O30">
        <v>22640100</v>
      </c>
      <c r="P30" s="2">
        <f t="shared" si="1"/>
        <v>11.633747200763247</v>
      </c>
      <c r="Q30" s="4">
        <f t="shared" si="2"/>
        <v>20.059128600000001</v>
      </c>
      <c r="S30" s="5" t="s">
        <v>45</v>
      </c>
      <c r="T30">
        <f>COUNTIFS(P2:P1489,"&gt;=17",P2:P1489,"&lt;18")</f>
        <v>18</v>
      </c>
    </row>
    <row r="31" spans="1:20" x14ac:dyDescent="0.4">
      <c r="A31">
        <v>20210801</v>
      </c>
      <c r="B31" s="1">
        <v>0.60416666666666663</v>
      </c>
      <c r="C31">
        <v>102458</v>
      </c>
      <c r="D31">
        <v>150159</v>
      </c>
      <c r="E31">
        <v>-59274</v>
      </c>
      <c r="F31">
        <v>294943</v>
      </c>
      <c r="G31">
        <v>93397</v>
      </c>
      <c r="H31">
        <v>-69286</v>
      </c>
      <c r="I31">
        <v>332504</v>
      </c>
      <c r="J31">
        <v>7666</v>
      </c>
      <c r="K31">
        <v>1185469</v>
      </c>
      <c r="L31">
        <v>-20058</v>
      </c>
      <c r="M31">
        <v>8.86</v>
      </c>
      <c r="N31">
        <f t="shared" si="0"/>
        <v>2017978</v>
      </c>
      <c r="O31">
        <v>22330100</v>
      </c>
      <c r="P31" s="2">
        <f t="shared" si="1"/>
        <v>9.0370307343003393</v>
      </c>
      <c r="Q31" s="4">
        <f t="shared" si="2"/>
        <v>19.7844686</v>
      </c>
      <c r="S31" s="5" t="s">
        <v>46</v>
      </c>
      <c r="T31">
        <f>COUNTIFS(P2:P1489,"&gt;=18",P2:P1489,"&lt;19")</f>
        <v>20</v>
      </c>
    </row>
    <row r="32" spans="1:20" x14ac:dyDescent="0.4">
      <c r="A32">
        <v>20210801</v>
      </c>
      <c r="B32" s="1">
        <v>0.625</v>
      </c>
      <c r="C32">
        <v>144934</v>
      </c>
      <c r="D32">
        <v>67029</v>
      </c>
      <c r="E32">
        <v>275797</v>
      </c>
      <c r="F32">
        <v>121998</v>
      </c>
      <c r="G32">
        <v>67898</v>
      </c>
      <c r="H32">
        <v>16578</v>
      </c>
      <c r="I32">
        <v>385299</v>
      </c>
      <c r="J32">
        <v>-15578</v>
      </c>
      <c r="K32">
        <v>1027700</v>
      </c>
      <c r="L32">
        <v>-22998</v>
      </c>
      <c r="M32">
        <v>8.32</v>
      </c>
      <c r="N32">
        <f t="shared" si="0"/>
        <v>2068657</v>
      </c>
      <c r="O32">
        <v>22026650</v>
      </c>
      <c r="P32" s="2">
        <f t="shared" si="1"/>
        <v>9.391609709147783</v>
      </c>
      <c r="Q32" s="4">
        <f t="shared" si="2"/>
        <v>18.326172799999998</v>
      </c>
      <c r="S32" s="5" t="s">
        <v>47</v>
      </c>
      <c r="T32">
        <f>COUNTIFS(P2:P1489,"&gt;=19",P2:P1489,"&lt;20")</f>
        <v>10</v>
      </c>
    </row>
    <row r="33" spans="1:20" x14ac:dyDescent="0.4">
      <c r="A33">
        <v>20210801</v>
      </c>
      <c r="B33" s="1">
        <v>0.64583333333333337</v>
      </c>
      <c r="C33">
        <v>118830</v>
      </c>
      <c r="D33">
        <v>164760</v>
      </c>
      <c r="E33">
        <v>-276155</v>
      </c>
      <c r="F33">
        <v>-78732</v>
      </c>
      <c r="G33">
        <v>47308</v>
      </c>
      <c r="H33">
        <v>-8031</v>
      </c>
      <c r="I33">
        <v>336741</v>
      </c>
      <c r="J33">
        <v>-33498</v>
      </c>
      <c r="K33">
        <v>808929</v>
      </c>
      <c r="L33">
        <v>-38509</v>
      </c>
      <c r="M33">
        <v>8.64</v>
      </c>
      <c r="N33">
        <f t="shared" si="0"/>
        <v>1041643</v>
      </c>
      <c r="O33">
        <v>21637500</v>
      </c>
      <c r="P33" s="2">
        <f t="shared" si="1"/>
        <v>4.8140635470826112</v>
      </c>
      <c r="Q33" s="4">
        <f t="shared" si="2"/>
        <v>18.694800000000001</v>
      </c>
      <c r="S33" s="5" t="s">
        <v>48</v>
      </c>
      <c r="T33">
        <f>COUNTIF(P2:P1489,"&gt;20")</f>
        <v>17</v>
      </c>
    </row>
    <row r="34" spans="1:20" x14ac:dyDescent="0.4">
      <c r="A34">
        <v>20210801</v>
      </c>
      <c r="B34" s="1">
        <v>0.66666666666666663</v>
      </c>
      <c r="C34">
        <v>48602</v>
      </c>
      <c r="D34">
        <v>291105</v>
      </c>
      <c r="E34">
        <v>646155</v>
      </c>
      <c r="F34">
        <v>-19726</v>
      </c>
      <c r="G34">
        <v>25549</v>
      </c>
      <c r="H34">
        <v>39107</v>
      </c>
      <c r="I34">
        <v>225781</v>
      </c>
      <c r="J34">
        <v>-93611</v>
      </c>
      <c r="K34">
        <v>493286</v>
      </c>
      <c r="L34">
        <v>-27842</v>
      </c>
      <c r="M34">
        <v>9.56</v>
      </c>
      <c r="N34">
        <f t="shared" si="0"/>
        <v>1628406</v>
      </c>
      <c r="O34">
        <v>22256200</v>
      </c>
      <c r="P34" s="2">
        <f t="shared" si="1"/>
        <v>7.3166398576576412</v>
      </c>
      <c r="Q34" s="4">
        <f t="shared" si="2"/>
        <v>21.276927199999999</v>
      </c>
    </row>
    <row r="35" spans="1:20" x14ac:dyDescent="0.4">
      <c r="A35">
        <v>20210801</v>
      </c>
      <c r="B35" s="1">
        <v>0.6875</v>
      </c>
      <c r="C35">
        <v>175565</v>
      </c>
      <c r="D35">
        <v>345303</v>
      </c>
      <c r="E35">
        <v>-372618</v>
      </c>
      <c r="F35">
        <v>-53745</v>
      </c>
      <c r="G35">
        <v>-1133</v>
      </c>
      <c r="H35">
        <v>153166</v>
      </c>
      <c r="I35">
        <v>90114</v>
      </c>
      <c r="J35">
        <v>-143315</v>
      </c>
      <c r="K35">
        <v>194524</v>
      </c>
      <c r="L35">
        <v>-45427</v>
      </c>
      <c r="M35">
        <v>9.6199999999999992</v>
      </c>
      <c r="N35">
        <f t="shared" si="0"/>
        <v>342434</v>
      </c>
      <c r="O35">
        <v>21575850</v>
      </c>
      <c r="P35" s="2">
        <f t="shared" si="1"/>
        <v>1.5871170776585859</v>
      </c>
      <c r="Q35" s="4">
        <f t="shared" si="2"/>
        <v>20.755967699999996</v>
      </c>
      <c r="S35" s="5" t="s">
        <v>49</v>
      </c>
      <c r="T35">
        <f>SUM(T2:T33)</f>
        <v>1488</v>
      </c>
    </row>
    <row r="36" spans="1:20" x14ac:dyDescent="0.4">
      <c r="A36">
        <v>20210801</v>
      </c>
      <c r="B36" s="1">
        <v>0.70833333333333337</v>
      </c>
      <c r="C36">
        <v>118596</v>
      </c>
      <c r="D36">
        <v>276464</v>
      </c>
      <c r="E36">
        <v>374292</v>
      </c>
      <c r="F36">
        <v>-3616</v>
      </c>
      <c r="G36">
        <v>4519</v>
      </c>
      <c r="H36">
        <v>105388</v>
      </c>
      <c r="I36">
        <v>-24690</v>
      </c>
      <c r="J36">
        <v>-194218</v>
      </c>
      <c r="K36">
        <v>17927</v>
      </c>
      <c r="L36">
        <v>-31498</v>
      </c>
      <c r="M36">
        <v>9.81</v>
      </c>
      <c r="N36">
        <f t="shared" si="0"/>
        <v>643164</v>
      </c>
      <c r="O36">
        <v>21389200</v>
      </c>
      <c r="P36" s="2">
        <f t="shared" si="1"/>
        <v>3.006956781927328</v>
      </c>
      <c r="Q36" s="4">
        <f t="shared" si="2"/>
        <v>20.982805200000001</v>
      </c>
      <c r="S36" s="5" t="s">
        <v>50</v>
      </c>
      <c r="T36">
        <f>SUM(T2:T12)</f>
        <v>379</v>
      </c>
    </row>
    <row r="37" spans="1:20" x14ac:dyDescent="0.4">
      <c r="A37">
        <v>20210801</v>
      </c>
      <c r="B37" s="1">
        <v>0.72916666666666663</v>
      </c>
      <c r="C37">
        <v>100606</v>
      </c>
      <c r="D37">
        <v>145873</v>
      </c>
      <c r="E37">
        <v>-542288</v>
      </c>
      <c r="F37">
        <v>45280</v>
      </c>
      <c r="G37">
        <v>895</v>
      </c>
      <c r="H37">
        <v>217513</v>
      </c>
      <c r="I37">
        <v>-91693</v>
      </c>
      <c r="J37">
        <v>-200973</v>
      </c>
      <c r="K37">
        <v>-82172</v>
      </c>
      <c r="L37">
        <v>-39898</v>
      </c>
      <c r="M37">
        <v>9.89</v>
      </c>
      <c r="N37">
        <f t="shared" si="0"/>
        <v>-446857</v>
      </c>
      <c r="O37">
        <v>21001300</v>
      </c>
      <c r="P37" s="2">
        <f t="shared" si="1"/>
        <v>-2.1277587577911845</v>
      </c>
      <c r="Q37" s="4">
        <f t="shared" si="2"/>
        <v>20.770285699999999</v>
      </c>
      <c r="S37" s="5" t="s">
        <v>51</v>
      </c>
      <c r="T37" s="3">
        <f>T36/T35</f>
        <v>0.25470430107526881</v>
      </c>
    </row>
    <row r="38" spans="1:20" x14ac:dyDescent="0.4">
      <c r="A38">
        <v>20210801</v>
      </c>
      <c r="B38" s="1">
        <v>0.75</v>
      </c>
      <c r="C38">
        <v>4003</v>
      </c>
      <c r="D38">
        <v>4319</v>
      </c>
      <c r="E38">
        <v>-50796</v>
      </c>
      <c r="F38">
        <v>9381</v>
      </c>
      <c r="G38">
        <v>35481</v>
      </c>
      <c r="H38">
        <v>123156</v>
      </c>
      <c r="I38">
        <v>59671</v>
      </c>
      <c r="J38">
        <v>-180540</v>
      </c>
      <c r="K38">
        <v>-64885</v>
      </c>
      <c r="L38">
        <v>-26482</v>
      </c>
      <c r="M38">
        <v>9.85</v>
      </c>
      <c r="N38">
        <f t="shared" si="0"/>
        <v>-86692</v>
      </c>
      <c r="O38">
        <v>20793150</v>
      </c>
      <c r="P38" s="2">
        <f t="shared" si="1"/>
        <v>-0.41692576641826756</v>
      </c>
      <c r="Q38" s="4">
        <f t="shared" si="2"/>
        <v>20.481252749999999</v>
      </c>
    </row>
    <row r="39" spans="1:20" x14ac:dyDescent="0.4">
      <c r="A39">
        <v>20210801</v>
      </c>
      <c r="B39" s="1">
        <v>0.77083333333333337</v>
      </c>
      <c r="C39">
        <v>19048</v>
      </c>
      <c r="D39">
        <v>-80971</v>
      </c>
      <c r="E39">
        <v>-296689</v>
      </c>
      <c r="F39">
        <v>52325</v>
      </c>
      <c r="G39">
        <v>2566</v>
      </c>
      <c r="H39">
        <v>95372</v>
      </c>
      <c r="I39">
        <v>36812</v>
      </c>
      <c r="J39">
        <v>-134850</v>
      </c>
      <c r="K39">
        <v>4177</v>
      </c>
      <c r="L39">
        <v>-42155</v>
      </c>
      <c r="M39">
        <v>9.9600000000000009</v>
      </c>
      <c r="N39">
        <f t="shared" si="0"/>
        <v>-344365</v>
      </c>
      <c r="O39">
        <v>20519900</v>
      </c>
      <c r="P39" s="2">
        <f t="shared" si="1"/>
        <v>-1.6782001861607512</v>
      </c>
      <c r="Q39" s="4">
        <f t="shared" si="2"/>
        <v>20.437820400000003</v>
      </c>
    </row>
    <row r="40" spans="1:20" x14ac:dyDescent="0.4">
      <c r="A40">
        <v>20210801</v>
      </c>
      <c r="B40" s="1">
        <v>0.79166666666666663</v>
      </c>
      <c r="C40">
        <v>-18035</v>
      </c>
      <c r="D40">
        <v>-19266</v>
      </c>
      <c r="E40">
        <v>-182814</v>
      </c>
      <c r="F40">
        <v>49687</v>
      </c>
      <c r="G40">
        <v>-11693</v>
      </c>
      <c r="H40">
        <v>-167339</v>
      </c>
      <c r="I40">
        <v>-21246</v>
      </c>
      <c r="J40">
        <v>-71680</v>
      </c>
      <c r="K40">
        <v>46955</v>
      </c>
      <c r="L40">
        <v>-43156</v>
      </c>
      <c r="M40">
        <v>9.9</v>
      </c>
      <c r="N40">
        <f t="shared" si="0"/>
        <v>-438587</v>
      </c>
      <c r="O40">
        <v>20487950</v>
      </c>
      <c r="P40" s="2">
        <f t="shared" si="1"/>
        <v>-2.1407070985628138</v>
      </c>
      <c r="Q40" s="4">
        <f t="shared" si="2"/>
        <v>20.283070500000001</v>
      </c>
    </row>
    <row r="41" spans="1:20" x14ac:dyDescent="0.4">
      <c r="A41">
        <v>20210801</v>
      </c>
      <c r="B41" s="1">
        <v>0.8125</v>
      </c>
      <c r="C41">
        <v>20817</v>
      </c>
      <c r="D41">
        <v>45141</v>
      </c>
      <c r="E41">
        <v>170922</v>
      </c>
      <c r="F41">
        <v>64403</v>
      </c>
      <c r="G41">
        <v>6996</v>
      </c>
      <c r="H41">
        <v>-93058</v>
      </c>
      <c r="I41">
        <v>-42247</v>
      </c>
      <c r="J41">
        <v>-8798</v>
      </c>
      <c r="K41">
        <v>65920</v>
      </c>
      <c r="L41">
        <v>-53073</v>
      </c>
      <c r="M41">
        <v>9.9</v>
      </c>
      <c r="N41">
        <f t="shared" si="0"/>
        <v>177023</v>
      </c>
      <c r="O41">
        <v>20350550</v>
      </c>
      <c r="P41" s="2">
        <f t="shared" si="1"/>
        <v>0.86986838193562332</v>
      </c>
      <c r="Q41" s="4">
        <f t="shared" si="2"/>
        <v>20.1470445</v>
      </c>
    </row>
    <row r="42" spans="1:20" x14ac:dyDescent="0.4">
      <c r="A42">
        <v>20210801</v>
      </c>
      <c r="B42" s="1">
        <v>0.83333333333333337</v>
      </c>
      <c r="C42">
        <v>27584</v>
      </c>
      <c r="D42">
        <v>113869</v>
      </c>
      <c r="E42">
        <v>-209492</v>
      </c>
      <c r="F42">
        <v>187774</v>
      </c>
      <c r="G42">
        <v>16475</v>
      </c>
      <c r="H42">
        <v>-135078</v>
      </c>
      <c r="I42">
        <v>-9751</v>
      </c>
      <c r="J42">
        <v>23408</v>
      </c>
      <c r="K42">
        <v>138781</v>
      </c>
      <c r="L42">
        <v>-44304</v>
      </c>
      <c r="M42">
        <v>9.6300000000000008</v>
      </c>
      <c r="N42">
        <f t="shared" si="0"/>
        <v>109266</v>
      </c>
      <c r="O42">
        <v>20245750</v>
      </c>
      <c r="P42" s="2">
        <f t="shared" si="1"/>
        <v>0.53969845523134485</v>
      </c>
      <c r="Q42" s="4">
        <f t="shared" si="2"/>
        <v>19.496657250000002</v>
      </c>
    </row>
    <row r="43" spans="1:20" x14ac:dyDescent="0.4">
      <c r="A43">
        <v>20210801</v>
      </c>
      <c r="B43" s="1">
        <v>0.85416666666666663</v>
      </c>
      <c r="C43">
        <v>-20291</v>
      </c>
      <c r="D43">
        <v>38536</v>
      </c>
      <c r="E43">
        <v>226051</v>
      </c>
      <c r="F43">
        <v>173839</v>
      </c>
      <c r="G43">
        <v>23548</v>
      </c>
      <c r="H43">
        <v>-285344</v>
      </c>
      <c r="I43">
        <v>-35686</v>
      </c>
      <c r="J43">
        <v>18378</v>
      </c>
      <c r="K43">
        <v>135916</v>
      </c>
      <c r="L43">
        <v>-43534</v>
      </c>
      <c r="M43">
        <v>9.57</v>
      </c>
      <c r="N43">
        <f t="shared" si="0"/>
        <v>231413</v>
      </c>
      <c r="O43">
        <v>20350850</v>
      </c>
      <c r="P43" s="2">
        <f t="shared" si="1"/>
        <v>1.1371171228720176</v>
      </c>
      <c r="Q43" s="4">
        <f t="shared" si="2"/>
        <v>19.475763449999999</v>
      </c>
    </row>
    <row r="44" spans="1:20" x14ac:dyDescent="0.4">
      <c r="A44">
        <v>20210801</v>
      </c>
      <c r="B44" s="1">
        <v>0.875</v>
      </c>
      <c r="C44">
        <v>50984</v>
      </c>
      <c r="D44">
        <v>65873</v>
      </c>
      <c r="E44">
        <v>-78137</v>
      </c>
      <c r="F44">
        <v>221492</v>
      </c>
      <c r="G44">
        <v>43969</v>
      </c>
      <c r="H44">
        <v>-98171</v>
      </c>
      <c r="I44">
        <v>-14262</v>
      </c>
      <c r="J44">
        <v>40651</v>
      </c>
      <c r="K44">
        <v>130359</v>
      </c>
      <c r="L44">
        <v>-39816</v>
      </c>
      <c r="M44">
        <v>8.99</v>
      </c>
      <c r="N44">
        <f t="shared" si="0"/>
        <v>322942</v>
      </c>
      <c r="O44">
        <v>20031600</v>
      </c>
      <c r="P44" s="2">
        <f t="shared" si="1"/>
        <v>1.612162782803171</v>
      </c>
      <c r="Q44" s="4">
        <f t="shared" si="2"/>
        <v>18.0084084</v>
      </c>
    </row>
    <row r="45" spans="1:20" x14ac:dyDescent="0.4">
      <c r="A45">
        <v>20210801</v>
      </c>
      <c r="B45" s="1">
        <v>0.89583333333333337</v>
      </c>
      <c r="C45">
        <v>-38947</v>
      </c>
      <c r="D45">
        <v>33136</v>
      </c>
      <c r="E45">
        <v>16538</v>
      </c>
      <c r="F45">
        <v>230828</v>
      </c>
      <c r="G45">
        <v>31894</v>
      </c>
      <c r="H45">
        <v>-149316</v>
      </c>
      <c r="I45">
        <v>19636</v>
      </c>
      <c r="J45">
        <v>27974</v>
      </c>
      <c r="K45">
        <v>143016</v>
      </c>
      <c r="L45">
        <v>-41730</v>
      </c>
      <c r="M45">
        <v>8.73</v>
      </c>
      <c r="N45">
        <f t="shared" si="0"/>
        <v>273029</v>
      </c>
      <c r="O45">
        <v>19546950</v>
      </c>
      <c r="P45" s="2">
        <f t="shared" si="1"/>
        <v>1.3967856877927247</v>
      </c>
      <c r="Q45" s="4">
        <f t="shared" si="2"/>
        <v>17.06448735</v>
      </c>
    </row>
    <row r="46" spans="1:20" x14ac:dyDescent="0.4">
      <c r="A46">
        <v>20210801</v>
      </c>
      <c r="B46" s="1">
        <v>0.91666666666666663</v>
      </c>
      <c r="C46">
        <v>1157</v>
      </c>
      <c r="D46">
        <v>84839</v>
      </c>
      <c r="E46">
        <v>-55661</v>
      </c>
      <c r="F46">
        <v>227187</v>
      </c>
      <c r="G46">
        <v>31653</v>
      </c>
      <c r="H46">
        <v>106698</v>
      </c>
      <c r="I46">
        <v>-13979</v>
      </c>
      <c r="J46">
        <v>28941</v>
      </c>
      <c r="K46">
        <v>192344</v>
      </c>
      <c r="L46">
        <v>-38509</v>
      </c>
      <c r="M46">
        <v>7.64</v>
      </c>
      <c r="N46">
        <f t="shared" si="0"/>
        <v>564670</v>
      </c>
      <c r="O46">
        <v>19056000</v>
      </c>
      <c r="P46" s="2">
        <f t="shared" si="1"/>
        <v>2.9632136859781695</v>
      </c>
      <c r="Q46" s="4">
        <f t="shared" si="2"/>
        <v>14.558783999999999</v>
      </c>
    </row>
    <row r="47" spans="1:20" x14ac:dyDescent="0.4">
      <c r="A47">
        <v>20210801</v>
      </c>
      <c r="B47" s="1">
        <v>0.9375</v>
      </c>
      <c r="C47">
        <v>-37558</v>
      </c>
      <c r="D47">
        <v>20607</v>
      </c>
      <c r="E47">
        <v>326601</v>
      </c>
      <c r="F47">
        <v>201677</v>
      </c>
      <c r="G47">
        <v>27872</v>
      </c>
      <c r="H47">
        <v>128216</v>
      </c>
      <c r="I47">
        <v>-26670</v>
      </c>
      <c r="J47">
        <v>43508</v>
      </c>
      <c r="K47">
        <v>108969</v>
      </c>
      <c r="L47">
        <v>-29638</v>
      </c>
      <c r="M47">
        <v>7.32</v>
      </c>
      <c r="N47">
        <f t="shared" si="0"/>
        <v>763584</v>
      </c>
      <c r="O47">
        <v>18547450</v>
      </c>
      <c r="P47" s="2">
        <f t="shared" si="1"/>
        <v>4.1169217331762589</v>
      </c>
      <c r="Q47" s="4">
        <f t="shared" si="2"/>
        <v>13.5767334</v>
      </c>
    </row>
    <row r="48" spans="1:20" x14ac:dyDescent="0.4">
      <c r="A48">
        <v>20210801</v>
      </c>
      <c r="B48" s="1">
        <v>0.95833333333333337</v>
      </c>
      <c r="C48">
        <v>-17484</v>
      </c>
      <c r="D48">
        <v>39913</v>
      </c>
      <c r="E48">
        <v>-85520</v>
      </c>
      <c r="F48">
        <v>152385</v>
      </c>
      <c r="G48">
        <v>7155</v>
      </c>
      <c r="H48">
        <v>93529</v>
      </c>
      <c r="I48">
        <v>-79047</v>
      </c>
      <c r="J48">
        <v>50906</v>
      </c>
      <c r="K48">
        <v>116450</v>
      </c>
      <c r="L48">
        <v>-40070</v>
      </c>
      <c r="M48">
        <v>7.29</v>
      </c>
      <c r="N48">
        <f t="shared" si="0"/>
        <v>238217</v>
      </c>
      <c r="O48">
        <v>17925950</v>
      </c>
      <c r="P48" s="2">
        <f t="shared" si="1"/>
        <v>1.3288947029306675</v>
      </c>
      <c r="Q48" s="4">
        <f t="shared" si="2"/>
        <v>13.06801755</v>
      </c>
    </row>
    <row r="49" spans="1:17" x14ac:dyDescent="0.4">
      <c r="A49">
        <v>20210801</v>
      </c>
      <c r="B49" s="1">
        <v>0.97916666666666663</v>
      </c>
      <c r="C49">
        <v>13054</v>
      </c>
      <c r="D49">
        <v>34302</v>
      </c>
      <c r="E49">
        <v>349964</v>
      </c>
      <c r="F49">
        <v>164017</v>
      </c>
      <c r="G49">
        <v>25449</v>
      </c>
      <c r="H49">
        <v>59364</v>
      </c>
      <c r="I49">
        <v>-81881</v>
      </c>
      <c r="J49">
        <v>46776</v>
      </c>
      <c r="K49">
        <v>125385</v>
      </c>
      <c r="L49">
        <v>-37203</v>
      </c>
      <c r="M49">
        <v>7.1</v>
      </c>
      <c r="N49">
        <f t="shared" si="0"/>
        <v>699227</v>
      </c>
      <c r="O49">
        <v>17375850</v>
      </c>
      <c r="P49" s="2">
        <f t="shared" si="1"/>
        <v>4.0241311935818969</v>
      </c>
      <c r="Q49" s="4">
        <f t="shared" si="2"/>
        <v>12.3368535</v>
      </c>
    </row>
    <row r="50" spans="1:17" x14ac:dyDescent="0.4">
      <c r="A50">
        <v>20210802</v>
      </c>
      <c r="B50" s="1">
        <v>0</v>
      </c>
      <c r="C50">
        <v>-29003</v>
      </c>
      <c r="D50">
        <v>48152</v>
      </c>
      <c r="E50">
        <v>87072</v>
      </c>
      <c r="F50">
        <v>134448</v>
      </c>
      <c r="G50">
        <v>11498</v>
      </c>
      <c r="H50">
        <v>52983</v>
      </c>
      <c r="I50">
        <v>-21068</v>
      </c>
      <c r="J50">
        <v>60916</v>
      </c>
      <c r="K50">
        <v>181490</v>
      </c>
      <c r="L50">
        <v>-33867</v>
      </c>
      <c r="M50">
        <v>6.77</v>
      </c>
      <c r="N50">
        <f t="shared" si="0"/>
        <v>492621</v>
      </c>
      <c r="O50">
        <v>18084850</v>
      </c>
      <c r="P50" s="2">
        <f t="shared" si="1"/>
        <v>2.7239429688385584</v>
      </c>
      <c r="Q50" s="4">
        <f t="shared" si="2"/>
        <v>12.243443449999999</v>
      </c>
    </row>
    <row r="51" spans="1:17" x14ac:dyDescent="0.4">
      <c r="A51">
        <v>20210802</v>
      </c>
      <c r="B51" s="1">
        <v>2.0833333333333332E-2</v>
      </c>
      <c r="C51">
        <v>-8309</v>
      </c>
      <c r="D51">
        <v>9319</v>
      </c>
      <c r="E51">
        <v>219658</v>
      </c>
      <c r="F51">
        <v>122374</v>
      </c>
      <c r="G51">
        <v>-38571</v>
      </c>
      <c r="H51">
        <v>4665</v>
      </c>
      <c r="I51">
        <v>15802</v>
      </c>
      <c r="J51">
        <v>50503</v>
      </c>
      <c r="K51">
        <v>137443</v>
      </c>
      <c r="L51">
        <v>-36513</v>
      </c>
      <c r="M51">
        <v>6.81</v>
      </c>
      <c r="N51">
        <f t="shared" si="0"/>
        <v>476371</v>
      </c>
      <c r="O51">
        <v>19075800</v>
      </c>
      <c r="P51" s="2">
        <f t="shared" si="1"/>
        <v>2.4972530640916766</v>
      </c>
      <c r="Q51" s="4">
        <f t="shared" si="2"/>
        <v>12.990619799999999</v>
      </c>
    </row>
    <row r="52" spans="1:17" x14ac:dyDescent="0.4">
      <c r="A52">
        <v>20210802</v>
      </c>
      <c r="B52" s="1">
        <v>4.1666666666666664E-2</v>
      </c>
      <c r="C52">
        <v>35107</v>
      </c>
      <c r="D52">
        <v>6703</v>
      </c>
      <c r="E52">
        <v>168606</v>
      </c>
      <c r="F52">
        <v>93090</v>
      </c>
      <c r="G52">
        <v>-91842</v>
      </c>
      <c r="H52">
        <v>-69038</v>
      </c>
      <c r="I52">
        <v>-25141</v>
      </c>
      <c r="J52">
        <v>67205</v>
      </c>
      <c r="K52">
        <v>174211</v>
      </c>
      <c r="L52">
        <v>-32362</v>
      </c>
      <c r="M52">
        <v>6.74</v>
      </c>
      <c r="N52">
        <f t="shared" si="0"/>
        <v>326539</v>
      </c>
      <c r="O52">
        <v>19642250</v>
      </c>
      <c r="P52" s="2">
        <f t="shared" si="1"/>
        <v>1.6624317478903894</v>
      </c>
      <c r="Q52" s="4">
        <f t="shared" si="2"/>
        <v>13.2388765</v>
      </c>
    </row>
    <row r="53" spans="1:17" x14ac:dyDescent="0.4">
      <c r="A53">
        <v>20210802</v>
      </c>
      <c r="B53" s="1">
        <v>6.25E-2</v>
      </c>
      <c r="C53">
        <v>18994</v>
      </c>
      <c r="D53">
        <v>14761</v>
      </c>
      <c r="E53">
        <v>145659</v>
      </c>
      <c r="F53">
        <v>120218</v>
      </c>
      <c r="G53">
        <v>-70772</v>
      </c>
      <c r="H53">
        <v>-99904</v>
      </c>
      <c r="I53">
        <v>17711</v>
      </c>
      <c r="J53">
        <v>62719</v>
      </c>
      <c r="K53">
        <v>111037</v>
      </c>
      <c r="L53">
        <v>-37582</v>
      </c>
      <c r="M53">
        <v>6.72</v>
      </c>
      <c r="N53">
        <f t="shared" si="0"/>
        <v>282841</v>
      </c>
      <c r="O53">
        <v>20003550</v>
      </c>
      <c r="P53" s="2">
        <f t="shared" si="1"/>
        <v>1.4139540231608889</v>
      </c>
      <c r="Q53" s="4">
        <f t="shared" si="2"/>
        <v>13.4423856</v>
      </c>
    </row>
    <row r="54" spans="1:17" x14ac:dyDescent="0.4">
      <c r="A54">
        <v>20210802</v>
      </c>
      <c r="B54" s="1">
        <v>8.3333333333333329E-2</v>
      </c>
      <c r="C54">
        <v>59061</v>
      </c>
      <c r="D54">
        <v>43656</v>
      </c>
      <c r="E54">
        <v>208287</v>
      </c>
      <c r="F54">
        <v>64406</v>
      </c>
      <c r="G54">
        <v>-102430</v>
      </c>
      <c r="H54">
        <v>-154895</v>
      </c>
      <c r="I54">
        <v>26900</v>
      </c>
      <c r="J54">
        <v>51154</v>
      </c>
      <c r="K54">
        <v>122401</v>
      </c>
      <c r="L54">
        <v>-27106</v>
      </c>
      <c r="M54">
        <v>6.72</v>
      </c>
      <c r="N54">
        <f t="shared" si="0"/>
        <v>291434</v>
      </c>
      <c r="O54">
        <v>20228000</v>
      </c>
      <c r="P54" s="2">
        <f t="shared" si="1"/>
        <v>1.440745501285347</v>
      </c>
      <c r="Q54" s="4">
        <f t="shared" si="2"/>
        <v>13.593216</v>
      </c>
    </row>
    <row r="55" spans="1:17" x14ac:dyDescent="0.4">
      <c r="A55">
        <v>20210802</v>
      </c>
      <c r="B55" s="1">
        <v>0.10416666666666667</v>
      </c>
      <c r="C55">
        <v>20861</v>
      </c>
      <c r="D55">
        <v>53336</v>
      </c>
      <c r="E55">
        <v>242898</v>
      </c>
      <c r="F55">
        <v>57401</v>
      </c>
      <c r="G55">
        <v>-103008</v>
      </c>
      <c r="H55">
        <v>-195557</v>
      </c>
      <c r="I55">
        <v>9547</v>
      </c>
      <c r="J55">
        <v>40924</v>
      </c>
      <c r="K55">
        <v>99930</v>
      </c>
      <c r="L55">
        <v>-39760</v>
      </c>
      <c r="M55">
        <v>6.66</v>
      </c>
      <c r="N55">
        <f t="shared" si="0"/>
        <v>186572</v>
      </c>
      <c r="O55">
        <v>20377700</v>
      </c>
      <c r="P55" s="2">
        <f t="shared" si="1"/>
        <v>0.91556947054868798</v>
      </c>
      <c r="Q55" s="4">
        <f t="shared" si="2"/>
        <v>13.571548200000001</v>
      </c>
    </row>
    <row r="56" spans="1:17" x14ac:dyDescent="0.4">
      <c r="A56">
        <v>20210802</v>
      </c>
      <c r="B56" s="1">
        <v>0.125</v>
      </c>
      <c r="C56">
        <v>27576</v>
      </c>
      <c r="D56">
        <v>20810</v>
      </c>
      <c r="E56">
        <v>277215</v>
      </c>
      <c r="F56">
        <v>61041</v>
      </c>
      <c r="G56">
        <v>106196</v>
      </c>
      <c r="H56">
        <v>-48380</v>
      </c>
      <c r="I56">
        <v>24322</v>
      </c>
      <c r="J56">
        <v>50736</v>
      </c>
      <c r="K56">
        <v>101995</v>
      </c>
      <c r="L56">
        <v>-28089</v>
      </c>
      <c r="M56">
        <v>6.66</v>
      </c>
      <c r="N56">
        <f t="shared" si="0"/>
        <v>593422</v>
      </c>
      <c r="O56">
        <v>20543800</v>
      </c>
      <c r="P56" s="2">
        <f t="shared" si="1"/>
        <v>2.8885697874784606</v>
      </c>
      <c r="Q56" s="4">
        <f t="shared" si="2"/>
        <v>13.6821708</v>
      </c>
    </row>
    <row r="57" spans="1:17" x14ac:dyDescent="0.4">
      <c r="A57">
        <v>20210802</v>
      </c>
      <c r="B57" s="1">
        <v>0.14583333333333334</v>
      </c>
      <c r="C57">
        <v>82701</v>
      </c>
      <c r="D57">
        <v>48420</v>
      </c>
      <c r="E57">
        <v>11550</v>
      </c>
      <c r="F57">
        <v>75806</v>
      </c>
      <c r="G57">
        <v>141408</v>
      </c>
      <c r="H57">
        <v>-55440</v>
      </c>
      <c r="I57">
        <v>70157</v>
      </c>
      <c r="J57">
        <v>60648</v>
      </c>
      <c r="K57">
        <v>140324</v>
      </c>
      <c r="L57">
        <v>-33456</v>
      </c>
      <c r="M57">
        <v>6.66</v>
      </c>
      <c r="N57">
        <f t="shared" si="0"/>
        <v>542118</v>
      </c>
      <c r="O57">
        <v>20626500</v>
      </c>
      <c r="P57" s="2">
        <f t="shared" si="1"/>
        <v>2.6282597629263327</v>
      </c>
      <c r="Q57" s="4">
        <f t="shared" si="2"/>
        <v>13.737249</v>
      </c>
    </row>
    <row r="58" spans="1:17" x14ac:dyDescent="0.4">
      <c r="A58">
        <v>20210802</v>
      </c>
      <c r="B58" s="1">
        <v>0.16666666666666666</v>
      </c>
      <c r="C58">
        <v>29025</v>
      </c>
      <c r="D58">
        <v>25729</v>
      </c>
      <c r="E58">
        <v>45884</v>
      </c>
      <c r="F58">
        <v>55676</v>
      </c>
      <c r="G58">
        <v>160053</v>
      </c>
      <c r="H58">
        <v>-21837</v>
      </c>
      <c r="I58">
        <v>108214</v>
      </c>
      <c r="J58">
        <v>62028</v>
      </c>
      <c r="K58">
        <v>134369</v>
      </c>
      <c r="L58">
        <v>-26595</v>
      </c>
      <c r="M58">
        <v>6.66</v>
      </c>
      <c r="N58">
        <f t="shared" si="0"/>
        <v>572546</v>
      </c>
      <c r="O58">
        <v>20683800</v>
      </c>
      <c r="P58" s="2">
        <f t="shared" si="1"/>
        <v>2.7680890358638162</v>
      </c>
      <c r="Q58" s="4">
        <f t="shared" si="2"/>
        <v>13.7754108</v>
      </c>
    </row>
    <row r="59" spans="1:17" x14ac:dyDescent="0.4">
      <c r="A59">
        <v>20210802</v>
      </c>
      <c r="B59" s="1">
        <v>0.1875</v>
      </c>
      <c r="C59">
        <v>62106</v>
      </c>
      <c r="D59">
        <v>32579</v>
      </c>
      <c r="E59">
        <v>-80457</v>
      </c>
      <c r="F59">
        <v>124411</v>
      </c>
      <c r="G59">
        <v>164099</v>
      </c>
      <c r="H59">
        <v>-97239</v>
      </c>
      <c r="I59">
        <v>-6293</v>
      </c>
      <c r="J59">
        <v>52529</v>
      </c>
      <c r="K59">
        <v>117322</v>
      </c>
      <c r="L59">
        <v>-33252</v>
      </c>
      <c r="M59">
        <v>6.72</v>
      </c>
      <c r="N59">
        <f t="shared" si="0"/>
        <v>335805</v>
      </c>
      <c r="O59">
        <v>20730750</v>
      </c>
      <c r="P59" s="2">
        <f t="shared" si="1"/>
        <v>1.6198400926160414</v>
      </c>
      <c r="Q59" s="4">
        <f t="shared" si="2"/>
        <v>13.931063999999999</v>
      </c>
    </row>
    <row r="60" spans="1:17" x14ac:dyDescent="0.4">
      <c r="A60">
        <v>20210802</v>
      </c>
      <c r="B60" s="1">
        <v>0.20833333333333334</v>
      </c>
      <c r="C60">
        <v>28278</v>
      </c>
      <c r="D60">
        <v>95081</v>
      </c>
      <c r="E60">
        <v>-105101</v>
      </c>
      <c r="F60">
        <v>137415</v>
      </c>
      <c r="G60">
        <v>104355</v>
      </c>
      <c r="H60">
        <v>-83610</v>
      </c>
      <c r="I60">
        <v>-51094</v>
      </c>
      <c r="J60">
        <v>37713</v>
      </c>
      <c r="K60">
        <v>69761</v>
      </c>
      <c r="L60">
        <v>-27466</v>
      </c>
      <c r="M60">
        <v>6.77</v>
      </c>
      <c r="N60">
        <f t="shared" si="0"/>
        <v>205332</v>
      </c>
      <c r="O60">
        <v>20773850</v>
      </c>
      <c r="P60" s="2">
        <f t="shared" si="1"/>
        <v>0.98841572457681171</v>
      </c>
      <c r="Q60" s="4">
        <f t="shared" si="2"/>
        <v>14.06389645</v>
      </c>
    </row>
    <row r="61" spans="1:17" x14ac:dyDescent="0.4">
      <c r="A61">
        <v>20210802</v>
      </c>
      <c r="B61" s="1">
        <v>0.22916666666666666</v>
      </c>
      <c r="C61">
        <v>8064</v>
      </c>
      <c r="D61">
        <v>224062</v>
      </c>
      <c r="E61">
        <v>26323</v>
      </c>
      <c r="F61">
        <v>100878</v>
      </c>
      <c r="G61">
        <v>105070</v>
      </c>
      <c r="H61">
        <v>-254338</v>
      </c>
      <c r="I61">
        <v>-55323</v>
      </c>
      <c r="J61">
        <v>52555</v>
      </c>
      <c r="K61">
        <v>4670</v>
      </c>
      <c r="L61">
        <v>-31857</v>
      </c>
      <c r="M61">
        <v>6.72</v>
      </c>
      <c r="N61">
        <f t="shared" si="0"/>
        <v>180104</v>
      </c>
      <c r="O61">
        <v>20915350</v>
      </c>
      <c r="P61" s="2">
        <f t="shared" si="1"/>
        <v>0.86110918535907843</v>
      </c>
      <c r="Q61" s="4">
        <f t="shared" si="2"/>
        <v>14.055115199999999</v>
      </c>
    </row>
    <row r="62" spans="1:17" x14ac:dyDescent="0.4">
      <c r="A62">
        <v>20210802</v>
      </c>
      <c r="B62" s="1">
        <v>0.25</v>
      </c>
      <c r="C62">
        <v>56737</v>
      </c>
      <c r="D62">
        <v>177556</v>
      </c>
      <c r="E62">
        <v>-102860</v>
      </c>
      <c r="F62">
        <v>-1389</v>
      </c>
      <c r="G62">
        <v>120258</v>
      </c>
      <c r="H62">
        <v>-234515</v>
      </c>
      <c r="I62">
        <v>-16403</v>
      </c>
      <c r="J62">
        <v>59200</v>
      </c>
      <c r="K62">
        <v>-149217</v>
      </c>
      <c r="L62">
        <v>-23707</v>
      </c>
      <c r="M62">
        <v>6.74</v>
      </c>
      <c r="N62">
        <f t="shared" si="0"/>
        <v>-114340</v>
      </c>
      <c r="O62">
        <v>21500150</v>
      </c>
      <c r="P62" s="2">
        <f t="shared" si="1"/>
        <v>-0.53181024318434988</v>
      </c>
      <c r="Q62" s="4">
        <f t="shared" si="2"/>
        <v>14.4911011</v>
      </c>
    </row>
    <row r="63" spans="1:17" x14ac:dyDescent="0.4">
      <c r="A63">
        <v>20210802</v>
      </c>
      <c r="B63" s="1">
        <v>0.27083333333333331</v>
      </c>
      <c r="C63">
        <v>65481</v>
      </c>
      <c r="D63">
        <v>231089</v>
      </c>
      <c r="E63">
        <v>279375</v>
      </c>
      <c r="F63">
        <v>-78622</v>
      </c>
      <c r="G63">
        <v>79326</v>
      </c>
      <c r="H63">
        <v>-249705</v>
      </c>
      <c r="I63">
        <v>119412</v>
      </c>
      <c r="J63">
        <v>31839</v>
      </c>
      <c r="K63">
        <v>-223983</v>
      </c>
      <c r="L63">
        <v>-34890</v>
      </c>
      <c r="M63">
        <v>6.74</v>
      </c>
      <c r="N63">
        <f t="shared" si="0"/>
        <v>219322</v>
      </c>
      <c r="O63">
        <v>22482050</v>
      </c>
      <c r="P63" s="2">
        <f t="shared" si="1"/>
        <v>0.97554271074034615</v>
      </c>
      <c r="Q63" s="4">
        <f t="shared" si="2"/>
        <v>15.152901699999999</v>
      </c>
    </row>
    <row r="64" spans="1:17" x14ac:dyDescent="0.4">
      <c r="A64">
        <v>20210802</v>
      </c>
      <c r="B64" s="1">
        <v>0.29166666666666669</v>
      </c>
      <c r="C64">
        <v>72005</v>
      </c>
      <c r="D64">
        <v>339033</v>
      </c>
      <c r="E64">
        <v>119961</v>
      </c>
      <c r="F64">
        <v>-164133</v>
      </c>
      <c r="G64">
        <v>85026</v>
      </c>
      <c r="H64">
        <v>-243943</v>
      </c>
      <c r="I64">
        <v>151680</v>
      </c>
      <c r="J64">
        <v>-28580</v>
      </c>
      <c r="K64">
        <v>-202955</v>
      </c>
      <c r="L64">
        <v>-10534</v>
      </c>
      <c r="M64">
        <v>8.01</v>
      </c>
      <c r="N64">
        <f t="shared" si="0"/>
        <v>117560</v>
      </c>
      <c r="O64">
        <v>22591200</v>
      </c>
      <c r="P64" s="2">
        <f t="shared" si="1"/>
        <v>0.52037961684195611</v>
      </c>
      <c r="Q64" s="4">
        <f t="shared" si="2"/>
        <v>18.095551199999999</v>
      </c>
    </row>
    <row r="65" spans="1:17" x14ac:dyDescent="0.4">
      <c r="A65">
        <v>20210802</v>
      </c>
      <c r="B65" s="1">
        <v>0.3125</v>
      </c>
      <c r="C65">
        <v>93921</v>
      </c>
      <c r="D65">
        <v>379092</v>
      </c>
      <c r="E65">
        <v>360431</v>
      </c>
      <c r="F65">
        <v>-222581</v>
      </c>
      <c r="G65">
        <v>102247</v>
      </c>
      <c r="H65">
        <v>-141901</v>
      </c>
      <c r="I65">
        <v>347521</v>
      </c>
      <c r="J65">
        <v>-3830</v>
      </c>
      <c r="K65">
        <v>-130900</v>
      </c>
      <c r="L65">
        <v>-22551</v>
      </c>
      <c r="M65">
        <v>8.86</v>
      </c>
      <c r="N65">
        <f t="shared" si="0"/>
        <v>761449</v>
      </c>
      <c r="O65">
        <v>23071100</v>
      </c>
      <c r="P65" s="2">
        <f t="shared" si="1"/>
        <v>3.3004451456584212</v>
      </c>
      <c r="Q65" s="4">
        <f t="shared" si="2"/>
        <v>20.4409946</v>
      </c>
    </row>
    <row r="66" spans="1:17" x14ac:dyDescent="0.4">
      <c r="A66">
        <v>20210802</v>
      </c>
      <c r="B66" s="1">
        <v>0.33333333333333331</v>
      </c>
      <c r="C66">
        <v>3191</v>
      </c>
      <c r="D66">
        <v>411197</v>
      </c>
      <c r="E66">
        <v>480616</v>
      </c>
      <c r="F66">
        <v>-141276</v>
      </c>
      <c r="G66">
        <v>93963</v>
      </c>
      <c r="H66">
        <v>-340379</v>
      </c>
      <c r="I66">
        <v>-90361</v>
      </c>
      <c r="J66">
        <v>70577</v>
      </c>
      <c r="K66">
        <v>13460</v>
      </c>
      <c r="L66">
        <v>-13448</v>
      </c>
      <c r="M66">
        <v>7.42</v>
      </c>
      <c r="N66">
        <f t="shared" si="0"/>
        <v>487540</v>
      </c>
      <c r="O66">
        <v>24612400</v>
      </c>
      <c r="P66" s="2">
        <f t="shared" si="1"/>
        <v>1.9808714306609676</v>
      </c>
      <c r="Q66" s="4">
        <f t="shared" si="2"/>
        <v>18.262400800000002</v>
      </c>
    </row>
    <row r="67" spans="1:17" x14ac:dyDescent="0.4">
      <c r="A67">
        <v>20210802</v>
      </c>
      <c r="B67" s="1">
        <v>0.35416666666666669</v>
      </c>
      <c r="C67">
        <v>55181</v>
      </c>
      <c r="D67">
        <v>556422</v>
      </c>
      <c r="E67">
        <v>147260</v>
      </c>
      <c r="F67">
        <v>-99610</v>
      </c>
      <c r="G67">
        <v>115679</v>
      </c>
      <c r="H67">
        <v>-250837</v>
      </c>
      <c r="I67">
        <v>-202225</v>
      </c>
      <c r="J67">
        <v>68756</v>
      </c>
      <c r="K67">
        <v>151800</v>
      </c>
      <c r="L67">
        <v>-34607</v>
      </c>
      <c r="M67">
        <v>8.39</v>
      </c>
      <c r="N67">
        <f t="shared" ref="N67:N130" si="3">C67+D67+E67+F67+G67+H67+I67+J67+K67+L67</f>
        <v>507819</v>
      </c>
      <c r="O67">
        <v>24904100</v>
      </c>
      <c r="P67" s="2">
        <f t="shared" ref="P67:P130" si="4">((N67*100)/O67)</f>
        <v>2.0390979798507072</v>
      </c>
      <c r="Q67" s="4">
        <f t="shared" ref="Q67:Q130" si="5">(M67*O67)/10^7</f>
        <v>20.894539900000002</v>
      </c>
    </row>
    <row r="68" spans="1:17" x14ac:dyDescent="0.4">
      <c r="A68">
        <v>20210802</v>
      </c>
      <c r="B68" s="1">
        <v>0.375</v>
      </c>
      <c r="C68">
        <v>-17008</v>
      </c>
      <c r="D68">
        <v>563521</v>
      </c>
      <c r="E68">
        <v>1013685</v>
      </c>
      <c r="F68">
        <v>-20837</v>
      </c>
      <c r="G68">
        <v>119167</v>
      </c>
      <c r="H68">
        <v>-402554</v>
      </c>
      <c r="I68">
        <v>-110820</v>
      </c>
      <c r="J68">
        <v>52313</v>
      </c>
      <c r="K68">
        <v>359804</v>
      </c>
      <c r="L68">
        <v>-46752</v>
      </c>
      <c r="M68">
        <v>9.59</v>
      </c>
      <c r="N68">
        <f t="shared" si="3"/>
        <v>1510519</v>
      </c>
      <c r="O68">
        <v>25454750</v>
      </c>
      <c r="P68" s="2">
        <f t="shared" si="4"/>
        <v>5.9341341007081194</v>
      </c>
      <c r="Q68" s="4">
        <f t="shared" si="5"/>
        <v>24.411105249999999</v>
      </c>
    </row>
    <row r="69" spans="1:17" x14ac:dyDescent="0.4">
      <c r="A69">
        <v>20210802</v>
      </c>
      <c r="B69" s="1">
        <v>0.39583333333333331</v>
      </c>
      <c r="C69">
        <v>47850</v>
      </c>
      <c r="D69">
        <v>682866</v>
      </c>
      <c r="E69">
        <v>1087198</v>
      </c>
      <c r="F69">
        <v>15474</v>
      </c>
      <c r="G69">
        <v>91913</v>
      </c>
      <c r="H69">
        <v>-285968</v>
      </c>
      <c r="I69">
        <v>-56653</v>
      </c>
      <c r="J69">
        <v>57948</v>
      </c>
      <c r="K69">
        <v>448738</v>
      </c>
      <c r="L69">
        <v>-54878</v>
      </c>
      <c r="M69">
        <v>9.7899999999999991</v>
      </c>
      <c r="N69">
        <f t="shared" si="3"/>
        <v>2034488</v>
      </c>
      <c r="O69">
        <v>25783200</v>
      </c>
      <c r="P69" s="2">
        <f t="shared" si="4"/>
        <v>7.8907505662602002</v>
      </c>
      <c r="Q69" s="4">
        <f t="shared" si="5"/>
        <v>25.241752799999997</v>
      </c>
    </row>
    <row r="70" spans="1:17" x14ac:dyDescent="0.4">
      <c r="A70">
        <v>20210802</v>
      </c>
      <c r="B70" s="1">
        <v>0.41666666666666669</v>
      </c>
      <c r="C70">
        <v>77315</v>
      </c>
      <c r="D70">
        <v>636119</v>
      </c>
      <c r="E70">
        <v>1108543</v>
      </c>
      <c r="F70">
        <v>-13906</v>
      </c>
      <c r="G70">
        <v>94516</v>
      </c>
      <c r="H70">
        <v>-188173</v>
      </c>
      <c r="I70">
        <v>-1414</v>
      </c>
      <c r="J70">
        <v>66404</v>
      </c>
      <c r="K70">
        <v>365908</v>
      </c>
      <c r="L70">
        <v>-52065</v>
      </c>
      <c r="M70">
        <v>9.85</v>
      </c>
      <c r="N70">
        <f t="shared" si="3"/>
        <v>2093247</v>
      </c>
      <c r="O70">
        <v>25914750</v>
      </c>
      <c r="P70" s="2">
        <f t="shared" si="4"/>
        <v>8.0774346655862015</v>
      </c>
      <c r="Q70" s="4">
        <f t="shared" si="5"/>
        <v>25.526028749999998</v>
      </c>
    </row>
    <row r="71" spans="1:17" x14ac:dyDescent="0.4">
      <c r="A71">
        <v>20210802</v>
      </c>
      <c r="B71" s="1">
        <v>0.4375</v>
      </c>
      <c r="C71">
        <v>23039</v>
      </c>
      <c r="D71">
        <v>750767</v>
      </c>
      <c r="E71">
        <v>1013892</v>
      </c>
      <c r="F71">
        <v>-155134</v>
      </c>
      <c r="G71">
        <v>68494</v>
      </c>
      <c r="H71">
        <v>-165505</v>
      </c>
      <c r="I71">
        <v>-21582</v>
      </c>
      <c r="J71">
        <v>60975</v>
      </c>
      <c r="K71">
        <v>254571</v>
      </c>
      <c r="L71">
        <v>-44404</v>
      </c>
      <c r="M71">
        <v>9.85</v>
      </c>
      <c r="N71">
        <f t="shared" si="3"/>
        <v>1785113</v>
      </c>
      <c r="O71">
        <v>26020500</v>
      </c>
      <c r="P71" s="2">
        <f t="shared" si="4"/>
        <v>6.8604100612978227</v>
      </c>
      <c r="Q71" s="4">
        <f t="shared" si="5"/>
        <v>25.6301925</v>
      </c>
    </row>
    <row r="72" spans="1:17" x14ac:dyDescent="0.4">
      <c r="A72">
        <v>20210802</v>
      </c>
      <c r="B72" s="1">
        <v>0.45833333333333331</v>
      </c>
      <c r="C72">
        <v>115914</v>
      </c>
      <c r="D72">
        <v>804124</v>
      </c>
      <c r="E72">
        <v>1303965</v>
      </c>
      <c r="F72">
        <v>-154032</v>
      </c>
      <c r="G72">
        <v>18041</v>
      </c>
      <c r="H72">
        <v>-96799</v>
      </c>
      <c r="I72">
        <v>4696</v>
      </c>
      <c r="J72">
        <v>72685</v>
      </c>
      <c r="K72">
        <v>180246</v>
      </c>
      <c r="L72">
        <v>-42454</v>
      </c>
      <c r="M72">
        <v>9.9700000000000006</v>
      </c>
      <c r="N72">
        <f t="shared" si="3"/>
        <v>2206386</v>
      </c>
      <c r="O72">
        <v>26370600</v>
      </c>
      <c r="P72" s="2">
        <f t="shared" si="4"/>
        <v>8.3668403449295798</v>
      </c>
      <c r="Q72" s="4">
        <f t="shared" si="5"/>
        <v>26.291488200000003</v>
      </c>
    </row>
    <row r="73" spans="1:17" x14ac:dyDescent="0.4">
      <c r="A73">
        <v>20210802</v>
      </c>
      <c r="B73" s="1">
        <v>0.47916666666666669</v>
      </c>
      <c r="C73">
        <v>-22802</v>
      </c>
      <c r="D73">
        <v>807020</v>
      </c>
      <c r="E73">
        <v>1305572</v>
      </c>
      <c r="F73">
        <v>23208</v>
      </c>
      <c r="G73">
        <v>11543</v>
      </c>
      <c r="H73">
        <v>-129833</v>
      </c>
      <c r="I73">
        <v>50948</v>
      </c>
      <c r="J73">
        <v>42967</v>
      </c>
      <c r="K73">
        <v>306178</v>
      </c>
      <c r="L73">
        <v>-54991</v>
      </c>
      <c r="M73">
        <v>10.27</v>
      </c>
      <c r="N73">
        <f t="shared" si="3"/>
        <v>2339810</v>
      </c>
      <c r="O73">
        <v>26291650</v>
      </c>
      <c r="P73" s="2">
        <f t="shared" si="4"/>
        <v>8.8994414576491021</v>
      </c>
      <c r="Q73" s="4">
        <f t="shared" si="5"/>
        <v>27.001524549999999</v>
      </c>
    </row>
    <row r="74" spans="1:17" x14ac:dyDescent="0.4">
      <c r="A74">
        <v>20210802</v>
      </c>
      <c r="B74" s="1">
        <v>0.5</v>
      </c>
      <c r="C74">
        <v>-23439</v>
      </c>
      <c r="D74">
        <v>687258</v>
      </c>
      <c r="E74">
        <v>1820161</v>
      </c>
      <c r="F74">
        <v>141345</v>
      </c>
      <c r="G74">
        <v>-12553</v>
      </c>
      <c r="H74">
        <v>35387</v>
      </c>
      <c r="I74">
        <v>-3661</v>
      </c>
      <c r="J74">
        <v>37777</v>
      </c>
      <c r="K74">
        <v>209595</v>
      </c>
      <c r="L74">
        <v>-48399</v>
      </c>
      <c r="M74">
        <v>9.84</v>
      </c>
      <c r="N74">
        <f t="shared" si="3"/>
        <v>2843471</v>
      </c>
      <c r="O74">
        <v>26124350</v>
      </c>
      <c r="P74" s="2">
        <f t="shared" si="4"/>
        <v>10.884370328831148</v>
      </c>
      <c r="Q74" s="4">
        <f t="shared" si="5"/>
        <v>25.706360400000001</v>
      </c>
    </row>
    <row r="75" spans="1:17" x14ac:dyDescent="0.4">
      <c r="A75">
        <v>20210802</v>
      </c>
      <c r="B75" s="1">
        <v>0.52083333333333337</v>
      </c>
      <c r="C75">
        <v>41098</v>
      </c>
      <c r="D75">
        <v>825979</v>
      </c>
      <c r="E75">
        <v>1234850</v>
      </c>
      <c r="F75">
        <v>271293</v>
      </c>
      <c r="G75">
        <v>-17515</v>
      </c>
      <c r="H75">
        <v>-57686</v>
      </c>
      <c r="I75">
        <v>94981</v>
      </c>
      <c r="J75">
        <v>27814</v>
      </c>
      <c r="K75">
        <v>258989</v>
      </c>
      <c r="L75">
        <v>-45678</v>
      </c>
      <c r="M75">
        <v>10.27</v>
      </c>
      <c r="N75">
        <f t="shared" si="3"/>
        <v>2634125</v>
      </c>
      <c r="O75">
        <v>25890800</v>
      </c>
      <c r="P75" s="2">
        <f t="shared" si="4"/>
        <v>10.173980719019884</v>
      </c>
      <c r="Q75" s="4">
        <f t="shared" si="5"/>
        <v>26.589851599999999</v>
      </c>
    </row>
    <row r="76" spans="1:17" x14ac:dyDescent="0.4">
      <c r="A76">
        <v>20210802</v>
      </c>
      <c r="B76" s="1">
        <v>0.54166666666666663</v>
      </c>
      <c r="C76">
        <v>-49757</v>
      </c>
      <c r="D76">
        <v>880162</v>
      </c>
      <c r="E76">
        <v>1549474</v>
      </c>
      <c r="F76">
        <v>314142</v>
      </c>
      <c r="G76">
        <v>-24641</v>
      </c>
      <c r="H76">
        <v>37554</v>
      </c>
      <c r="I76">
        <v>64392</v>
      </c>
      <c r="J76">
        <v>-7177</v>
      </c>
      <c r="K76">
        <v>127604</v>
      </c>
      <c r="L76">
        <v>-49305</v>
      </c>
      <c r="M76">
        <v>11.78</v>
      </c>
      <c r="N76">
        <f t="shared" si="3"/>
        <v>2842448</v>
      </c>
      <c r="O76">
        <v>24961850</v>
      </c>
      <c r="P76" s="2">
        <f t="shared" si="4"/>
        <v>11.387168819618738</v>
      </c>
      <c r="Q76" s="4">
        <f t="shared" si="5"/>
        <v>29.405059300000001</v>
      </c>
    </row>
    <row r="77" spans="1:17" x14ac:dyDescent="0.4">
      <c r="A77">
        <v>20210802</v>
      </c>
      <c r="B77" s="1">
        <v>0.5625</v>
      </c>
      <c r="C77">
        <v>-30309</v>
      </c>
      <c r="D77">
        <v>851701</v>
      </c>
      <c r="E77">
        <v>1416128</v>
      </c>
      <c r="F77">
        <v>414085</v>
      </c>
      <c r="G77">
        <v>-7657</v>
      </c>
      <c r="H77">
        <v>100138</v>
      </c>
      <c r="I77">
        <v>117625</v>
      </c>
      <c r="J77">
        <v>-2354</v>
      </c>
      <c r="K77">
        <v>109193</v>
      </c>
      <c r="L77">
        <v>-41857</v>
      </c>
      <c r="M77">
        <v>12.76</v>
      </c>
      <c r="N77">
        <f t="shared" si="3"/>
        <v>2926693</v>
      </c>
      <c r="O77">
        <v>24921900</v>
      </c>
      <c r="P77" s="2">
        <f t="shared" si="4"/>
        <v>11.743458564555672</v>
      </c>
      <c r="Q77" s="4">
        <f t="shared" si="5"/>
        <v>31.8003444</v>
      </c>
    </row>
    <row r="78" spans="1:17" x14ac:dyDescent="0.4">
      <c r="A78">
        <v>20210802</v>
      </c>
      <c r="B78" s="1">
        <v>0.58333333333333337</v>
      </c>
      <c r="C78">
        <v>-42818</v>
      </c>
      <c r="D78">
        <v>983039</v>
      </c>
      <c r="E78">
        <v>1370652</v>
      </c>
      <c r="F78">
        <v>356919</v>
      </c>
      <c r="G78">
        <v>-6407</v>
      </c>
      <c r="H78">
        <v>132944</v>
      </c>
      <c r="I78">
        <v>85536</v>
      </c>
      <c r="J78">
        <v>-30578</v>
      </c>
      <c r="K78">
        <v>204217</v>
      </c>
      <c r="L78">
        <v>-42615</v>
      </c>
      <c r="M78">
        <v>15.01</v>
      </c>
      <c r="N78">
        <f t="shared" si="3"/>
        <v>3010889</v>
      </c>
      <c r="O78">
        <v>24721200</v>
      </c>
      <c r="P78" s="2">
        <f t="shared" si="4"/>
        <v>12.179380450787178</v>
      </c>
      <c r="Q78" s="4">
        <f t="shared" si="5"/>
        <v>37.106521200000003</v>
      </c>
    </row>
    <row r="79" spans="1:17" x14ac:dyDescent="0.4">
      <c r="A79">
        <v>20210802</v>
      </c>
      <c r="B79" s="1">
        <v>0.60416666666666663</v>
      </c>
      <c r="C79">
        <v>-79234</v>
      </c>
      <c r="D79">
        <v>800360</v>
      </c>
      <c r="E79">
        <v>1130853</v>
      </c>
      <c r="F79">
        <v>259687</v>
      </c>
      <c r="G79">
        <v>31744</v>
      </c>
      <c r="H79">
        <v>166723</v>
      </c>
      <c r="I79">
        <v>211546</v>
      </c>
      <c r="J79">
        <v>-16618</v>
      </c>
      <c r="K79">
        <v>197951</v>
      </c>
      <c r="L79">
        <v>-57546</v>
      </c>
      <c r="M79">
        <v>15.47</v>
      </c>
      <c r="N79">
        <f t="shared" si="3"/>
        <v>2645466</v>
      </c>
      <c r="O79">
        <v>24825950</v>
      </c>
      <c r="P79" s="2">
        <f t="shared" si="4"/>
        <v>10.656051430056051</v>
      </c>
      <c r="Q79" s="4">
        <f t="shared" si="5"/>
        <v>38.405744650000003</v>
      </c>
    </row>
    <row r="80" spans="1:17" x14ac:dyDescent="0.4">
      <c r="A80">
        <v>20210802</v>
      </c>
      <c r="B80" s="1">
        <v>0.625</v>
      </c>
      <c r="C80">
        <v>-39758</v>
      </c>
      <c r="D80">
        <v>778623</v>
      </c>
      <c r="E80">
        <v>1367991</v>
      </c>
      <c r="F80">
        <v>342223</v>
      </c>
      <c r="G80">
        <v>57330</v>
      </c>
      <c r="H80">
        <v>141996</v>
      </c>
      <c r="I80">
        <v>181092</v>
      </c>
      <c r="J80">
        <v>-29828</v>
      </c>
      <c r="K80">
        <v>51411</v>
      </c>
      <c r="L80">
        <v>-54138</v>
      </c>
      <c r="M80">
        <v>15.01</v>
      </c>
      <c r="N80">
        <f t="shared" si="3"/>
        <v>2796942</v>
      </c>
      <c r="O80">
        <v>24518200</v>
      </c>
      <c r="P80" s="2">
        <f t="shared" si="4"/>
        <v>11.407615567211296</v>
      </c>
      <c r="Q80" s="4">
        <f t="shared" si="5"/>
        <v>36.8018182</v>
      </c>
    </row>
    <row r="81" spans="1:17" x14ac:dyDescent="0.4">
      <c r="A81">
        <v>20210802</v>
      </c>
      <c r="B81" s="1">
        <v>0.64583333333333337</v>
      </c>
      <c r="C81">
        <v>-14042</v>
      </c>
      <c r="D81">
        <v>569480</v>
      </c>
      <c r="E81">
        <v>1009909</v>
      </c>
      <c r="F81">
        <v>236453</v>
      </c>
      <c r="G81">
        <v>23724</v>
      </c>
      <c r="H81">
        <v>159678</v>
      </c>
      <c r="I81">
        <v>24907</v>
      </c>
      <c r="J81">
        <v>-94996</v>
      </c>
      <c r="K81">
        <v>-34919</v>
      </c>
      <c r="L81">
        <v>-63688</v>
      </c>
      <c r="M81">
        <v>17.010000000000002</v>
      </c>
      <c r="N81">
        <f t="shared" si="3"/>
        <v>1816506</v>
      </c>
      <c r="O81">
        <v>24074700</v>
      </c>
      <c r="P81" s="2">
        <f t="shared" si="4"/>
        <v>7.5452902839910774</v>
      </c>
      <c r="Q81" s="4">
        <f t="shared" si="5"/>
        <v>40.951064700000003</v>
      </c>
    </row>
    <row r="82" spans="1:17" x14ac:dyDescent="0.4">
      <c r="A82">
        <v>20210802</v>
      </c>
      <c r="B82" s="1">
        <v>0.66666666666666663</v>
      </c>
      <c r="C82">
        <v>-31367</v>
      </c>
      <c r="D82">
        <v>443970</v>
      </c>
      <c r="E82">
        <v>1038898</v>
      </c>
      <c r="F82">
        <v>90145</v>
      </c>
      <c r="G82">
        <v>-18522</v>
      </c>
      <c r="H82">
        <v>121942</v>
      </c>
      <c r="I82">
        <v>-44646</v>
      </c>
      <c r="J82">
        <v>-117204</v>
      </c>
      <c r="K82">
        <v>-12172</v>
      </c>
      <c r="L82">
        <v>-61957</v>
      </c>
      <c r="M82">
        <v>15.47</v>
      </c>
      <c r="N82">
        <f t="shared" si="3"/>
        <v>1409087</v>
      </c>
      <c r="O82">
        <v>24469500</v>
      </c>
      <c r="P82" s="2">
        <f t="shared" si="4"/>
        <v>5.7585443102637974</v>
      </c>
      <c r="Q82" s="4">
        <f t="shared" si="5"/>
        <v>37.854316500000003</v>
      </c>
    </row>
    <row r="83" spans="1:17" x14ac:dyDescent="0.4">
      <c r="A83">
        <v>20210802</v>
      </c>
      <c r="B83" s="1">
        <v>0.6875</v>
      </c>
      <c r="C83">
        <v>21299</v>
      </c>
      <c r="D83">
        <v>195866</v>
      </c>
      <c r="E83">
        <v>698529</v>
      </c>
      <c r="F83">
        <v>62510</v>
      </c>
      <c r="G83">
        <v>-25073</v>
      </c>
      <c r="H83">
        <v>146861</v>
      </c>
      <c r="I83">
        <v>7080</v>
      </c>
      <c r="J83">
        <v>-160687</v>
      </c>
      <c r="K83">
        <v>17796</v>
      </c>
      <c r="L83">
        <v>-66750</v>
      </c>
      <c r="M83">
        <v>16.21</v>
      </c>
      <c r="N83">
        <f t="shared" si="3"/>
        <v>897431</v>
      </c>
      <c r="O83">
        <v>24022000</v>
      </c>
      <c r="P83" s="2">
        <f t="shared" si="4"/>
        <v>3.7358712846557323</v>
      </c>
      <c r="Q83" s="4">
        <f t="shared" si="5"/>
        <v>38.939661999999998</v>
      </c>
    </row>
    <row r="84" spans="1:17" x14ac:dyDescent="0.4">
      <c r="A84">
        <v>20210802</v>
      </c>
      <c r="B84" s="1">
        <v>0.70833333333333337</v>
      </c>
      <c r="C84">
        <v>-34625</v>
      </c>
      <c r="D84">
        <v>37942</v>
      </c>
      <c r="E84">
        <v>634970</v>
      </c>
      <c r="F84">
        <v>126135</v>
      </c>
      <c r="G84">
        <v>-47999</v>
      </c>
      <c r="H84">
        <v>183984</v>
      </c>
      <c r="I84">
        <v>-47259</v>
      </c>
      <c r="J84">
        <v>-155646</v>
      </c>
      <c r="K84">
        <v>4306</v>
      </c>
      <c r="L84">
        <v>-60028</v>
      </c>
      <c r="M84">
        <v>15</v>
      </c>
      <c r="N84">
        <f t="shared" si="3"/>
        <v>641780</v>
      </c>
      <c r="O84">
        <v>23658900</v>
      </c>
      <c r="P84" s="2">
        <f t="shared" si="4"/>
        <v>2.7126366821787995</v>
      </c>
      <c r="Q84" s="4">
        <f t="shared" si="5"/>
        <v>35.488349999999997</v>
      </c>
    </row>
    <row r="85" spans="1:17" x14ac:dyDescent="0.4">
      <c r="A85">
        <v>20210802</v>
      </c>
      <c r="B85" s="1">
        <v>0.72916666666666663</v>
      </c>
      <c r="C85">
        <v>-12756</v>
      </c>
      <c r="D85">
        <v>-206950</v>
      </c>
      <c r="E85">
        <v>-53276</v>
      </c>
      <c r="F85">
        <v>68734</v>
      </c>
      <c r="G85">
        <v>-61285</v>
      </c>
      <c r="H85">
        <v>167949</v>
      </c>
      <c r="I85">
        <v>-66970</v>
      </c>
      <c r="J85">
        <v>-183876</v>
      </c>
      <c r="K85">
        <v>33901</v>
      </c>
      <c r="L85">
        <v>-59593</v>
      </c>
      <c r="M85">
        <v>13.79</v>
      </c>
      <c r="N85">
        <f t="shared" si="3"/>
        <v>-374122</v>
      </c>
      <c r="O85">
        <v>23305700</v>
      </c>
      <c r="P85" s="2">
        <f t="shared" si="4"/>
        <v>-1.6052811114877477</v>
      </c>
      <c r="Q85" s="4">
        <f t="shared" si="5"/>
        <v>32.138560300000002</v>
      </c>
    </row>
    <row r="86" spans="1:17" x14ac:dyDescent="0.4">
      <c r="A86">
        <v>20210802</v>
      </c>
      <c r="B86" s="1">
        <v>0.75</v>
      </c>
      <c r="C86">
        <v>-22753</v>
      </c>
      <c r="D86">
        <v>-175779</v>
      </c>
      <c r="E86">
        <v>-122091</v>
      </c>
      <c r="F86">
        <v>172549</v>
      </c>
      <c r="G86">
        <v>-68883</v>
      </c>
      <c r="H86">
        <v>224784</v>
      </c>
      <c r="I86">
        <v>-53709</v>
      </c>
      <c r="J86">
        <v>-157439</v>
      </c>
      <c r="K86">
        <v>39207</v>
      </c>
      <c r="L86">
        <v>-47616</v>
      </c>
      <c r="M86">
        <v>16.010000000000002</v>
      </c>
      <c r="N86">
        <f t="shared" si="3"/>
        <v>-211730</v>
      </c>
      <c r="O86">
        <v>22718850</v>
      </c>
      <c r="P86" s="2">
        <f t="shared" si="4"/>
        <v>-0.93195738340629042</v>
      </c>
      <c r="Q86" s="4">
        <f t="shared" si="5"/>
        <v>36.372878850000006</v>
      </c>
    </row>
    <row r="87" spans="1:17" x14ac:dyDescent="0.4">
      <c r="A87">
        <v>20210802</v>
      </c>
      <c r="B87" s="1">
        <v>0.77083333333333337</v>
      </c>
      <c r="C87">
        <v>-7724</v>
      </c>
      <c r="D87">
        <v>-239592</v>
      </c>
      <c r="E87">
        <v>-265276</v>
      </c>
      <c r="F87">
        <v>125897</v>
      </c>
      <c r="G87">
        <v>-52917</v>
      </c>
      <c r="H87">
        <v>-11631</v>
      </c>
      <c r="I87">
        <v>-41251</v>
      </c>
      <c r="J87">
        <v>-108365</v>
      </c>
      <c r="K87">
        <v>143563</v>
      </c>
      <c r="L87">
        <v>-31367</v>
      </c>
      <c r="M87">
        <v>16.21</v>
      </c>
      <c r="N87">
        <f t="shared" si="3"/>
        <v>-488663</v>
      </c>
      <c r="O87">
        <v>22708000</v>
      </c>
      <c r="P87" s="2">
        <f t="shared" si="4"/>
        <v>-2.1519420468557335</v>
      </c>
      <c r="Q87" s="4">
        <f t="shared" si="5"/>
        <v>36.809668000000002</v>
      </c>
    </row>
    <row r="88" spans="1:17" x14ac:dyDescent="0.4">
      <c r="A88">
        <v>20210802</v>
      </c>
      <c r="B88" s="1">
        <v>0.79166666666666663</v>
      </c>
      <c r="C88">
        <v>-35551</v>
      </c>
      <c r="D88">
        <v>-128989</v>
      </c>
      <c r="E88">
        <v>-327056</v>
      </c>
      <c r="F88">
        <v>28712</v>
      </c>
      <c r="G88">
        <v>-57521</v>
      </c>
      <c r="H88">
        <v>-125767</v>
      </c>
      <c r="I88">
        <v>-99090</v>
      </c>
      <c r="J88">
        <v>-59524</v>
      </c>
      <c r="K88">
        <v>188565</v>
      </c>
      <c r="L88">
        <v>-18142</v>
      </c>
      <c r="M88">
        <v>12.76</v>
      </c>
      <c r="N88">
        <f t="shared" si="3"/>
        <v>-634363</v>
      </c>
      <c r="O88">
        <v>22784600</v>
      </c>
      <c r="P88" s="2">
        <f t="shared" si="4"/>
        <v>-2.7841743984972305</v>
      </c>
      <c r="Q88" s="4">
        <f t="shared" si="5"/>
        <v>29.073149600000001</v>
      </c>
    </row>
    <row r="89" spans="1:17" x14ac:dyDescent="0.4">
      <c r="A89">
        <v>20210802</v>
      </c>
      <c r="B89" s="1">
        <v>0.8125</v>
      </c>
      <c r="C89">
        <v>-9701</v>
      </c>
      <c r="D89">
        <v>-182668</v>
      </c>
      <c r="E89">
        <v>-480442</v>
      </c>
      <c r="F89">
        <v>22678</v>
      </c>
      <c r="G89">
        <v>-40619</v>
      </c>
      <c r="H89">
        <v>-128804</v>
      </c>
      <c r="I89">
        <v>-118735</v>
      </c>
      <c r="J89">
        <v>-22562</v>
      </c>
      <c r="K89">
        <v>268376</v>
      </c>
      <c r="L89">
        <v>-20246</v>
      </c>
      <c r="M89">
        <v>10.64</v>
      </c>
      <c r="N89">
        <f t="shared" si="3"/>
        <v>-712723</v>
      </c>
      <c r="O89">
        <v>22581550</v>
      </c>
      <c r="P89" s="2">
        <f t="shared" si="4"/>
        <v>-3.1562182401119498</v>
      </c>
      <c r="Q89" s="4">
        <f t="shared" si="5"/>
        <v>24.0267692</v>
      </c>
    </row>
    <row r="90" spans="1:17" x14ac:dyDescent="0.4">
      <c r="A90">
        <v>20210802</v>
      </c>
      <c r="B90" s="1">
        <v>0.83333333333333337</v>
      </c>
      <c r="C90">
        <v>13574</v>
      </c>
      <c r="D90">
        <v>-69781</v>
      </c>
      <c r="E90">
        <v>-674591</v>
      </c>
      <c r="F90">
        <v>75201</v>
      </c>
      <c r="G90">
        <v>-48343</v>
      </c>
      <c r="H90">
        <v>-39977</v>
      </c>
      <c r="I90">
        <v>-144811</v>
      </c>
      <c r="J90">
        <v>5587</v>
      </c>
      <c r="K90">
        <v>198840</v>
      </c>
      <c r="L90">
        <v>-13677</v>
      </c>
      <c r="M90">
        <v>10.01</v>
      </c>
      <c r="N90">
        <f t="shared" si="3"/>
        <v>-697978</v>
      </c>
      <c r="O90">
        <v>21956700</v>
      </c>
      <c r="P90" s="2">
        <f t="shared" si="4"/>
        <v>-3.1788838942099678</v>
      </c>
      <c r="Q90" s="4">
        <f t="shared" si="5"/>
        <v>21.978656699999998</v>
      </c>
    </row>
    <row r="91" spans="1:17" x14ac:dyDescent="0.4">
      <c r="A91">
        <v>20210802</v>
      </c>
      <c r="B91" s="1">
        <v>0.85416666666666663</v>
      </c>
      <c r="C91">
        <v>-39218</v>
      </c>
      <c r="D91">
        <v>-190407</v>
      </c>
      <c r="E91">
        <v>-217830</v>
      </c>
      <c r="F91">
        <v>64003</v>
      </c>
      <c r="G91">
        <v>-42573</v>
      </c>
      <c r="H91">
        <v>-34451</v>
      </c>
      <c r="I91">
        <v>-153310</v>
      </c>
      <c r="J91">
        <v>-20702</v>
      </c>
      <c r="K91">
        <v>179527</v>
      </c>
      <c r="L91">
        <v>5884</v>
      </c>
      <c r="M91">
        <v>9.83</v>
      </c>
      <c r="N91">
        <f t="shared" si="3"/>
        <v>-449077</v>
      </c>
      <c r="O91">
        <v>21708150</v>
      </c>
      <c r="P91" s="2">
        <f t="shared" si="4"/>
        <v>-2.0687023076586444</v>
      </c>
      <c r="Q91" s="4">
        <f t="shared" si="5"/>
        <v>21.339111450000001</v>
      </c>
    </row>
    <row r="92" spans="1:17" x14ac:dyDescent="0.4">
      <c r="A92">
        <v>20210802</v>
      </c>
      <c r="B92" s="1">
        <v>0.875</v>
      </c>
      <c r="C92">
        <v>-8929</v>
      </c>
      <c r="D92">
        <v>-150881</v>
      </c>
      <c r="E92">
        <v>-752002</v>
      </c>
      <c r="F92">
        <v>-41609</v>
      </c>
      <c r="G92">
        <v>-30603</v>
      </c>
      <c r="H92">
        <v>11605</v>
      </c>
      <c r="I92">
        <v>-98978</v>
      </c>
      <c r="J92">
        <v>-30077</v>
      </c>
      <c r="K92">
        <v>196757</v>
      </c>
      <c r="L92">
        <v>8718</v>
      </c>
      <c r="M92">
        <v>9.59</v>
      </c>
      <c r="N92">
        <f t="shared" si="3"/>
        <v>-895999</v>
      </c>
      <c r="O92">
        <v>21653650</v>
      </c>
      <c r="P92" s="2">
        <f t="shared" si="4"/>
        <v>-4.13786590251528</v>
      </c>
      <c r="Q92" s="4">
        <f t="shared" si="5"/>
        <v>20.765850350000001</v>
      </c>
    </row>
    <row r="93" spans="1:17" x14ac:dyDescent="0.4">
      <c r="A93">
        <v>20210802</v>
      </c>
      <c r="B93" s="1">
        <v>0.89583333333333337</v>
      </c>
      <c r="C93">
        <v>35048</v>
      </c>
      <c r="D93">
        <v>-153494</v>
      </c>
      <c r="E93">
        <v>-274751</v>
      </c>
      <c r="F93">
        <v>-36815</v>
      </c>
      <c r="G93">
        <v>-37447</v>
      </c>
      <c r="H93">
        <v>-48479</v>
      </c>
      <c r="I93">
        <v>-29954</v>
      </c>
      <c r="J93">
        <v>-36638</v>
      </c>
      <c r="K93">
        <v>136255</v>
      </c>
      <c r="L93">
        <v>-17169</v>
      </c>
      <c r="M93">
        <v>9.17</v>
      </c>
      <c r="N93">
        <f t="shared" si="3"/>
        <v>-463444</v>
      </c>
      <c r="O93">
        <v>21681500</v>
      </c>
      <c r="P93" s="2">
        <f t="shared" si="4"/>
        <v>-2.1375089361898394</v>
      </c>
      <c r="Q93" s="4">
        <f t="shared" si="5"/>
        <v>19.881935500000001</v>
      </c>
    </row>
    <row r="94" spans="1:17" x14ac:dyDescent="0.4">
      <c r="A94">
        <v>20210802</v>
      </c>
      <c r="B94" s="1">
        <v>0.91666666666666663</v>
      </c>
      <c r="C94">
        <v>27326</v>
      </c>
      <c r="D94">
        <v>-113525</v>
      </c>
      <c r="E94">
        <v>-486962</v>
      </c>
      <c r="F94">
        <v>-40740</v>
      </c>
      <c r="G94">
        <v>-19723</v>
      </c>
      <c r="H94">
        <v>-93559</v>
      </c>
      <c r="I94">
        <v>-74010</v>
      </c>
      <c r="J94">
        <v>-21755</v>
      </c>
      <c r="K94">
        <v>112680</v>
      </c>
      <c r="L94">
        <v>-62881</v>
      </c>
      <c r="M94">
        <v>8.99</v>
      </c>
      <c r="N94">
        <f t="shared" si="3"/>
        <v>-773149</v>
      </c>
      <c r="O94">
        <v>20914350</v>
      </c>
      <c r="P94" s="2">
        <f t="shared" si="4"/>
        <v>-3.6967393201318712</v>
      </c>
      <c r="Q94" s="4">
        <f t="shared" si="5"/>
        <v>18.80200065</v>
      </c>
    </row>
    <row r="95" spans="1:17" x14ac:dyDescent="0.4">
      <c r="A95">
        <v>20210802</v>
      </c>
      <c r="B95" s="1">
        <v>0.9375</v>
      </c>
      <c r="C95">
        <v>-49404</v>
      </c>
      <c r="D95">
        <v>-87871</v>
      </c>
      <c r="E95">
        <v>-348004</v>
      </c>
      <c r="F95">
        <v>-26965</v>
      </c>
      <c r="G95">
        <v>-19343</v>
      </c>
      <c r="H95">
        <v>-162451</v>
      </c>
      <c r="I95">
        <v>-78718</v>
      </c>
      <c r="J95">
        <v>-37491</v>
      </c>
      <c r="K95">
        <v>42924</v>
      </c>
      <c r="L95">
        <v>-55550</v>
      </c>
      <c r="M95">
        <v>8.86</v>
      </c>
      <c r="N95">
        <f t="shared" si="3"/>
        <v>-822873</v>
      </c>
      <c r="O95">
        <v>20723600</v>
      </c>
      <c r="P95" s="2">
        <f t="shared" si="4"/>
        <v>-3.9707048968325966</v>
      </c>
      <c r="Q95" s="4">
        <f t="shared" si="5"/>
        <v>18.361109599999999</v>
      </c>
    </row>
    <row r="96" spans="1:17" x14ac:dyDescent="0.4">
      <c r="A96">
        <v>20210802</v>
      </c>
      <c r="B96" s="1">
        <v>0.95833333333333337</v>
      </c>
      <c r="C96">
        <v>-14428</v>
      </c>
      <c r="D96">
        <v>34157</v>
      </c>
      <c r="E96">
        <v>-466045</v>
      </c>
      <c r="F96">
        <v>-61428</v>
      </c>
      <c r="G96">
        <v>-32267</v>
      </c>
      <c r="H96">
        <v>-214880</v>
      </c>
      <c r="I96">
        <v>16116</v>
      </c>
      <c r="J96">
        <v>-6241</v>
      </c>
      <c r="K96">
        <v>-16802</v>
      </c>
      <c r="L96">
        <v>-48992</v>
      </c>
      <c r="M96">
        <v>7.31</v>
      </c>
      <c r="N96">
        <f t="shared" si="3"/>
        <v>-810810</v>
      </c>
      <c r="O96">
        <v>20030400</v>
      </c>
      <c r="P96" s="2">
        <f t="shared" si="4"/>
        <v>-4.0478971962616823</v>
      </c>
      <c r="Q96" s="4">
        <f t="shared" si="5"/>
        <v>14.6422224</v>
      </c>
    </row>
    <row r="97" spans="1:17" x14ac:dyDescent="0.4">
      <c r="A97">
        <v>20210802</v>
      </c>
      <c r="B97" s="1">
        <v>0.97916666666666663</v>
      </c>
      <c r="C97">
        <v>7675</v>
      </c>
      <c r="D97">
        <v>-133733</v>
      </c>
      <c r="E97">
        <v>-259909</v>
      </c>
      <c r="F97">
        <v>-36709</v>
      </c>
      <c r="G97">
        <v>-8861</v>
      </c>
      <c r="H97">
        <v>-293474</v>
      </c>
      <c r="I97">
        <v>9371</v>
      </c>
      <c r="J97">
        <v>13416</v>
      </c>
      <c r="K97">
        <v>-557</v>
      </c>
      <c r="L97">
        <v>-39642</v>
      </c>
      <c r="M97">
        <v>7.15</v>
      </c>
      <c r="N97">
        <f t="shared" si="3"/>
        <v>-742423</v>
      </c>
      <c r="O97">
        <v>18851150</v>
      </c>
      <c r="P97" s="2">
        <f t="shared" si="4"/>
        <v>-3.9383432840967263</v>
      </c>
      <c r="Q97" s="4">
        <f t="shared" si="5"/>
        <v>13.478572249999999</v>
      </c>
    </row>
    <row r="98" spans="1:17" x14ac:dyDescent="0.4">
      <c r="A98">
        <v>20210803</v>
      </c>
      <c r="B98" s="1">
        <v>0</v>
      </c>
      <c r="C98">
        <v>18186</v>
      </c>
      <c r="D98">
        <v>-49439</v>
      </c>
      <c r="E98">
        <v>-428455</v>
      </c>
      <c r="F98">
        <v>-159578</v>
      </c>
      <c r="G98">
        <v>-2383</v>
      </c>
      <c r="H98">
        <v>-205107</v>
      </c>
      <c r="I98">
        <v>54958</v>
      </c>
      <c r="J98">
        <v>-32772</v>
      </c>
      <c r="K98">
        <v>35771</v>
      </c>
      <c r="L98">
        <v>-44079</v>
      </c>
      <c r="M98">
        <v>8.26</v>
      </c>
      <c r="N98">
        <f t="shared" si="3"/>
        <v>-812898</v>
      </c>
      <c r="O98">
        <v>18028800</v>
      </c>
      <c r="P98" s="2">
        <f t="shared" si="4"/>
        <v>-4.5088857827476039</v>
      </c>
      <c r="Q98" s="4">
        <f t="shared" si="5"/>
        <v>14.8917888</v>
      </c>
    </row>
    <row r="99" spans="1:17" x14ac:dyDescent="0.4">
      <c r="A99">
        <v>20210803</v>
      </c>
      <c r="B99" s="1">
        <v>2.0833333333333332E-2</v>
      </c>
      <c r="C99">
        <v>36628</v>
      </c>
      <c r="D99">
        <v>-13139</v>
      </c>
      <c r="E99">
        <v>-314936</v>
      </c>
      <c r="F99">
        <v>-132247</v>
      </c>
      <c r="G99">
        <v>8930</v>
      </c>
      <c r="H99">
        <v>-268527</v>
      </c>
      <c r="I99">
        <v>3800</v>
      </c>
      <c r="J99">
        <v>9445</v>
      </c>
      <c r="K99">
        <v>119452</v>
      </c>
      <c r="L99">
        <v>-40651</v>
      </c>
      <c r="M99">
        <v>8.18</v>
      </c>
      <c r="N99">
        <f t="shared" si="3"/>
        <v>-591245</v>
      </c>
      <c r="O99">
        <v>19398850</v>
      </c>
      <c r="P99" s="2">
        <f t="shared" si="4"/>
        <v>-3.047835309825067</v>
      </c>
      <c r="Q99" s="4">
        <f t="shared" si="5"/>
        <v>15.8682593</v>
      </c>
    </row>
    <row r="100" spans="1:17" x14ac:dyDescent="0.4">
      <c r="A100">
        <v>20210803</v>
      </c>
      <c r="B100" s="1">
        <v>4.1666666666666664E-2</v>
      </c>
      <c r="C100">
        <v>28745</v>
      </c>
      <c r="D100">
        <v>-18340</v>
      </c>
      <c r="E100">
        <v>-327690</v>
      </c>
      <c r="F100">
        <v>-164427</v>
      </c>
      <c r="G100">
        <v>-10605</v>
      </c>
      <c r="H100">
        <v>-226715</v>
      </c>
      <c r="I100">
        <v>-16409</v>
      </c>
      <c r="J100">
        <v>1288</v>
      </c>
      <c r="K100">
        <v>51697</v>
      </c>
      <c r="L100">
        <v>-32061</v>
      </c>
      <c r="M100">
        <v>7.75</v>
      </c>
      <c r="N100">
        <f t="shared" si="3"/>
        <v>-714517</v>
      </c>
      <c r="O100">
        <v>19543800</v>
      </c>
      <c r="P100" s="2">
        <f t="shared" si="4"/>
        <v>-3.6559778548695752</v>
      </c>
      <c r="Q100" s="4">
        <f t="shared" si="5"/>
        <v>15.146445</v>
      </c>
    </row>
    <row r="101" spans="1:17" x14ac:dyDescent="0.4">
      <c r="A101">
        <v>20210803</v>
      </c>
      <c r="B101" s="1">
        <v>6.25E-2</v>
      </c>
      <c r="C101">
        <v>33660</v>
      </c>
      <c r="D101">
        <v>-22705</v>
      </c>
      <c r="E101">
        <v>-15567</v>
      </c>
      <c r="F101">
        <v>-147355</v>
      </c>
      <c r="G101">
        <v>-18791</v>
      </c>
      <c r="H101">
        <v>-169413</v>
      </c>
      <c r="I101">
        <v>-18675</v>
      </c>
      <c r="J101">
        <v>-1598</v>
      </c>
      <c r="K101">
        <v>32858</v>
      </c>
      <c r="L101">
        <v>-35266</v>
      </c>
      <c r="M101">
        <v>7.59</v>
      </c>
      <c r="N101">
        <f t="shared" si="3"/>
        <v>-362852</v>
      </c>
      <c r="O101">
        <v>19694500</v>
      </c>
      <c r="P101" s="2">
        <f t="shared" si="4"/>
        <v>-1.8424027012617736</v>
      </c>
      <c r="Q101" s="4">
        <f t="shared" si="5"/>
        <v>14.9481255</v>
      </c>
    </row>
    <row r="102" spans="1:17" x14ac:dyDescent="0.4">
      <c r="A102">
        <v>20210803</v>
      </c>
      <c r="B102" s="1">
        <v>8.3333333333333329E-2</v>
      </c>
      <c r="C102">
        <v>18135</v>
      </c>
      <c r="D102">
        <v>11738</v>
      </c>
      <c r="E102">
        <v>-181631</v>
      </c>
      <c r="F102">
        <v>-65181</v>
      </c>
      <c r="G102">
        <v>-20916</v>
      </c>
      <c r="H102">
        <v>-188380</v>
      </c>
      <c r="I102">
        <v>-1783</v>
      </c>
      <c r="J102">
        <v>-6078</v>
      </c>
      <c r="K102">
        <v>53798</v>
      </c>
      <c r="L102">
        <v>-24408</v>
      </c>
      <c r="M102">
        <v>7.37</v>
      </c>
      <c r="N102">
        <f t="shared" si="3"/>
        <v>-404706</v>
      </c>
      <c r="O102">
        <v>20009400</v>
      </c>
      <c r="P102" s="2">
        <f t="shared" si="4"/>
        <v>-2.0225793876877867</v>
      </c>
      <c r="Q102" s="4">
        <f t="shared" si="5"/>
        <v>14.7469278</v>
      </c>
    </row>
    <row r="103" spans="1:17" x14ac:dyDescent="0.4">
      <c r="A103">
        <v>20210803</v>
      </c>
      <c r="B103" s="1">
        <v>0.10416666666666667</v>
      </c>
      <c r="C103">
        <v>24045</v>
      </c>
      <c r="D103">
        <v>1422</v>
      </c>
      <c r="E103">
        <v>-190131</v>
      </c>
      <c r="F103">
        <v>-68207</v>
      </c>
      <c r="G103">
        <v>-42181</v>
      </c>
      <c r="H103">
        <v>-231112</v>
      </c>
      <c r="I103">
        <v>-30938</v>
      </c>
      <c r="J103">
        <v>-23942</v>
      </c>
      <c r="K103">
        <v>65109</v>
      </c>
      <c r="L103">
        <v>-34251</v>
      </c>
      <c r="M103">
        <v>7.43</v>
      </c>
      <c r="N103">
        <f t="shared" si="3"/>
        <v>-530186</v>
      </c>
      <c r="O103">
        <v>20193600</v>
      </c>
      <c r="P103" s="2">
        <f t="shared" si="4"/>
        <v>-2.6255150146581094</v>
      </c>
      <c r="Q103" s="4">
        <f t="shared" si="5"/>
        <v>15.0038448</v>
      </c>
    </row>
    <row r="104" spans="1:17" x14ac:dyDescent="0.4">
      <c r="A104">
        <v>20210803</v>
      </c>
      <c r="B104" s="1">
        <v>0.125</v>
      </c>
      <c r="C104">
        <v>9800</v>
      </c>
      <c r="D104">
        <v>15126</v>
      </c>
      <c r="E104">
        <v>-182179</v>
      </c>
      <c r="F104">
        <v>-81947</v>
      </c>
      <c r="G104">
        <v>-23862</v>
      </c>
      <c r="H104">
        <v>-98451</v>
      </c>
      <c r="I104">
        <v>-25087</v>
      </c>
      <c r="J104">
        <v>-13196</v>
      </c>
      <c r="K104">
        <v>40696</v>
      </c>
      <c r="L104">
        <v>-27085</v>
      </c>
      <c r="M104">
        <v>7.36</v>
      </c>
      <c r="N104">
        <f t="shared" si="3"/>
        <v>-386185</v>
      </c>
      <c r="O104">
        <v>20372800</v>
      </c>
      <c r="P104" s="2">
        <f t="shared" si="4"/>
        <v>-1.8955911803973926</v>
      </c>
      <c r="Q104" s="4">
        <f t="shared" si="5"/>
        <v>14.9943808</v>
      </c>
    </row>
    <row r="105" spans="1:17" x14ac:dyDescent="0.4">
      <c r="A105">
        <v>20210803</v>
      </c>
      <c r="B105" s="1">
        <v>0.14583333333333334</v>
      </c>
      <c r="C105">
        <v>22086</v>
      </c>
      <c r="D105">
        <v>56990</v>
      </c>
      <c r="E105">
        <v>-299941</v>
      </c>
      <c r="F105">
        <v>-39958</v>
      </c>
      <c r="G105">
        <v>-33870</v>
      </c>
      <c r="H105">
        <v>-114619</v>
      </c>
      <c r="I105">
        <v>-17583</v>
      </c>
      <c r="J105">
        <v>37</v>
      </c>
      <c r="K105">
        <v>15512</v>
      </c>
      <c r="L105">
        <v>-29858</v>
      </c>
      <c r="M105">
        <v>7.36</v>
      </c>
      <c r="N105">
        <f t="shared" si="3"/>
        <v>-441204</v>
      </c>
      <c r="O105">
        <v>20466950</v>
      </c>
      <c r="P105" s="2">
        <f t="shared" si="4"/>
        <v>-2.1556900270924588</v>
      </c>
      <c r="Q105" s="4">
        <f t="shared" si="5"/>
        <v>15.0636752</v>
      </c>
    </row>
    <row r="106" spans="1:17" x14ac:dyDescent="0.4">
      <c r="A106">
        <v>20210803</v>
      </c>
      <c r="B106" s="1">
        <v>0.16666666666666666</v>
      </c>
      <c r="C106">
        <v>-11991</v>
      </c>
      <c r="D106">
        <v>26696</v>
      </c>
      <c r="E106">
        <v>-166753</v>
      </c>
      <c r="F106">
        <v>-69242</v>
      </c>
      <c r="G106">
        <v>-8860</v>
      </c>
      <c r="H106">
        <v>-56161</v>
      </c>
      <c r="I106">
        <v>-2282</v>
      </c>
      <c r="J106">
        <v>9736</v>
      </c>
      <c r="K106">
        <v>85926</v>
      </c>
      <c r="L106">
        <v>-18397</v>
      </c>
      <c r="M106">
        <v>7.44</v>
      </c>
      <c r="N106">
        <f t="shared" si="3"/>
        <v>-211328</v>
      </c>
      <c r="O106">
        <v>20548050</v>
      </c>
      <c r="P106" s="2">
        <f t="shared" si="4"/>
        <v>-1.0284576881991234</v>
      </c>
      <c r="Q106" s="4">
        <f t="shared" si="5"/>
        <v>15.2877492</v>
      </c>
    </row>
    <row r="107" spans="1:17" x14ac:dyDescent="0.4">
      <c r="A107">
        <v>20210803</v>
      </c>
      <c r="B107" s="1">
        <v>0.1875</v>
      </c>
      <c r="C107">
        <v>9443</v>
      </c>
      <c r="D107">
        <v>41386</v>
      </c>
      <c r="E107">
        <v>-269411</v>
      </c>
      <c r="F107">
        <v>-112447</v>
      </c>
      <c r="G107">
        <v>-29429</v>
      </c>
      <c r="H107">
        <v>-107282</v>
      </c>
      <c r="I107">
        <v>-519</v>
      </c>
      <c r="J107">
        <v>3890</v>
      </c>
      <c r="K107">
        <v>-1384</v>
      </c>
      <c r="L107">
        <v>-27263</v>
      </c>
      <c r="M107">
        <v>7.44</v>
      </c>
      <c r="N107">
        <f t="shared" si="3"/>
        <v>-493016</v>
      </c>
      <c r="O107">
        <v>20540350</v>
      </c>
      <c r="P107" s="2">
        <f t="shared" si="4"/>
        <v>-2.4002317389917893</v>
      </c>
      <c r="Q107" s="4">
        <f t="shared" si="5"/>
        <v>15.2820204</v>
      </c>
    </row>
    <row r="108" spans="1:17" x14ac:dyDescent="0.4">
      <c r="A108">
        <v>20210803</v>
      </c>
      <c r="B108" s="1">
        <v>0.20833333333333334</v>
      </c>
      <c r="C108">
        <v>-1602</v>
      </c>
      <c r="D108">
        <v>71072</v>
      </c>
      <c r="E108">
        <v>-207962</v>
      </c>
      <c r="F108">
        <v>-129240</v>
      </c>
      <c r="G108">
        <v>-30594</v>
      </c>
      <c r="H108">
        <v>-83135</v>
      </c>
      <c r="I108">
        <v>-31160</v>
      </c>
      <c r="J108">
        <v>956</v>
      </c>
      <c r="K108">
        <v>-41412</v>
      </c>
      <c r="L108">
        <v>-24153</v>
      </c>
      <c r="M108">
        <v>8.0500000000000007</v>
      </c>
      <c r="N108">
        <f t="shared" si="3"/>
        <v>-477230</v>
      </c>
      <c r="O108">
        <v>20369950</v>
      </c>
      <c r="P108" s="2">
        <f t="shared" si="4"/>
        <v>-2.3428138017029987</v>
      </c>
      <c r="Q108" s="4">
        <f t="shared" si="5"/>
        <v>16.39780975</v>
      </c>
    </row>
    <row r="109" spans="1:17" x14ac:dyDescent="0.4">
      <c r="A109">
        <v>20210803</v>
      </c>
      <c r="B109" s="1">
        <v>0.22916666666666666</v>
      </c>
      <c r="C109">
        <v>-5943</v>
      </c>
      <c r="D109">
        <v>185695</v>
      </c>
      <c r="E109">
        <v>-83084</v>
      </c>
      <c r="F109">
        <v>-161738</v>
      </c>
      <c r="G109">
        <v>-30118</v>
      </c>
      <c r="H109">
        <v>-193849</v>
      </c>
      <c r="I109">
        <v>-33547</v>
      </c>
      <c r="J109">
        <v>1490</v>
      </c>
      <c r="K109">
        <v>-59902</v>
      </c>
      <c r="L109">
        <v>-23889</v>
      </c>
      <c r="M109">
        <v>7.94</v>
      </c>
      <c r="N109">
        <f t="shared" si="3"/>
        <v>-404885</v>
      </c>
      <c r="O109">
        <v>20285500</v>
      </c>
      <c r="P109" s="2">
        <f t="shared" si="4"/>
        <v>-1.9959330556308694</v>
      </c>
      <c r="Q109" s="4">
        <f t="shared" si="5"/>
        <v>16.106687000000001</v>
      </c>
    </row>
    <row r="110" spans="1:17" x14ac:dyDescent="0.4">
      <c r="A110">
        <v>20210803</v>
      </c>
      <c r="B110" s="1">
        <v>0.25</v>
      </c>
      <c r="C110">
        <v>-22002</v>
      </c>
      <c r="D110">
        <v>180304</v>
      </c>
      <c r="E110">
        <v>-220294</v>
      </c>
      <c r="F110">
        <v>-202324</v>
      </c>
      <c r="G110">
        <v>-20098</v>
      </c>
      <c r="H110">
        <v>-370566</v>
      </c>
      <c r="I110">
        <v>-54714</v>
      </c>
      <c r="J110">
        <v>-13102</v>
      </c>
      <c r="K110">
        <v>-315120</v>
      </c>
      <c r="L110">
        <v>-14121</v>
      </c>
      <c r="M110">
        <v>8.19</v>
      </c>
      <c r="N110">
        <f t="shared" si="3"/>
        <v>-1052037</v>
      </c>
      <c r="O110">
        <v>20807050</v>
      </c>
      <c r="P110" s="2">
        <f t="shared" si="4"/>
        <v>-5.0561564469735014</v>
      </c>
      <c r="Q110" s="4">
        <f t="shared" si="5"/>
        <v>17.040973950000001</v>
      </c>
    </row>
    <row r="111" spans="1:17" x14ac:dyDescent="0.4">
      <c r="A111">
        <v>20210803</v>
      </c>
      <c r="B111" s="1">
        <v>0.27083333333333331</v>
      </c>
      <c r="C111">
        <v>-1975</v>
      </c>
      <c r="D111">
        <v>145902</v>
      </c>
      <c r="E111">
        <v>130601</v>
      </c>
      <c r="F111">
        <v>-270260</v>
      </c>
      <c r="G111">
        <v>-4746</v>
      </c>
      <c r="H111">
        <v>-443892</v>
      </c>
      <c r="I111">
        <v>-91444</v>
      </c>
      <c r="J111">
        <v>-29006</v>
      </c>
      <c r="K111">
        <v>-356802</v>
      </c>
      <c r="L111">
        <v>-27182</v>
      </c>
      <c r="M111">
        <v>7.78</v>
      </c>
      <c r="N111">
        <f t="shared" si="3"/>
        <v>-948804</v>
      </c>
      <c r="O111">
        <v>21382450</v>
      </c>
      <c r="P111" s="2">
        <f t="shared" si="4"/>
        <v>-4.4373025541974842</v>
      </c>
      <c r="Q111" s="4">
        <f t="shared" si="5"/>
        <v>16.635546099999999</v>
      </c>
    </row>
    <row r="112" spans="1:17" x14ac:dyDescent="0.4">
      <c r="A112">
        <v>20210803</v>
      </c>
      <c r="B112" s="1">
        <v>0.29166666666666669</v>
      </c>
      <c r="C112">
        <v>-1165</v>
      </c>
      <c r="D112">
        <v>159766</v>
      </c>
      <c r="E112">
        <v>-57397</v>
      </c>
      <c r="F112">
        <v>-282108</v>
      </c>
      <c r="G112">
        <v>-12548</v>
      </c>
      <c r="H112">
        <v>-488202</v>
      </c>
      <c r="I112">
        <v>-141153</v>
      </c>
      <c r="J112">
        <v>-24522</v>
      </c>
      <c r="K112">
        <v>-451984</v>
      </c>
      <c r="L112">
        <v>-12904</v>
      </c>
      <c r="M112">
        <v>8.86</v>
      </c>
      <c r="N112">
        <f t="shared" si="3"/>
        <v>-1312217</v>
      </c>
      <c r="O112">
        <v>22026450</v>
      </c>
      <c r="P112" s="2">
        <f t="shared" si="4"/>
        <v>-5.9574602353080044</v>
      </c>
      <c r="Q112" s="4">
        <f t="shared" si="5"/>
        <v>19.5154347</v>
      </c>
    </row>
    <row r="113" spans="1:17" x14ac:dyDescent="0.4">
      <c r="A113">
        <v>20210803</v>
      </c>
      <c r="B113" s="1">
        <v>0.3125</v>
      </c>
      <c r="C113">
        <v>6581</v>
      </c>
      <c r="D113">
        <v>132828</v>
      </c>
      <c r="E113">
        <v>297058</v>
      </c>
      <c r="F113">
        <v>-364398</v>
      </c>
      <c r="G113">
        <v>10</v>
      </c>
      <c r="H113">
        <v>-514202</v>
      </c>
      <c r="I113">
        <v>-84128</v>
      </c>
      <c r="J113">
        <v>-12924</v>
      </c>
      <c r="K113">
        <v>-343425</v>
      </c>
      <c r="L113">
        <v>-19109</v>
      </c>
      <c r="M113">
        <v>8.86</v>
      </c>
      <c r="N113">
        <f t="shared" si="3"/>
        <v>-901709</v>
      </c>
      <c r="O113">
        <v>22360700</v>
      </c>
      <c r="P113" s="2">
        <f t="shared" si="4"/>
        <v>-4.0325615924367302</v>
      </c>
      <c r="Q113" s="4">
        <f t="shared" si="5"/>
        <v>19.811580200000002</v>
      </c>
    </row>
    <row r="114" spans="1:17" x14ac:dyDescent="0.4">
      <c r="A114">
        <v>20210803</v>
      </c>
      <c r="B114" s="1">
        <v>0.33333333333333331</v>
      </c>
      <c r="C114">
        <v>24734</v>
      </c>
      <c r="D114">
        <v>208735</v>
      </c>
      <c r="E114">
        <v>661978</v>
      </c>
      <c r="F114">
        <v>-232794</v>
      </c>
      <c r="G114">
        <v>11631</v>
      </c>
      <c r="H114">
        <v>-717245</v>
      </c>
      <c r="I114">
        <v>-25013</v>
      </c>
      <c r="J114">
        <v>15419</v>
      </c>
      <c r="K114">
        <v>-340419</v>
      </c>
      <c r="L114">
        <v>-19210</v>
      </c>
      <c r="M114">
        <v>8.86</v>
      </c>
      <c r="N114">
        <f t="shared" si="3"/>
        <v>-412184</v>
      </c>
      <c r="O114">
        <v>23687750</v>
      </c>
      <c r="P114" s="2">
        <f t="shared" si="4"/>
        <v>-1.7400724002912897</v>
      </c>
      <c r="Q114" s="4">
        <f t="shared" si="5"/>
        <v>20.987346500000001</v>
      </c>
    </row>
    <row r="115" spans="1:17" x14ac:dyDescent="0.4">
      <c r="A115">
        <v>20210803</v>
      </c>
      <c r="B115" s="1">
        <v>0.35416666666666669</v>
      </c>
      <c r="C115">
        <v>9541</v>
      </c>
      <c r="D115">
        <v>177807</v>
      </c>
      <c r="E115">
        <v>-47068</v>
      </c>
      <c r="F115">
        <v>-327292</v>
      </c>
      <c r="G115">
        <v>34820</v>
      </c>
      <c r="H115">
        <v>-331022</v>
      </c>
      <c r="I115">
        <v>-82519</v>
      </c>
      <c r="J115">
        <v>26442</v>
      </c>
      <c r="K115">
        <v>-485333</v>
      </c>
      <c r="L115">
        <v>-41956</v>
      </c>
      <c r="M115">
        <v>9.6</v>
      </c>
      <c r="N115">
        <f t="shared" si="3"/>
        <v>-1066580</v>
      </c>
      <c r="O115">
        <v>24094800</v>
      </c>
      <c r="P115" s="2">
        <f t="shared" si="4"/>
        <v>-4.4265982701661768</v>
      </c>
      <c r="Q115" s="4">
        <f t="shared" si="5"/>
        <v>23.131008000000001</v>
      </c>
    </row>
    <row r="116" spans="1:17" x14ac:dyDescent="0.4">
      <c r="A116">
        <v>20210803</v>
      </c>
      <c r="B116" s="1">
        <v>0.375</v>
      </c>
      <c r="C116">
        <v>110663</v>
      </c>
      <c r="D116">
        <v>178687</v>
      </c>
      <c r="E116">
        <v>151620</v>
      </c>
      <c r="F116">
        <v>-272722</v>
      </c>
      <c r="G116">
        <v>37472</v>
      </c>
      <c r="H116">
        <v>-625305</v>
      </c>
      <c r="I116">
        <v>13261</v>
      </c>
      <c r="J116">
        <v>12888</v>
      </c>
      <c r="K116">
        <v>-489036</v>
      </c>
      <c r="L116">
        <v>-76719</v>
      </c>
      <c r="M116">
        <v>9.74</v>
      </c>
      <c r="N116">
        <f t="shared" si="3"/>
        <v>-959191</v>
      </c>
      <c r="O116">
        <v>24485050</v>
      </c>
      <c r="P116" s="2">
        <f t="shared" si="4"/>
        <v>-3.9174557536129191</v>
      </c>
      <c r="Q116" s="4">
        <f t="shared" si="5"/>
        <v>23.848438699999999</v>
      </c>
    </row>
    <row r="117" spans="1:17" x14ac:dyDescent="0.4">
      <c r="A117">
        <v>20210803</v>
      </c>
      <c r="B117" s="1">
        <v>0.39583333333333331</v>
      </c>
      <c r="C117">
        <v>77811</v>
      </c>
      <c r="D117">
        <v>226539</v>
      </c>
      <c r="E117">
        <v>339448</v>
      </c>
      <c r="F117">
        <v>-115481</v>
      </c>
      <c r="G117">
        <v>52142</v>
      </c>
      <c r="H117">
        <v>-457605</v>
      </c>
      <c r="I117">
        <v>90755</v>
      </c>
      <c r="J117">
        <v>25001</v>
      </c>
      <c r="K117">
        <v>-356079</v>
      </c>
      <c r="L117">
        <v>-82361</v>
      </c>
      <c r="M117">
        <v>9.74</v>
      </c>
      <c r="N117">
        <f t="shared" si="3"/>
        <v>-199830</v>
      </c>
      <c r="O117">
        <v>24816700</v>
      </c>
      <c r="P117" s="2">
        <f t="shared" si="4"/>
        <v>-0.80522390164687485</v>
      </c>
      <c r="Q117" s="4">
        <f t="shared" si="5"/>
        <v>24.1714658</v>
      </c>
    </row>
    <row r="118" spans="1:17" x14ac:dyDescent="0.4">
      <c r="A118">
        <v>20210803</v>
      </c>
      <c r="B118" s="1">
        <v>0.41666666666666669</v>
      </c>
      <c r="C118">
        <v>102445</v>
      </c>
      <c r="D118">
        <v>240029</v>
      </c>
      <c r="E118">
        <v>370727</v>
      </c>
      <c r="F118">
        <v>-4820</v>
      </c>
      <c r="G118">
        <v>45547</v>
      </c>
      <c r="H118">
        <v>-342829</v>
      </c>
      <c r="I118">
        <v>165225</v>
      </c>
      <c r="J118">
        <v>91766</v>
      </c>
      <c r="K118">
        <v>-275612</v>
      </c>
      <c r="L118">
        <v>-92963</v>
      </c>
      <c r="M118">
        <v>9.76</v>
      </c>
      <c r="N118">
        <f t="shared" si="3"/>
        <v>299515</v>
      </c>
      <c r="O118">
        <v>25190450</v>
      </c>
      <c r="P118" s="2">
        <f t="shared" si="4"/>
        <v>1.1890021813822302</v>
      </c>
      <c r="Q118" s="4">
        <f t="shared" si="5"/>
        <v>24.585879200000001</v>
      </c>
    </row>
    <row r="119" spans="1:17" x14ac:dyDescent="0.4">
      <c r="A119">
        <v>20210803</v>
      </c>
      <c r="B119" s="1">
        <v>0.4375</v>
      </c>
      <c r="C119">
        <v>116802</v>
      </c>
      <c r="D119">
        <v>287183</v>
      </c>
      <c r="E119">
        <v>136713</v>
      </c>
      <c r="F119">
        <v>141317</v>
      </c>
      <c r="G119">
        <v>57325</v>
      </c>
      <c r="H119">
        <v>-232080</v>
      </c>
      <c r="I119">
        <v>251785</v>
      </c>
      <c r="J119">
        <v>107295</v>
      </c>
      <c r="K119">
        <v>-188460</v>
      </c>
      <c r="L119">
        <v>-83044</v>
      </c>
      <c r="M119">
        <v>9.84</v>
      </c>
      <c r="N119">
        <f t="shared" si="3"/>
        <v>594836</v>
      </c>
      <c r="O119">
        <v>25444550</v>
      </c>
      <c r="P119" s="2">
        <f t="shared" si="4"/>
        <v>2.337773707925666</v>
      </c>
      <c r="Q119" s="4">
        <f t="shared" si="5"/>
        <v>25.037437199999999</v>
      </c>
    </row>
    <row r="120" spans="1:17" x14ac:dyDescent="0.4">
      <c r="A120">
        <v>20210803</v>
      </c>
      <c r="B120" s="1">
        <v>0.45833333333333331</v>
      </c>
      <c r="C120">
        <v>219276</v>
      </c>
      <c r="D120">
        <v>237035</v>
      </c>
      <c r="E120">
        <v>221008</v>
      </c>
      <c r="F120">
        <v>93107</v>
      </c>
      <c r="G120">
        <v>-604</v>
      </c>
      <c r="H120">
        <v>55475</v>
      </c>
      <c r="I120">
        <v>214328</v>
      </c>
      <c r="J120">
        <v>115101</v>
      </c>
      <c r="K120">
        <v>-154812</v>
      </c>
      <c r="L120">
        <v>-57193</v>
      </c>
      <c r="M120">
        <v>9.8800000000000008</v>
      </c>
      <c r="N120">
        <f t="shared" si="3"/>
        <v>942721</v>
      </c>
      <c r="O120">
        <v>25843150</v>
      </c>
      <c r="P120" s="2">
        <f t="shared" si="4"/>
        <v>3.6478563952149794</v>
      </c>
      <c r="Q120" s="4">
        <f t="shared" si="5"/>
        <v>25.533032200000005</v>
      </c>
    </row>
    <row r="121" spans="1:17" x14ac:dyDescent="0.4">
      <c r="A121">
        <v>20210803</v>
      </c>
      <c r="B121" s="1">
        <v>0.47916666666666669</v>
      </c>
      <c r="C121">
        <v>192320</v>
      </c>
      <c r="D121">
        <v>279655</v>
      </c>
      <c r="E121">
        <v>7666</v>
      </c>
      <c r="F121">
        <v>157610</v>
      </c>
      <c r="G121">
        <v>-7433</v>
      </c>
      <c r="H121">
        <v>-75278</v>
      </c>
      <c r="I121">
        <v>313097</v>
      </c>
      <c r="J121">
        <v>121514</v>
      </c>
      <c r="K121">
        <v>-26457</v>
      </c>
      <c r="L121">
        <v>-60494</v>
      </c>
      <c r="M121">
        <v>9.8800000000000008</v>
      </c>
      <c r="N121">
        <f t="shared" si="3"/>
        <v>902200</v>
      </c>
      <c r="O121">
        <v>26105900</v>
      </c>
      <c r="P121" s="2">
        <f t="shared" si="4"/>
        <v>3.4559237566986774</v>
      </c>
      <c r="Q121" s="4">
        <f t="shared" si="5"/>
        <v>25.792629200000004</v>
      </c>
    </row>
    <row r="122" spans="1:17" x14ac:dyDescent="0.4">
      <c r="A122">
        <v>20210803</v>
      </c>
      <c r="B122" s="1">
        <v>0.5</v>
      </c>
      <c r="C122">
        <v>176392</v>
      </c>
      <c r="D122">
        <v>195851</v>
      </c>
      <c r="E122">
        <v>28091</v>
      </c>
      <c r="F122">
        <v>155312</v>
      </c>
      <c r="G122">
        <v>-28167</v>
      </c>
      <c r="H122">
        <v>-121624</v>
      </c>
      <c r="I122">
        <v>327316</v>
      </c>
      <c r="J122">
        <v>107403</v>
      </c>
      <c r="K122">
        <v>195753</v>
      </c>
      <c r="L122">
        <v>-80340</v>
      </c>
      <c r="M122">
        <v>9.6300000000000008</v>
      </c>
      <c r="N122">
        <f t="shared" si="3"/>
        <v>955987</v>
      </c>
      <c r="O122">
        <v>26154650</v>
      </c>
      <c r="P122" s="2">
        <f t="shared" si="4"/>
        <v>3.6551320702054895</v>
      </c>
      <c r="Q122" s="4">
        <f t="shared" si="5"/>
        <v>25.186927950000005</v>
      </c>
    </row>
    <row r="123" spans="1:17" x14ac:dyDescent="0.4">
      <c r="A123">
        <v>20210803</v>
      </c>
      <c r="B123" s="1">
        <v>0.52083333333333337</v>
      </c>
      <c r="C123">
        <v>195798</v>
      </c>
      <c r="D123">
        <v>318595</v>
      </c>
      <c r="E123">
        <v>-194078</v>
      </c>
      <c r="F123">
        <v>-4948</v>
      </c>
      <c r="G123">
        <v>2527</v>
      </c>
      <c r="H123">
        <v>-95941</v>
      </c>
      <c r="I123">
        <v>396345</v>
      </c>
      <c r="J123">
        <v>113007</v>
      </c>
      <c r="K123">
        <v>132053</v>
      </c>
      <c r="L123">
        <v>-71063</v>
      </c>
      <c r="M123">
        <v>9.74</v>
      </c>
      <c r="N123">
        <f t="shared" si="3"/>
        <v>792295</v>
      </c>
      <c r="O123">
        <v>26134850</v>
      </c>
      <c r="P123" s="2">
        <f t="shared" si="4"/>
        <v>3.03156513238071</v>
      </c>
      <c r="Q123" s="4">
        <f t="shared" si="5"/>
        <v>25.455343899999999</v>
      </c>
    </row>
    <row r="124" spans="1:17" x14ac:dyDescent="0.4">
      <c r="A124">
        <v>20210803</v>
      </c>
      <c r="B124" s="1">
        <v>0.54166666666666663</v>
      </c>
      <c r="C124">
        <v>154336</v>
      </c>
      <c r="D124">
        <v>317493</v>
      </c>
      <c r="E124">
        <v>92725</v>
      </c>
      <c r="F124">
        <v>54724</v>
      </c>
      <c r="G124">
        <v>3312</v>
      </c>
      <c r="H124">
        <v>-176751</v>
      </c>
      <c r="I124">
        <v>400467</v>
      </c>
      <c r="J124">
        <v>80241</v>
      </c>
      <c r="K124">
        <v>168515</v>
      </c>
      <c r="L124">
        <v>-86871</v>
      </c>
      <c r="M124">
        <v>10.01</v>
      </c>
      <c r="N124">
        <f t="shared" si="3"/>
        <v>1008191</v>
      </c>
      <c r="O124">
        <v>25752700</v>
      </c>
      <c r="P124" s="2">
        <f t="shared" si="4"/>
        <v>3.9148943605913167</v>
      </c>
      <c r="Q124" s="4">
        <f t="shared" si="5"/>
        <v>25.778452699999999</v>
      </c>
    </row>
    <row r="125" spans="1:17" x14ac:dyDescent="0.4">
      <c r="A125">
        <v>20210803</v>
      </c>
      <c r="B125" s="1">
        <v>0.5625</v>
      </c>
      <c r="C125">
        <v>200104</v>
      </c>
      <c r="D125">
        <v>358062</v>
      </c>
      <c r="E125">
        <v>-107902</v>
      </c>
      <c r="F125">
        <v>57254</v>
      </c>
      <c r="G125">
        <v>20035</v>
      </c>
      <c r="H125">
        <v>-140971</v>
      </c>
      <c r="I125">
        <v>354398</v>
      </c>
      <c r="J125">
        <v>21700</v>
      </c>
      <c r="K125">
        <v>220404</v>
      </c>
      <c r="L125">
        <v>-69645</v>
      </c>
      <c r="M125">
        <v>10.27</v>
      </c>
      <c r="N125">
        <f t="shared" si="3"/>
        <v>913439</v>
      </c>
      <c r="O125">
        <v>25896850</v>
      </c>
      <c r="P125" s="2">
        <f t="shared" si="4"/>
        <v>3.5272204920675683</v>
      </c>
      <c r="Q125" s="4">
        <f t="shared" si="5"/>
        <v>26.596064949999999</v>
      </c>
    </row>
    <row r="126" spans="1:17" x14ac:dyDescent="0.4">
      <c r="A126">
        <v>20210803</v>
      </c>
      <c r="B126" s="1">
        <v>0.58333333333333337</v>
      </c>
      <c r="C126">
        <v>119411</v>
      </c>
      <c r="D126">
        <v>266768</v>
      </c>
      <c r="E126">
        <v>185464</v>
      </c>
      <c r="F126">
        <v>53863</v>
      </c>
      <c r="G126">
        <v>4392</v>
      </c>
      <c r="H126">
        <v>-73837</v>
      </c>
      <c r="I126">
        <v>233846</v>
      </c>
      <c r="J126">
        <v>-38150</v>
      </c>
      <c r="K126">
        <v>172381</v>
      </c>
      <c r="L126">
        <v>-59508</v>
      </c>
      <c r="M126">
        <v>10.27</v>
      </c>
      <c r="N126">
        <f t="shared" si="3"/>
        <v>864630</v>
      </c>
      <c r="O126">
        <v>25691750</v>
      </c>
      <c r="P126" s="2">
        <f t="shared" si="4"/>
        <v>3.3653993986396413</v>
      </c>
      <c r="Q126" s="4">
        <f t="shared" si="5"/>
        <v>26.385427249999999</v>
      </c>
    </row>
    <row r="127" spans="1:17" x14ac:dyDescent="0.4">
      <c r="A127">
        <v>20210803</v>
      </c>
      <c r="B127" s="1">
        <v>0.60416666666666663</v>
      </c>
      <c r="C127">
        <v>121076</v>
      </c>
      <c r="D127">
        <v>253743</v>
      </c>
      <c r="E127">
        <v>-47045</v>
      </c>
      <c r="F127">
        <v>81498</v>
      </c>
      <c r="G127">
        <v>-30133</v>
      </c>
      <c r="H127">
        <v>30002</v>
      </c>
      <c r="I127">
        <v>233617</v>
      </c>
      <c r="J127">
        <v>-28522</v>
      </c>
      <c r="K127">
        <v>181414</v>
      </c>
      <c r="L127">
        <v>-61367</v>
      </c>
      <c r="M127">
        <v>10.84</v>
      </c>
      <c r="N127">
        <f t="shared" si="3"/>
        <v>734283</v>
      </c>
      <c r="O127">
        <v>25295450</v>
      </c>
      <c r="P127" s="2">
        <f t="shared" si="4"/>
        <v>2.9028263976327757</v>
      </c>
      <c r="Q127" s="4">
        <f t="shared" si="5"/>
        <v>27.420267800000001</v>
      </c>
    </row>
    <row r="128" spans="1:17" x14ac:dyDescent="0.4">
      <c r="A128">
        <v>20210803</v>
      </c>
      <c r="B128" s="1">
        <v>0.625</v>
      </c>
      <c r="C128">
        <v>126607</v>
      </c>
      <c r="D128">
        <v>172626</v>
      </c>
      <c r="E128">
        <v>307710</v>
      </c>
      <c r="F128">
        <v>9565</v>
      </c>
      <c r="G128">
        <v>9606</v>
      </c>
      <c r="H128">
        <v>88818</v>
      </c>
      <c r="I128">
        <v>184290</v>
      </c>
      <c r="J128">
        <v>-57265</v>
      </c>
      <c r="K128">
        <v>164065</v>
      </c>
      <c r="L128">
        <v>-77414</v>
      </c>
      <c r="M128">
        <v>11.03</v>
      </c>
      <c r="N128">
        <f t="shared" si="3"/>
        <v>928608</v>
      </c>
      <c r="O128">
        <v>24928800</v>
      </c>
      <c r="P128" s="2">
        <f t="shared" si="4"/>
        <v>3.7250409165302782</v>
      </c>
      <c r="Q128" s="4">
        <f t="shared" si="5"/>
        <v>27.496466399999999</v>
      </c>
    </row>
    <row r="129" spans="1:17" x14ac:dyDescent="0.4">
      <c r="A129">
        <v>20210803</v>
      </c>
      <c r="B129" s="1">
        <v>0.64583333333333337</v>
      </c>
      <c r="C129">
        <v>93736</v>
      </c>
      <c r="D129">
        <v>78272</v>
      </c>
      <c r="E129">
        <v>-115316</v>
      </c>
      <c r="F129">
        <v>3809</v>
      </c>
      <c r="G129">
        <v>-794</v>
      </c>
      <c r="H129">
        <v>154318</v>
      </c>
      <c r="I129">
        <v>132952</v>
      </c>
      <c r="J129">
        <v>-95008</v>
      </c>
      <c r="K129">
        <v>135737</v>
      </c>
      <c r="L129">
        <v>-88454</v>
      </c>
      <c r="M129">
        <v>15.03</v>
      </c>
      <c r="N129">
        <f t="shared" si="3"/>
        <v>299252</v>
      </c>
      <c r="O129">
        <v>24402100</v>
      </c>
      <c r="P129" s="2">
        <f t="shared" si="4"/>
        <v>1.2263370775466047</v>
      </c>
      <c r="Q129" s="4">
        <f t="shared" si="5"/>
        <v>36.676356300000002</v>
      </c>
    </row>
    <row r="130" spans="1:17" x14ac:dyDescent="0.4">
      <c r="A130">
        <v>20210803</v>
      </c>
      <c r="B130" s="1">
        <v>0.66666666666666663</v>
      </c>
      <c r="C130">
        <v>88193</v>
      </c>
      <c r="D130">
        <v>142099</v>
      </c>
      <c r="E130">
        <v>-142782</v>
      </c>
      <c r="F130">
        <v>297438</v>
      </c>
      <c r="G130">
        <v>-31995</v>
      </c>
      <c r="H130">
        <v>142687</v>
      </c>
      <c r="I130">
        <v>114323</v>
      </c>
      <c r="J130">
        <v>-128626</v>
      </c>
      <c r="K130">
        <v>-63071</v>
      </c>
      <c r="L130">
        <v>-62510</v>
      </c>
      <c r="M130">
        <v>14.87</v>
      </c>
      <c r="N130">
        <f t="shared" si="3"/>
        <v>355756</v>
      </c>
      <c r="O130">
        <v>24663900</v>
      </c>
      <c r="P130" s="2">
        <f t="shared" si="4"/>
        <v>1.4424158385332408</v>
      </c>
      <c r="Q130" s="4">
        <f t="shared" si="5"/>
        <v>36.675219300000002</v>
      </c>
    </row>
    <row r="131" spans="1:17" x14ac:dyDescent="0.4">
      <c r="A131">
        <v>20210803</v>
      </c>
      <c r="B131" s="1">
        <v>0.6875</v>
      </c>
      <c r="C131">
        <v>49029</v>
      </c>
      <c r="D131">
        <v>-58003</v>
      </c>
      <c r="E131">
        <v>-673649</v>
      </c>
      <c r="F131">
        <v>20613</v>
      </c>
      <c r="G131">
        <v>-53626</v>
      </c>
      <c r="H131">
        <v>42643</v>
      </c>
      <c r="I131">
        <v>82145</v>
      </c>
      <c r="J131">
        <v>-122006</v>
      </c>
      <c r="K131">
        <v>-75996</v>
      </c>
      <c r="L131">
        <v>-52476</v>
      </c>
      <c r="M131">
        <v>15.47</v>
      </c>
      <c r="N131">
        <f t="shared" ref="N131:N194" si="6">C131+D131+E131+F131+G131+H131+I131+J131+K131+L131</f>
        <v>-841326</v>
      </c>
      <c r="O131">
        <v>24075550</v>
      </c>
      <c r="P131" s="2">
        <f t="shared" ref="P131:P194" si="7">((N131*100)/O131)</f>
        <v>-3.4945245279962451</v>
      </c>
      <c r="Q131" s="4">
        <f t="shared" ref="Q131:Q194" si="8">(M131*O131)/10^7</f>
        <v>37.24487585</v>
      </c>
    </row>
    <row r="132" spans="1:17" x14ac:dyDescent="0.4">
      <c r="A132">
        <v>20210803</v>
      </c>
      <c r="B132" s="1">
        <v>0.70833333333333337</v>
      </c>
      <c r="C132">
        <v>-55082</v>
      </c>
      <c r="D132">
        <v>-80306</v>
      </c>
      <c r="E132">
        <v>-606889</v>
      </c>
      <c r="F132">
        <v>-8305</v>
      </c>
      <c r="G132">
        <v>-40478</v>
      </c>
      <c r="H132">
        <v>114411</v>
      </c>
      <c r="I132">
        <v>81362</v>
      </c>
      <c r="J132">
        <v>-116310</v>
      </c>
      <c r="K132">
        <v>-195850</v>
      </c>
      <c r="L132">
        <v>-45805</v>
      </c>
      <c r="M132">
        <v>14.87</v>
      </c>
      <c r="N132">
        <f t="shared" si="6"/>
        <v>-953252</v>
      </c>
      <c r="O132">
        <v>23576300</v>
      </c>
      <c r="P132" s="2">
        <f t="shared" si="7"/>
        <v>-4.0432637860902689</v>
      </c>
      <c r="Q132" s="4">
        <f t="shared" si="8"/>
        <v>35.0579581</v>
      </c>
    </row>
    <row r="133" spans="1:17" x14ac:dyDescent="0.4">
      <c r="A133">
        <v>20210803</v>
      </c>
      <c r="B133" s="1">
        <v>0.72916666666666663</v>
      </c>
      <c r="C133">
        <v>-9138</v>
      </c>
      <c r="D133">
        <v>-287653</v>
      </c>
      <c r="E133">
        <v>-900611</v>
      </c>
      <c r="F133">
        <v>3281</v>
      </c>
      <c r="G133">
        <v>-41962</v>
      </c>
      <c r="H133">
        <v>57421</v>
      </c>
      <c r="I133">
        <v>87612</v>
      </c>
      <c r="J133">
        <v>-133519</v>
      </c>
      <c r="K133">
        <v>-408635</v>
      </c>
      <c r="L133">
        <v>-39577</v>
      </c>
      <c r="M133">
        <v>14.87</v>
      </c>
      <c r="N133">
        <f t="shared" si="6"/>
        <v>-1672781</v>
      </c>
      <c r="O133">
        <v>22890700</v>
      </c>
      <c r="P133" s="2">
        <f t="shared" si="7"/>
        <v>-7.3076882751510439</v>
      </c>
      <c r="Q133" s="4">
        <f t="shared" si="8"/>
        <v>34.0384709</v>
      </c>
    </row>
    <row r="134" spans="1:17" x14ac:dyDescent="0.4">
      <c r="A134">
        <v>20210803</v>
      </c>
      <c r="B134" s="1">
        <v>0.75</v>
      </c>
      <c r="C134">
        <v>-56486</v>
      </c>
      <c r="D134">
        <v>-201922</v>
      </c>
      <c r="E134">
        <v>-643194</v>
      </c>
      <c r="F134">
        <v>139455</v>
      </c>
      <c r="G134">
        <v>-8380</v>
      </c>
      <c r="H134">
        <v>49539</v>
      </c>
      <c r="I134">
        <v>73682</v>
      </c>
      <c r="J134">
        <v>-137552</v>
      </c>
      <c r="K134">
        <v>-296474</v>
      </c>
      <c r="L134">
        <v>-41948</v>
      </c>
      <c r="M134">
        <v>15.21</v>
      </c>
      <c r="N134">
        <f t="shared" si="6"/>
        <v>-1123280</v>
      </c>
      <c r="O134">
        <v>22584950</v>
      </c>
      <c r="P134" s="2">
        <f t="shared" si="7"/>
        <v>-4.9735775372537905</v>
      </c>
      <c r="Q134" s="4">
        <f t="shared" si="8"/>
        <v>34.351708950000003</v>
      </c>
    </row>
    <row r="135" spans="1:17" x14ac:dyDescent="0.4">
      <c r="A135">
        <v>20210803</v>
      </c>
      <c r="B135" s="1">
        <v>0.77083333333333337</v>
      </c>
      <c r="C135">
        <v>-94101</v>
      </c>
      <c r="D135">
        <v>-311598</v>
      </c>
      <c r="E135">
        <v>-669538</v>
      </c>
      <c r="F135">
        <v>93855</v>
      </c>
      <c r="G135">
        <v>-25015</v>
      </c>
      <c r="H135">
        <v>60261</v>
      </c>
      <c r="I135">
        <v>28622</v>
      </c>
      <c r="J135">
        <v>-124377</v>
      </c>
      <c r="K135">
        <v>-172724</v>
      </c>
      <c r="L135">
        <v>-23086</v>
      </c>
      <c r="M135">
        <v>17.010000000000002</v>
      </c>
      <c r="N135">
        <f t="shared" si="6"/>
        <v>-1237701</v>
      </c>
      <c r="O135">
        <v>22591350</v>
      </c>
      <c r="P135" s="2">
        <f t="shared" si="7"/>
        <v>-5.4786500142753756</v>
      </c>
      <c r="Q135" s="4">
        <f t="shared" si="8"/>
        <v>38.427886350000009</v>
      </c>
    </row>
    <row r="136" spans="1:17" x14ac:dyDescent="0.4">
      <c r="A136">
        <v>20210803</v>
      </c>
      <c r="B136" s="1">
        <v>0.79166666666666663</v>
      </c>
      <c r="C136">
        <v>-116398</v>
      </c>
      <c r="D136">
        <v>-280825</v>
      </c>
      <c r="E136">
        <v>-676140</v>
      </c>
      <c r="F136">
        <v>120728</v>
      </c>
      <c r="G136">
        <v>-30498</v>
      </c>
      <c r="H136">
        <v>26036</v>
      </c>
      <c r="I136">
        <v>-22275</v>
      </c>
      <c r="J136">
        <v>-80244</v>
      </c>
      <c r="K136">
        <v>-105161</v>
      </c>
      <c r="L136">
        <v>-61745</v>
      </c>
      <c r="M136">
        <v>13.95</v>
      </c>
      <c r="N136">
        <f t="shared" si="6"/>
        <v>-1226522</v>
      </c>
      <c r="O136">
        <v>22469500</v>
      </c>
      <c r="P136" s="2">
        <f t="shared" si="7"/>
        <v>-5.4586083357440085</v>
      </c>
      <c r="Q136" s="4">
        <f t="shared" si="8"/>
        <v>31.344952500000002</v>
      </c>
    </row>
    <row r="137" spans="1:17" x14ac:dyDescent="0.4">
      <c r="A137">
        <v>20210803</v>
      </c>
      <c r="B137" s="1">
        <v>0.8125</v>
      </c>
      <c r="C137">
        <v>-82804</v>
      </c>
      <c r="D137">
        <v>-263927</v>
      </c>
      <c r="E137">
        <v>-518644</v>
      </c>
      <c r="F137">
        <v>78610</v>
      </c>
      <c r="G137">
        <v>-22655</v>
      </c>
      <c r="H137">
        <v>-559</v>
      </c>
      <c r="I137">
        <v>-40386</v>
      </c>
      <c r="J137">
        <v>-46728</v>
      </c>
      <c r="K137">
        <v>-57454</v>
      </c>
      <c r="L137">
        <v>-59238</v>
      </c>
      <c r="M137">
        <v>10.7</v>
      </c>
      <c r="N137">
        <f t="shared" si="6"/>
        <v>-1013785</v>
      </c>
      <c r="O137">
        <v>22335950</v>
      </c>
      <c r="P137" s="2">
        <f t="shared" si="7"/>
        <v>-4.53880403564657</v>
      </c>
      <c r="Q137" s="4">
        <f t="shared" si="8"/>
        <v>23.899466499999996</v>
      </c>
    </row>
    <row r="138" spans="1:17" x14ac:dyDescent="0.4">
      <c r="A138">
        <v>20210803</v>
      </c>
      <c r="B138" s="1">
        <v>0.83333333333333337</v>
      </c>
      <c r="C138">
        <v>-27570</v>
      </c>
      <c r="D138">
        <v>-224642</v>
      </c>
      <c r="E138">
        <v>-287922</v>
      </c>
      <c r="F138">
        <v>135926</v>
      </c>
      <c r="G138">
        <v>-17296</v>
      </c>
      <c r="H138">
        <v>118885</v>
      </c>
      <c r="I138">
        <v>12877</v>
      </c>
      <c r="J138">
        <v>5305</v>
      </c>
      <c r="K138">
        <v>80521</v>
      </c>
      <c r="L138">
        <v>-52944</v>
      </c>
      <c r="M138">
        <v>10.27</v>
      </c>
      <c r="N138">
        <f t="shared" si="6"/>
        <v>-256860</v>
      </c>
      <c r="O138">
        <v>21852450</v>
      </c>
      <c r="P138" s="2">
        <f t="shared" si="7"/>
        <v>-1.1754288420749162</v>
      </c>
      <c r="Q138" s="4">
        <f t="shared" si="8"/>
        <v>22.442466150000001</v>
      </c>
    </row>
    <row r="139" spans="1:17" x14ac:dyDescent="0.4">
      <c r="A139">
        <v>20210803</v>
      </c>
      <c r="B139" s="1">
        <v>0.85416666666666663</v>
      </c>
      <c r="C139">
        <v>-125628</v>
      </c>
      <c r="D139">
        <v>-299889</v>
      </c>
      <c r="E139">
        <v>48544</v>
      </c>
      <c r="F139">
        <v>118523</v>
      </c>
      <c r="G139">
        <v>-18098</v>
      </c>
      <c r="H139">
        <v>28102</v>
      </c>
      <c r="I139">
        <v>-20234</v>
      </c>
      <c r="J139">
        <v>-11992</v>
      </c>
      <c r="K139">
        <v>37039</v>
      </c>
      <c r="L139">
        <v>-43876</v>
      </c>
      <c r="M139">
        <v>10.27</v>
      </c>
      <c r="N139">
        <f t="shared" si="6"/>
        <v>-287509</v>
      </c>
      <c r="O139">
        <v>21700800</v>
      </c>
      <c r="P139" s="2">
        <f t="shared" si="7"/>
        <v>-1.3248774238737742</v>
      </c>
      <c r="Q139" s="4">
        <f t="shared" si="8"/>
        <v>22.2867216</v>
      </c>
    </row>
    <row r="140" spans="1:17" x14ac:dyDescent="0.4">
      <c r="A140">
        <v>20210803</v>
      </c>
      <c r="B140" s="1">
        <v>0.875</v>
      </c>
      <c r="C140">
        <v>-24773</v>
      </c>
      <c r="D140">
        <v>-204364</v>
      </c>
      <c r="E140">
        <v>-272417</v>
      </c>
      <c r="F140">
        <v>134034</v>
      </c>
      <c r="G140">
        <v>-21772</v>
      </c>
      <c r="H140">
        <v>16012</v>
      </c>
      <c r="I140">
        <v>-4629</v>
      </c>
      <c r="J140">
        <v>-1129</v>
      </c>
      <c r="K140">
        <v>-23633</v>
      </c>
      <c r="L140">
        <v>-53988</v>
      </c>
      <c r="M140">
        <v>10.07</v>
      </c>
      <c r="N140">
        <f t="shared" si="6"/>
        <v>-456659</v>
      </c>
      <c r="O140">
        <v>21498300</v>
      </c>
      <c r="P140" s="2">
        <f t="shared" si="7"/>
        <v>-2.1241633059358183</v>
      </c>
      <c r="Q140" s="4">
        <f t="shared" si="8"/>
        <v>21.648788100000001</v>
      </c>
    </row>
    <row r="141" spans="1:17" x14ac:dyDescent="0.4">
      <c r="A141">
        <v>20210803</v>
      </c>
      <c r="B141" s="1">
        <v>0.89583333333333337</v>
      </c>
      <c r="C141">
        <v>-39164</v>
      </c>
      <c r="D141">
        <v>-112336</v>
      </c>
      <c r="E141">
        <v>181827</v>
      </c>
      <c r="F141">
        <v>62484</v>
      </c>
      <c r="G141">
        <v>-6002</v>
      </c>
      <c r="H141">
        <v>-61667</v>
      </c>
      <c r="I141">
        <v>36005</v>
      </c>
      <c r="J141">
        <v>5203</v>
      </c>
      <c r="K141">
        <v>15991</v>
      </c>
      <c r="L141">
        <v>-47524</v>
      </c>
      <c r="M141">
        <v>9.92</v>
      </c>
      <c r="N141">
        <f t="shared" si="6"/>
        <v>34817</v>
      </c>
      <c r="O141">
        <v>21403700</v>
      </c>
      <c r="P141" s="2">
        <f t="shared" si="7"/>
        <v>0.16266813681746614</v>
      </c>
      <c r="Q141" s="4">
        <f t="shared" si="8"/>
        <v>21.2324704</v>
      </c>
    </row>
    <row r="142" spans="1:17" x14ac:dyDescent="0.4">
      <c r="A142">
        <v>20210803</v>
      </c>
      <c r="B142" s="1">
        <v>0.91666666666666663</v>
      </c>
      <c r="C142">
        <v>15657</v>
      </c>
      <c r="D142">
        <v>-107635</v>
      </c>
      <c r="E142">
        <v>-255132</v>
      </c>
      <c r="F142">
        <v>118204</v>
      </c>
      <c r="G142">
        <v>-41356</v>
      </c>
      <c r="H142">
        <v>109399</v>
      </c>
      <c r="I142">
        <v>13091</v>
      </c>
      <c r="J142">
        <v>-6081</v>
      </c>
      <c r="K142">
        <v>25052</v>
      </c>
      <c r="L142">
        <v>-48896</v>
      </c>
      <c r="M142">
        <v>9.9</v>
      </c>
      <c r="N142">
        <f t="shared" si="6"/>
        <v>-177697</v>
      </c>
      <c r="O142">
        <v>20783300</v>
      </c>
      <c r="P142" s="2">
        <f t="shared" si="7"/>
        <v>-0.85499896551558219</v>
      </c>
      <c r="Q142" s="4">
        <f t="shared" si="8"/>
        <v>20.575467</v>
      </c>
    </row>
    <row r="143" spans="1:17" x14ac:dyDescent="0.4">
      <c r="A143">
        <v>20210803</v>
      </c>
      <c r="B143" s="1">
        <v>0.9375</v>
      </c>
      <c r="C143">
        <v>-3808</v>
      </c>
      <c r="D143">
        <v>-54897</v>
      </c>
      <c r="E143">
        <v>-140983</v>
      </c>
      <c r="F143">
        <v>47714</v>
      </c>
      <c r="G143">
        <v>-56562</v>
      </c>
      <c r="H143">
        <v>131070</v>
      </c>
      <c r="I143">
        <v>-60660</v>
      </c>
      <c r="J143">
        <v>-24649</v>
      </c>
      <c r="K143">
        <v>-50600</v>
      </c>
      <c r="L143">
        <v>-43717</v>
      </c>
      <c r="M143">
        <v>9.6300000000000008</v>
      </c>
      <c r="N143">
        <f t="shared" si="6"/>
        <v>-257092</v>
      </c>
      <c r="O143">
        <v>20692450</v>
      </c>
      <c r="P143" s="2">
        <f t="shared" si="7"/>
        <v>-1.2424434999238854</v>
      </c>
      <c r="Q143" s="4">
        <f t="shared" si="8"/>
        <v>19.926829350000002</v>
      </c>
    </row>
    <row r="144" spans="1:17" x14ac:dyDescent="0.4">
      <c r="A144">
        <v>20210803</v>
      </c>
      <c r="B144" s="1">
        <v>0.95833333333333337</v>
      </c>
      <c r="C144">
        <v>-19222</v>
      </c>
      <c r="D144">
        <v>-39731</v>
      </c>
      <c r="E144">
        <v>-484789</v>
      </c>
      <c r="F144">
        <v>58536</v>
      </c>
      <c r="G144">
        <v>-45635</v>
      </c>
      <c r="H144">
        <v>-17014</v>
      </c>
      <c r="I144">
        <v>-28966</v>
      </c>
      <c r="J144">
        <v>-10493</v>
      </c>
      <c r="K144">
        <v>-144806</v>
      </c>
      <c r="L144">
        <v>-50801</v>
      </c>
      <c r="M144">
        <v>8.86</v>
      </c>
      <c r="N144">
        <f t="shared" si="6"/>
        <v>-782921</v>
      </c>
      <c r="O144">
        <v>20075200</v>
      </c>
      <c r="P144" s="2">
        <f t="shared" si="7"/>
        <v>-3.8999412210090063</v>
      </c>
      <c r="Q144" s="4">
        <f t="shared" si="8"/>
        <v>17.786627200000002</v>
      </c>
    </row>
    <row r="145" spans="1:17" x14ac:dyDescent="0.4">
      <c r="A145">
        <v>20210803</v>
      </c>
      <c r="B145" s="1">
        <v>0.97916666666666663</v>
      </c>
      <c r="C145">
        <v>40760</v>
      </c>
      <c r="D145">
        <v>-56092</v>
      </c>
      <c r="E145">
        <v>-25781</v>
      </c>
      <c r="F145">
        <v>7749</v>
      </c>
      <c r="G145">
        <v>-19670</v>
      </c>
      <c r="H145">
        <v>45962</v>
      </c>
      <c r="I145">
        <v>-79909</v>
      </c>
      <c r="J145">
        <v>-12376</v>
      </c>
      <c r="K145">
        <v>-149236</v>
      </c>
      <c r="L145">
        <v>-42860</v>
      </c>
      <c r="M145">
        <v>7.65</v>
      </c>
      <c r="N145">
        <f t="shared" si="6"/>
        <v>-291453</v>
      </c>
      <c r="O145">
        <v>18819300</v>
      </c>
      <c r="P145" s="2">
        <f t="shared" si="7"/>
        <v>-1.5486920342414436</v>
      </c>
      <c r="Q145" s="4">
        <f t="shared" si="8"/>
        <v>14.3967645</v>
      </c>
    </row>
    <row r="146" spans="1:17" x14ac:dyDescent="0.4">
      <c r="A146">
        <v>20210804</v>
      </c>
      <c r="B146" s="1">
        <v>0</v>
      </c>
      <c r="C146">
        <v>27570</v>
      </c>
      <c r="D146">
        <v>-13648</v>
      </c>
      <c r="E146">
        <v>-271918</v>
      </c>
      <c r="F146">
        <v>42802</v>
      </c>
      <c r="G146">
        <v>-24805</v>
      </c>
      <c r="H146">
        <v>-7157</v>
      </c>
      <c r="I146">
        <v>-3771</v>
      </c>
      <c r="J146">
        <v>-19634</v>
      </c>
      <c r="K146">
        <v>-27977</v>
      </c>
      <c r="L146">
        <v>-63738</v>
      </c>
      <c r="M146">
        <v>8.86</v>
      </c>
      <c r="N146">
        <f t="shared" si="6"/>
        <v>-362276</v>
      </c>
      <c r="O146">
        <v>18615900</v>
      </c>
      <c r="P146" s="2">
        <f t="shared" si="7"/>
        <v>-1.946056865367777</v>
      </c>
      <c r="Q146" s="4">
        <f t="shared" si="8"/>
        <v>16.493687399999999</v>
      </c>
    </row>
    <row r="147" spans="1:17" x14ac:dyDescent="0.4">
      <c r="A147">
        <v>20210804</v>
      </c>
      <c r="B147" s="1">
        <v>2.0833333333333332E-2</v>
      </c>
      <c r="C147">
        <v>-67436</v>
      </c>
      <c r="D147">
        <v>40209</v>
      </c>
      <c r="E147">
        <v>-61229</v>
      </c>
      <c r="F147">
        <v>161739</v>
      </c>
      <c r="G147">
        <v>-12755</v>
      </c>
      <c r="H147">
        <v>-14004</v>
      </c>
      <c r="I147">
        <v>29147</v>
      </c>
      <c r="J147">
        <v>-23076</v>
      </c>
      <c r="K147">
        <v>40655</v>
      </c>
      <c r="L147">
        <v>-57505</v>
      </c>
      <c r="M147">
        <v>8.86</v>
      </c>
      <c r="N147">
        <f t="shared" si="6"/>
        <v>35745</v>
      </c>
      <c r="O147">
        <v>19541150</v>
      </c>
      <c r="P147" s="2">
        <f t="shared" si="7"/>
        <v>0.18292168065850781</v>
      </c>
      <c r="Q147" s="4">
        <f t="shared" si="8"/>
        <v>17.313458900000001</v>
      </c>
    </row>
    <row r="148" spans="1:17" x14ac:dyDescent="0.4">
      <c r="A148">
        <v>20210804</v>
      </c>
      <c r="B148" s="1">
        <v>4.1666666666666664E-2</v>
      </c>
      <c r="C148">
        <v>-42889</v>
      </c>
      <c r="D148">
        <v>55577</v>
      </c>
      <c r="E148">
        <v>-114608</v>
      </c>
      <c r="F148">
        <v>137277</v>
      </c>
      <c r="G148">
        <v>-24778</v>
      </c>
      <c r="H148">
        <v>57683</v>
      </c>
      <c r="I148">
        <v>84586</v>
      </c>
      <c r="J148">
        <v>-17387</v>
      </c>
      <c r="K148">
        <v>12249</v>
      </c>
      <c r="L148">
        <v>-59241</v>
      </c>
      <c r="M148">
        <v>8.86</v>
      </c>
      <c r="N148">
        <f t="shared" si="6"/>
        <v>88469</v>
      </c>
      <c r="O148">
        <v>19738150</v>
      </c>
      <c r="P148" s="2">
        <f t="shared" si="7"/>
        <v>0.44821323173651029</v>
      </c>
      <c r="Q148" s="4">
        <f t="shared" si="8"/>
        <v>17.488000899999999</v>
      </c>
    </row>
    <row r="149" spans="1:17" x14ac:dyDescent="0.4">
      <c r="A149">
        <v>20210804</v>
      </c>
      <c r="B149" s="1">
        <v>6.25E-2</v>
      </c>
      <c r="C149">
        <v>-10565</v>
      </c>
      <c r="D149">
        <v>65175</v>
      </c>
      <c r="E149">
        <v>-7385</v>
      </c>
      <c r="F149">
        <v>180062</v>
      </c>
      <c r="G149">
        <v>-28092</v>
      </c>
      <c r="H149">
        <v>-30428</v>
      </c>
      <c r="I149">
        <v>-33956</v>
      </c>
      <c r="J149">
        <v>-15370</v>
      </c>
      <c r="K149">
        <v>26716</v>
      </c>
      <c r="L149">
        <v>-54676</v>
      </c>
      <c r="M149">
        <v>7.59</v>
      </c>
      <c r="N149">
        <f t="shared" si="6"/>
        <v>91481</v>
      </c>
      <c r="O149">
        <v>20064950</v>
      </c>
      <c r="P149" s="2">
        <f t="shared" si="7"/>
        <v>0.45592438555790071</v>
      </c>
      <c r="Q149" s="4">
        <f t="shared" si="8"/>
        <v>15.22929705</v>
      </c>
    </row>
    <row r="150" spans="1:17" x14ac:dyDescent="0.4">
      <c r="A150">
        <v>20210804</v>
      </c>
      <c r="B150" s="1">
        <v>8.3333333333333329E-2</v>
      </c>
      <c r="C150">
        <v>-52660</v>
      </c>
      <c r="D150">
        <v>125443</v>
      </c>
      <c r="E150">
        <v>-97936</v>
      </c>
      <c r="F150">
        <v>125021</v>
      </c>
      <c r="G150">
        <v>-20290</v>
      </c>
      <c r="H150">
        <v>-71686</v>
      </c>
      <c r="I150">
        <v>-44022</v>
      </c>
      <c r="J150">
        <v>-11113</v>
      </c>
      <c r="K150">
        <v>37006</v>
      </c>
      <c r="L150">
        <v>-49996</v>
      </c>
      <c r="M150">
        <v>7.45</v>
      </c>
      <c r="N150">
        <f t="shared" si="6"/>
        <v>-60233</v>
      </c>
      <c r="O150">
        <v>20214400</v>
      </c>
      <c r="P150" s="2">
        <f t="shared" si="7"/>
        <v>-0.29797075352224156</v>
      </c>
      <c r="Q150" s="4">
        <f t="shared" si="8"/>
        <v>15.059728</v>
      </c>
    </row>
    <row r="151" spans="1:17" x14ac:dyDescent="0.4">
      <c r="A151">
        <v>20210804</v>
      </c>
      <c r="B151" s="1">
        <v>0.10416666666666667</v>
      </c>
      <c r="C151">
        <v>17355</v>
      </c>
      <c r="D151">
        <v>64910</v>
      </c>
      <c r="E151">
        <v>-23197</v>
      </c>
      <c r="F151">
        <v>185380</v>
      </c>
      <c r="G151">
        <v>-18688</v>
      </c>
      <c r="H151">
        <v>-149867</v>
      </c>
      <c r="I151">
        <v>-99830</v>
      </c>
      <c r="J151">
        <v>3395</v>
      </c>
      <c r="K151">
        <v>39564</v>
      </c>
      <c r="L151">
        <v>-51378</v>
      </c>
      <c r="M151">
        <v>7.45</v>
      </c>
      <c r="N151">
        <f t="shared" si="6"/>
        <v>-32356</v>
      </c>
      <c r="O151">
        <v>20258800</v>
      </c>
      <c r="P151" s="2">
        <f t="shared" si="7"/>
        <v>-0.15971330977155607</v>
      </c>
      <c r="Q151" s="4">
        <f t="shared" si="8"/>
        <v>15.092806</v>
      </c>
    </row>
    <row r="152" spans="1:17" x14ac:dyDescent="0.4">
      <c r="A152">
        <v>20210804</v>
      </c>
      <c r="B152" s="1">
        <v>0.125</v>
      </c>
      <c r="C152">
        <v>-37571</v>
      </c>
      <c r="D152">
        <v>66056</v>
      </c>
      <c r="E152">
        <v>-41858</v>
      </c>
      <c r="F152">
        <v>133601</v>
      </c>
      <c r="G152">
        <v>-10729</v>
      </c>
      <c r="H152">
        <v>-48074</v>
      </c>
      <c r="I152">
        <v>-45430</v>
      </c>
      <c r="J152">
        <v>-5802</v>
      </c>
      <c r="K152">
        <v>77798</v>
      </c>
      <c r="L152">
        <v>-45768</v>
      </c>
      <c r="M152">
        <v>7.58</v>
      </c>
      <c r="N152">
        <f t="shared" si="6"/>
        <v>42223</v>
      </c>
      <c r="O152">
        <v>20455700</v>
      </c>
      <c r="P152" s="2">
        <f t="shared" si="7"/>
        <v>0.20641190475026522</v>
      </c>
      <c r="Q152" s="4">
        <f t="shared" si="8"/>
        <v>15.505420600000001</v>
      </c>
    </row>
    <row r="153" spans="1:17" x14ac:dyDescent="0.4">
      <c r="A153">
        <v>20210804</v>
      </c>
      <c r="B153" s="1">
        <v>0.14583333333333334</v>
      </c>
      <c r="C153">
        <v>-19943</v>
      </c>
      <c r="D153">
        <v>46717</v>
      </c>
      <c r="E153">
        <v>2496</v>
      </c>
      <c r="F153">
        <v>109315</v>
      </c>
      <c r="G153">
        <v>2954</v>
      </c>
      <c r="H153">
        <v>-42176</v>
      </c>
      <c r="I153">
        <v>-43040</v>
      </c>
      <c r="J153">
        <v>2549</v>
      </c>
      <c r="K153">
        <v>106056</v>
      </c>
      <c r="L153">
        <v>-51331</v>
      </c>
      <c r="M153">
        <v>7.58</v>
      </c>
      <c r="N153">
        <f t="shared" si="6"/>
        <v>113597</v>
      </c>
      <c r="O153">
        <v>20547400</v>
      </c>
      <c r="P153" s="2">
        <f t="shared" si="7"/>
        <v>0.55285340237694303</v>
      </c>
      <c r="Q153" s="4">
        <f t="shared" si="8"/>
        <v>15.5749292</v>
      </c>
    </row>
    <row r="154" spans="1:17" x14ac:dyDescent="0.4">
      <c r="A154">
        <v>20210804</v>
      </c>
      <c r="B154" s="1">
        <v>0.16666666666666666</v>
      </c>
      <c r="C154">
        <v>-19672</v>
      </c>
      <c r="D154">
        <v>61363</v>
      </c>
      <c r="E154">
        <v>8464</v>
      </c>
      <c r="F154">
        <v>162608</v>
      </c>
      <c r="G154">
        <v>6381</v>
      </c>
      <c r="H154">
        <v>-93025</v>
      </c>
      <c r="I154">
        <v>-29176</v>
      </c>
      <c r="J154">
        <v>19960</v>
      </c>
      <c r="K154">
        <v>189826</v>
      </c>
      <c r="L154">
        <v>-50853</v>
      </c>
      <c r="M154">
        <v>7.63</v>
      </c>
      <c r="N154">
        <f t="shared" si="6"/>
        <v>255876</v>
      </c>
      <c r="O154">
        <v>20614150</v>
      </c>
      <c r="P154" s="2">
        <f t="shared" si="7"/>
        <v>1.2412638891247032</v>
      </c>
      <c r="Q154" s="4">
        <f t="shared" si="8"/>
        <v>15.72859645</v>
      </c>
    </row>
    <row r="155" spans="1:17" x14ac:dyDescent="0.4">
      <c r="A155">
        <v>20210804</v>
      </c>
      <c r="B155" s="1">
        <v>0.1875</v>
      </c>
      <c r="C155">
        <v>-9018</v>
      </c>
      <c r="D155">
        <v>53849</v>
      </c>
      <c r="E155">
        <v>21527</v>
      </c>
      <c r="F155">
        <v>126053</v>
      </c>
      <c r="G155">
        <v>-11551</v>
      </c>
      <c r="H155">
        <v>-151519</v>
      </c>
      <c r="I155">
        <v>-57437</v>
      </c>
      <c r="J155">
        <v>24234</v>
      </c>
      <c r="K155">
        <v>117739</v>
      </c>
      <c r="L155">
        <v>-44545</v>
      </c>
      <c r="M155">
        <v>7.63</v>
      </c>
      <c r="N155">
        <f t="shared" si="6"/>
        <v>69332</v>
      </c>
      <c r="O155">
        <v>20630000</v>
      </c>
      <c r="P155" s="2">
        <f t="shared" si="7"/>
        <v>0.33607367910809499</v>
      </c>
      <c r="Q155" s="4">
        <f t="shared" si="8"/>
        <v>15.740690000000001</v>
      </c>
    </row>
    <row r="156" spans="1:17" x14ac:dyDescent="0.4">
      <c r="A156">
        <v>20210804</v>
      </c>
      <c r="B156" s="1">
        <v>0.20833333333333334</v>
      </c>
      <c r="C156">
        <v>-4103</v>
      </c>
      <c r="D156">
        <v>123928</v>
      </c>
      <c r="E156">
        <v>42018</v>
      </c>
      <c r="F156">
        <v>103390</v>
      </c>
      <c r="G156">
        <v>-8801</v>
      </c>
      <c r="H156">
        <v>-106946</v>
      </c>
      <c r="I156">
        <v>-82397</v>
      </c>
      <c r="J156">
        <v>48669</v>
      </c>
      <c r="K156">
        <v>140507</v>
      </c>
      <c r="L156">
        <v>-47874</v>
      </c>
      <c r="M156">
        <v>7.93</v>
      </c>
      <c r="N156">
        <f t="shared" si="6"/>
        <v>208391</v>
      </c>
      <c r="O156">
        <v>20621150</v>
      </c>
      <c r="P156" s="2">
        <f t="shared" si="7"/>
        <v>1.0105692456531279</v>
      </c>
      <c r="Q156" s="4">
        <f t="shared" si="8"/>
        <v>16.352571950000002</v>
      </c>
    </row>
    <row r="157" spans="1:17" x14ac:dyDescent="0.4">
      <c r="A157">
        <v>20210804</v>
      </c>
      <c r="B157" s="1">
        <v>0.22916666666666666</v>
      </c>
      <c r="C157">
        <v>13659</v>
      </c>
      <c r="D157">
        <v>216923</v>
      </c>
      <c r="E157">
        <v>-22015</v>
      </c>
      <c r="F157">
        <v>56129</v>
      </c>
      <c r="G157">
        <v>-21194</v>
      </c>
      <c r="H157">
        <v>-73132</v>
      </c>
      <c r="I157">
        <v>-117699</v>
      </c>
      <c r="J157">
        <v>75268</v>
      </c>
      <c r="K157">
        <v>99377</v>
      </c>
      <c r="L157">
        <v>-50734</v>
      </c>
      <c r="M157">
        <v>7.65</v>
      </c>
      <c r="N157">
        <f t="shared" si="6"/>
        <v>176582</v>
      </c>
      <c r="O157">
        <v>20661400</v>
      </c>
      <c r="P157" s="2">
        <f t="shared" si="7"/>
        <v>0.85464682935328684</v>
      </c>
      <c r="Q157" s="4">
        <f t="shared" si="8"/>
        <v>15.805971</v>
      </c>
    </row>
    <row r="158" spans="1:17" x14ac:dyDescent="0.4">
      <c r="A158">
        <v>20210804</v>
      </c>
      <c r="B158" s="1">
        <v>0.25</v>
      </c>
      <c r="C158">
        <v>21088</v>
      </c>
      <c r="D158">
        <v>224887</v>
      </c>
      <c r="E158">
        <v>179410</v>
      </c>
      <c r="F158">
        <v>-3177</v>
      </c>
      <c r="G158">
        <v>-18735</v>
      </c>
      <c r="H158">
        <v>-128289</v>
      </c>
      <c r="I158">
        <v>-180454</v>
      </c>
      <c r="J158">
        <v>94971</v>
      </c>
      <c r="K158">
        <v>-69463</v>
      </c>
      <c r="L158">
        <v>-53142</v>
      </c>
      <c r="M158">
        <v>7.93</v>
      </c>
      <c r="N158">
        <f t="shared" si="6"/>
        <v>67096</v>
      </c>
      <c r="O158">
        <v>21245450</v>
      </c>
      <c r="P158" s="2">
        <f t="shared" si="7"/>
        <v>0.31581350359724081</v>
      </c>
      <c r="Q158" s="4">
        <f t="shared" si="8"/>
        <v>16.847641849999999</v>
      </c>
    </row>
    <row r="159" spans="1:17" x14ac:dyDescent="0.4">
      <c r="A159">
        <v>20210804</v>
      </c>
      <c r="B159" s="1">
        <v>0.27083333333333331</v>
      </c>
      <c r="C159">
        <v>42972</v>
      </c>
      <c r="D159">
        <v>296166</v>
      </c>
      <c r="E159">
        <v>159842</v>
      </c>
      <c r="F159">
        <v>44885</v>
      </c>
      <c r="G159">
        <v>-15340</v>
      </c>
      <c r="H159">
        <v>-135404</v>
      </c>
      <c r="I159">
        <v>-166174</v>
      </c>
      <c r="J159">
        <v>108770</v>
      </c>
      <c r="K159">
        <v>-183094</v>
      </c>
      <c r="L159">
        <v>-55960</v>
      </c>
      <c r="M159">
        <v>7.93</v>
      </c>
      <c r="N159">
        <f t="shared" si="6"/>
        <v>96663</v>
      </c>
      <c r="O159">
        <v>21758950</v>
      </c>
      <c r="P159" s="2">
        <f t="shared" si="7"/>
        <v>0.44424478203222123</v>
      </c>
      <c r="Q159" s="4">
        <f t="shared" si="8"/>
        <v>17.254847349999999</v>
      </c>
    </row>
    <row r="160" spans="1:17" x14ac:dyDescent="0.4">
      <c r="A160">
        <v>20210804</v>
      </c>
      <c r="B160" s="1">
        <v>0.29166666666666669</v>
      </c>
      <c r="C160">
        <v>80862</v>
      </c>
      <c r="D160">
        <v>336427</v>
      </c>
      <c r="E160">
        <v>132926</v>
      </c>
      <c r="F160">
        <v>176681</v>
      </c>
      <c r="G160">
        <v>15020</v>
      </c>
      <c r="H160">
        <v>-113968</v>
      </c>
      <c r="I160">
        <v>-214040</v>
      </c>
      <c r="J160">
        <v>99244</v>
      </c>
      <c r="K160">
        <v>-174813</v>
      </c>
      <c r="L160">
        <v>-52013</v>
      </c>
      <c r="M160">
        <v>7.94</v>
      </c>
      <c r="N160">
        <f t="shared" si="6"/>
        <v>286326</v>
      </c>
      <c r="O160">
        <v>22741350</v>
      </c>
      <c r="P160" s="2">
        <f t="shared" si="7"/>
        <v>1.2590545416169225</v>
      </c>
      <c r="Q160" s="4">
        <f t="shared" si="8"/>
        <v>18.056631899999999</v>
      </c>
    </row>
    <row r="161" spans="1:17" x14ac:dyDescent="0.4">
      <c r="A161">
        <v>20210804</v>
      </c>
      <c r="B161" s="1">
        <v>0.3125</v>
      </c>
      <c r="C161">
        <v>49526</v>
      </c>
      <c r="D161">
        <v>571013</v>
      </c>
      <c r="E161">
        <v>-293823</v>
      </c>
      <c r="F161">
        <v>213188</v>
      </c>
      <c r="G161">
        <v>18706</v>
      </c>
      <c r="H161">
        <v>-70085</v>
      </c>
      <c r="I161">
        <v>-141429</v>
      </c>
      <c r="J161">
        <v>133336</v>
      </c>
      <c r="K161">
        <v>-127934</v>
      </c>
      <c r="L161">
        <v>-57741</v>
      </c>
      <c r="M161">
        <v>8.39</v>
      </c>
      <c r="N161">
        <f t="shared" si="6"/>
        <v>294757</v>
      </c>
      <c r="O161">
        <v>23067650</v>
      </c>
      <c r="P161" s="2">
        <f t="shared" si="7"/>
        <v>1.2777937934726771</v>
      </c>
      <c r="Q161" s="4">
        <f t="shared" si="8"/>
        <v>19.35375835</v>
      </c>
    </row>
    <row r="162" spans="1:17" x14ac:dyDescent="0.4">
      <c r="A162">
        <v>20210804</v>
      </c>
      <c r="B162" s="1">
        <v>0.33333333333333331</v>
      </c>
      <c r="C162">
        <v>-20354</v>
      </c>
      <c r="D162">
        <v>488750</v>
      </c>
      <c r="E162">
        <v>135465</v>
      </c>
      <c r="F162">
        <v>313796</v>
      </c>
      <c r="G162">
        <v>50749</v>
      </c>
      <c r="H162">
        <v>-147727</v>
      </c>
      <c r="I162">
        <v>-106529</v>
      </c>
      <c r="J162">
        <v>148428</v>
      </c>
      <c r="K162">
        <v>-29611</v>
      </c>
      <c r="L162">
        <v>-38821</v>
      </c>
      <c r="M162">
        <v>7.46</v>
      </c>
      <c r="N162">
        <f t="shared" si="6"/>
        <v>794146</v>
      </c>
      <c r="O162">
        <v>24340550</v>
      </c>
      <c r="P162" s="2">
        <f t="shared" si="7"/>
        <v>3.2626460782521347</v>
      </c>
      <c r="Q162" s="4">
        <f t="shared" si="8"/>
        <v>18.158050299999999</v>
      </c>
    </row>
    <row r="163" spans="1:17" x14ac:dyDescent="0.4">
      <c r="A163">
        <v>20210804</v>
      </c>
      <c r="B163" s="1">
        <v>0.35416666666666669</v>
      </c>
      <c r="C163">
        <v>59867</v>
      </c>
      <c r="D163">
        <v>557428</v>
      </c>
      <c r="E163">
        <v>-57785</v>
      </c>
      <c r="F163">
        <v>122293</v>
      </c>
      <c r="G163">
        <v>57523</v>
      </c>
      <c r="H163">
        <v>-174298</v>
      </c>
      <c r="I163">
        <v>-125906</v>
      </c>
      <c r="J163">
        <v>115358</v>
      </c>
      <c r="K163">
        <v>-3688</v>
      </c>
      <c r="L163">
        <v>-38128</v>
      </c>
      <c r="M163">
        <v>8.86</v>
      </c>
      <c r="N163">
        <f t="shared" si="6"/>
        <v>512664</v>
      </c>
      <c r="O163">
        <v>24946300</v>
      </c>
      <c r="P163" s="2">
        <f t="shared" si="7"/>
        <v>2.0550702909850358</v>
      </c>
      <c r="Q163" s="4">
        <f t="shared" si="8"/>
        <v>22.102421799999998</v>
      </c>
    </row>
    <row r="164" spans="1:17" x14ac:dyDescent="0.4">
      <c r="A164">
        <v>20210804</v>
      </c>
      <c r="B164" s="1">
        <v>0.375</v>
      </c>
      <c r="C164">
        <v>-35694</v>
      </c>
      <c r="D164">
        <v>481157</v>
      </c>
      <c r="E164">
        <v>83895</v>
      </c>
      <c r="F164">
        <v>268893</v>
      </c>
      <c r="G164">
        <v>58984</v>
      </c>
      <c r="H164">
        <v>-207465</v>
      </c>
      <c r="I164">
        <v>-97083</v>
      </c>
      <c r="J164">
        <v>129251</v>
      </c>
      <c r="K164">
        <v>3646</v>
      </c>
      <c r="L164">
        <v>-44252</v>
      </c>
      <c r="M164">
        <v>9.6</v>
      </c>
      <c r="N164">
        <f t="shared" si="6"/>
        <v>641332</v>
      </c>
      <c r="O164">
        <v>25455350</v>
      </c>
      <c r="P164" s="2">
        <f t="shared" si="7"/>
        <v>2.5194389391621015</v>
      </c>
      <c r="Q164" s="4">
        <f t="shared" si="8"/>
        <v>24.437135999999999</v>
      </c>
    </row>
    <row r="165" spans="1:17" x14ac:dyDescent="0.4">
      <c r="A165">
        <v>20210804</v>
      </c>
      <c r="B165" s="1">
        <v>0.39583333333333331</v>
      </c>
      <c r="C165">
        <v>-14575</v>
      </c>
      <c r="D165">
        <v>464545</v>
      </c>
      <c r="E165">
        <v>-154047</v>
      </c>
      <c r="F165">
        <v>270538</v>
      </c>
      <c r="G165">
        <v>53025</v>
      </c>
      <c r="H165">
        <v>-225589</v>
      </c>
      <c r="I165">
        <v>-26407</v>
      </c>
      <c r="J165">
        <v>114698</v>
      </c>
      <c r="K165">
        <v>59280</v>
      </c>
      <c r="L165">
        <v>-60468</v>
      </c>
      <c r="M165">
        <v>9.65</v>
      </c>
      <c r="N165">
        <f t="shared" si="6"/>
        <v>481000</v>
      </c>
      <c r="O165">
        <v>25856650</v>
      </c>
      <c r="P165" s="2">
        <f t="shared" si="7"/>
        <v>1.8602564524019933</v>
      </c>
      <c r="Q165" s="4">
        <f t="shared" si="8"/>
        <v>24.95166725</v>
      </c>
    </row>
    <row r="166" spans="1:17" x14ac:dyDescent="0.4">
      <c r="A166">
        <v>20210804</v>
      </c>
      <c r="B166" s="1">
        <v>0.41666666666666669</v>
      </c>
      <c r="C166">
        <v>-62488</v>
      </c>
      <c r="D166">
        <v>388196</v>
      </c>
      <c r="E166">
        <v>-27739</v>
      </c>
      <c r="F166">
        <v>281093</v>
      </c>
      <c r="G166">
        <v>38205</v>
      </c>
      <c r="H166">
        <v>-214299</v>
      </c>
      <c r="I166">
        <v>-20161</v>
      </c>
      <c r="J166">
        <v>102253</v>
      </c>
      <c r="K166">
        <v>-54390</v>
      </c>
      <c r="L166">
        <v>-52530</v>
      </c>
      <c r="M166">
        <v>9.74</v>
      </c>
      <c r="N166">
        <f t="shared" si="6"/>
        <v>378140</v>
      </c>
      <c r="O166">
        <v>26318500</v>
      </c>
      <c r="P166" s="2">
        <f t="shared" si="7"/>
        <v>1.4367840112468415</v>
      </c>
      <c r="Q166" s="4">
        <f t="shared" si="8"/>
        <v>25.634219000000002</v>
      </c>
    </row>
    <row r="167" spans="1:17" x14ac:dyDescent="0.4">
      <c r="A167">
        <v>20210804</v>
      </c>
      <c r="B167" s="1">
        <v>0.4375</v>
      </c>
      <c r="C167">
        <v>-35851</v>
      </c>
      <c r="D167">
        <v>335977</v>
      </c>
      <c r="E167">
        <v>158682</v>
      </c>
      <c r="F167">
        <v>306876</v>
      </c>
      <c r="G167">
        <v>46719</v>
      </c>
      <c r="H167">
        <v>-236732</v>
      </c>
      <c r="I167">
        <v>-31631</v>
      </c>
      <c r="J167">
        <v>91013</v>
      </c>
      <c r="K167">
        <v>11089</v>
      </c>
      <c r="L167">
        <v>-56046</v>
      </c>
      <c r="M167">
        <v>9.83</v>
      </c>
      <c r="N167">
        <f t="shared" si="6"/>
        <v>590096</v>
      </c>
      <c r="O167">
        <v>26526200</v>
      </c>
      <c r="P167" s="2">
        <f t="shared" si="7"/>
        <v>2.2245779644276227</v>
      </c>
      <c r="Q167" s="4">
        <f t="shared" si="8"/>
        <v>26.075254600000001</v>
      </c>
    </row>
    <row r="168" spans="1:17" x14ac:dyDescent="0.4">
      <c r="A168">
        <v>20210804</v>
      </c>
      <c r="B168" s="1">
        <v>0.45833333333333331</v>
      </c>
      <c r="C168">
        <v>-2340</v>
      </c>
      <c r="D168">
        <v>230006</v>
      </c>
      <c r="E168">
        <v>228727</v>
      </c>
      <c r="F168">
        <v>300148</v>
      </c>
      <c r="G168">
        <v>40117</v>
      </c>
      <c r="H168">
        <v>-252619</v>
      </c>
      <c r="I168">
        <v>-67601</v>
      </c>
      <c r="J168">
        <v>91725</v>
      </c>
      <c r="K168">
        <v>-28334</v>
      </c>
      <c r="L168">
        <v>-61331</v>
      </c>
      <c r="M168">
        <v>10.01</v>
      </c>
      <c r="N168">
        <f t="shared" si="6"/>
        <v>478498</v>
      </c>
      <c r="O168">
        <v>26841900</v>
      </c>
      <c r="P168" s="2">
        <f t="shared" si="7"/>
        <v>1.7826532398973247</v>
      </c>
      <c r="Q168" s="4">
        <f t="shared" si="8"/>
        <v>26.8687419</v>
      </c>
    </row>
    <row r="169" spans="1:17" x14ac:dyDescent="0.4">
      <c r="A169">
        <v>20210804</v>
      </c>
      <c r="B169" s="1">
        <v>0.47916666666666669</v>
      </c>
      <c r="C169">
        <v>39394</v>
      </c>
      <c r="D169">
        <v>109786</v>
      </c>
      <c r="E169">
        <v>221715</v>
      </c>
      <c r="F169">
        <v>210891</v>
      </c>
      <c r="G169">
        <v>39149</v>
      </c>
      <c r="H169">
        <v>-171463</v>
      </c>
      <c r="I169">
        <v>27971</v>
      </c>
      <c r="J169">
        <v>75391</v>
      </c>
      <c r="K169">
        <v>27593</v>
      </c>
      <c r="L169">
        <v>-52393</v>
      </c>
      <c r="M169">
        <v>9.89</v>
      </c>
      <c r="N169">
        <f t="shared" si="6"/>
        <v>528034</v>
      </c>
      <c r="O169">
        <v>27010300</v>
      </c>
      <c r="P169" s="2">
        <f t="shared" si="7"/>
        <v>1.95493570971074</v>
      </c>
      <c r="Q169" s="4">
        <f t="shared" si="8"/>
        <v>26.713186700000001</v>
      </c>
    </row>
    <row r="170" spans="1:17" x14ac:dyDescent="0.4">
      <c r="A170">
        <v>20210804</v>
      </c>
      <c r="B170" s="1">
        <v>0.5</v>
      </c>
      <c r="C170">
        <v>23225</v>
      </c>
      <c r="D170">
        <v>61861</v>
      </c>
      <c r="E170">
        <v>183042</v>
      </c>
      <c r="F170">
        <v>211067</v>
      </c>
      <c r="G170">
        <v>47076</v>
      </c>
      <c r="H170">
        <v>-152523</v>
      </c>
      <c r="I170">
        <v>-4516</v>
      </c>
      <c r="J170">
        <v>103042</v>
      </c>
      <c r="K170">
        <v>-62796</v>
      </c>
      <c r="L170">
        <v>-32413</v>
      </c>
      <c r="M170">
        <v>9.6</v>
      </c>
      <c r="N170">
        <f t="shared" si="6"/>
        <v>377065</v>
      </c>
      <c r="O170">
        <v>26936950</v>
      </c>
      <c r="P170" s="2">
        <f t="shared" si="7"/>
        <v>1.3998058429035209</v>
      </c>
      <c r="Q170" s="4">
        <f t="shared" si="8"/>
        <v>25.859472</v>
      </c>
    </row>
    <row r="171" spans="1:17" x14ac:dyDescent="0.4">
      <c r="A171">
        <v>20210804</v>
      </c>
      <c r="B171" s="1">
        <v>0.52083333333333337</v>
      </c>
      <c r="C171">
        <v>47877</v>
      </c>
      <c r="D171">
        <v>41837</v>
      </c>
      <c r="E171">
        <v>176989</v>
      </c>
      <c r="F171">
        <v>177765</v>
      </c>
      <c r="G171">
        <v>79421</v>
      </c>
      <c r="H171">
        <v>-114071</v>
      </c>
      <c r="I171">
        <v>-18822</v>
      </c>
      <c r="J171">
        <v>93928</v>
      </c>
      <c r="K171">
        <v>-96134</v>
      </c>
      <c r="L171">
        <v>-24661</v>
      </c>
      <c r="M171">
        <v>9.82</v>
      </c>
      <c r="N171">
        <f t="shared" si="6"/>
        <v>364129</v>
      </c>
      <c r="O171">
        <v>26878700</v>
      </c>
      <c r="P171" s="2">
        <f t="shared" si="7"/>
        <v>1.354712095451045</v>
      </c>
      <c r="Q171" s="4">
        <f t="shared" si="8"/>
        <v>26.394883400000001</v>
      </c>
    </row>
    <row r="172" spans="1:17" x14ac:dyDescent="0.4">
      <c r="A172">
        <v>20210804</v>
      </c>
      <c r="B172" s="1">
        <v>0.54166666666666663</v>
      </c>
      <c r="C172">
        <v>21244</v>
      </c>
      <c r="D172">
        <v>-50847</v>
      </c>
      <c r="E172">
        <v>47663</v>
      </c>
      <c r="F172">
        <v>197126</v>
      </c>
      <c r="G172">
        <v>92057</v>
      </c>
      <c r="H172">
        <v>-77711</v>
      </c>
      <c r="I172">
        <v>-1631</v>
      </c>
      <c r="J172">
        <v>61580</v>
      </c>
      <c r="K172">
        <v>-78279</v>
      </c>
      <c r="L172">
        <v>-11768</v>
      </c>
      <c r="M172">
        <v>10.27</v>
      </c>
      <c r="N172">
        <f t="shared" si="6"/>
        <v>199434</v>
      </c>
      <c r="O172">
        <v>26518900</v>
      </c>
      <c r="P172" s="2">
        <f t="shared" si="7"/>
        <v>0.75204476807107379</v>
      </c>
      <c r="Q172" s="4">
        <f t="shared" si="8"/>
        <v>27.234910299999999</v>
      </c>
    </row>
    <row r="173" spans="1:17" x14ac:dyDescent="0.4">
      <c r="A173">
        <v>20210804</v>
      </c>
      <c r="B173" s="1">
        <v>0.5625</v>
      </c>
      <c r="C173">
        <v>26646</v>
      </c>
      <c r="D173">
        <v>-61563</v>
      </c>
      <c r="E173">
        <v>76857</v>
      </c>
      <c r="F173">
        <v>248539</v>
      </c>
      <c r="G173">
        <v>94449</v>
      </c>
      <c r="H173">
        <v>24703</v>
      </c>
      <c r="I173">
        <v>-48383</v>
      </c>
      <c r="J173">
        <v>63046</v>
      </c>
      <c r="K173">
        <v>98620</v>
      </c>
      <c r="L173">
        <v>-25478</v>
      </c>
      <c r="M173">
        <v>10.27</v>
      </c>
      <c r="N173">
        <f t="shared" si="6"/>
        <v>497436</v>
      </c>
      <c r="O173">
        <v>26437000</v>
      </c>
      <c r="P173" s="2">
        <f t="shared" si="7"/>
        <v>1.881590195559254</v>
      </c>
      <c r="Q173" s="4">
        <f t="shared" si="8"/>
        <v>27.150798999999999</v>
      </c>
    </row>
    <row r="174" spans="1:17" x14ac:dyDescent="0.4">
      <c r="A174">
        <v>20210804</v>
      </c>
      <c r="B174" s="1">
        <v>0.58333333333333337</v>
      </c>
      <c r="C174">
        <v>-74600</v>
      </c>
      <c r="D174">
        <v>-13474</v>
      </c>
      <c r="E174">
        <v>264</v>
      </c>
      <c r="F174">
        <v>320446</v>
      </c>
      <c r="G174">
        <v>90726</v>
      </c>
      <c r="H174">
        <v>9560</v>
      </c>
      <c r="I174">
        <v>88022</v>
      </c>
      <c r="J174">
        <v>51635</v>
      </c>
      <c r="K174">
        <v>240267</v>
      </c>
      <c r="L174">
        <v>-27862</v>
      </c>
      <c r="M174">
        <v>10.84</v>
      </c>
      <c r="N174">
        <f t="shared" si="6"/>
        <v>684984</v>
      </c>
      <c r="O174">
        <v>26282400</v>
      </c>
      <c r="P174" s="2">
        <f t="shared" si="7"/>
        <v>2.6062460049310565</v>
      </c>
      <c r="Q174" s="4">
        <f t="shared" si="8"/>
        <v>28.490121599999998</v>
      </c>
    </row>
    <row r="175" spans="1:17" x14ac:dyDescent="0.4">
      <c r="A175">
        <v>20210804</v>
      </c>
      <c r="B175" s="1">
        <v>0.60416666666666663</v>
      </c>
      <c r="C175">
        <v>-16637</v>
      </c>
      <c r="D175">
        <v>78022</v>
      </c>
      <c r="E175">
        <v>73514</v>
      </c>
      <c r="F175">
        <v>282155</v>
      </c>
      <c r="G175">
        <v>75363</v>
      </c>
      <c r="H175">
        <v>129043</v>
      </c>
      <c r="I175">
        <v>111746</v>
      </c>
      <c r="J175">
        <v>49093</v>
      </c>
      <c r="K175">
        <v>293844</v>
      </c>
      <c r="L175">
        <v>-24505</v>
      </c>
      <c r="M175">
        <v>12.26</v>
      </c>
      <c r="N175">
        <f t="shared" si="6"/>
        <v>1051638</v>
      </c>
      <c r="O175">
        <v>26452050</v>
      </c>
      <c r="P175" s="2">
        <f t="shared" si="7"/>
        <v>3.9756389391370424</v>
      </c>
      <c r="Q175" s="4">
        <f t="shared" si="8"/>
        <v>32.430213299999998</v>
      </c>
    </row>
    <row r="176" spans="1:17" x14ac:dyDescent="0.4">
      <c r="A176">
        <v>20210804</v>
      </c>
      <c r="B176" s="1">
        <v>0.625</v>
      </c>
      <c r="C176">
        <v>-108559</v>
      </c>
      <c r="D176">
        <v>-27713</v>
      </c>
      <c r="E176">
        <v>-47008</v>
      </c>
      <c r="F176">
        <v>225138</v>
      </c>
      <c r="G176">
        <v>57715</v>
      </c>
      <c r="H176">
        <v>129891</v>
      </c>
      <c r="I176">
        <v>121668</v>
      </c>
      <c r="J176">
        <v>27201</v>
      </c>
      <c r="K176">
        <v>338376</v>
      </c>
      <c r="L176">
        <v>-25831</v>
      </c>
      <c r="M176">
        <v>14.81</v>
      </c>
      <c r="N176">
        <f t="shared" si="6"/>
        <v>690878</v>
      </c>
      <c r="O176">
        <v>25873400</v>
      </c>
      <c r="P176" s="2">
        <f t="shared" si="7"/>
        <v>2.6702250187451204</v>
      </c>
      <c r="Q176" s="4">
        <f t="shared" si="8"/>
        <v>38.318505399999999</v>
      </c>
    </row>
    <row r="177" spans="1:17" x14ac:dyDescent="0.4">
      <c r="A177">
        <v>20210804</v>
      </c>
      <c r="B177" s="1">
        <v>0.64583333333333337</v>
      </c>
      <c r="C177">
        <v>-109495</v>
      </c>
      <c r="D177">
        <v>-135806</v>
      </c>
      <c r="E177">
        <v>-436772</v>
      </c>
      <c r="F177">
        <v>130955</v>
      </c>
      <c r="G177">
        <v>30457</v>
      </c>
      <c r="H177">
        <v>123111</v>
      </c>
      <c r="I177">
        <v>22513</v>
      </c>
      <c r="J177">
        <v>-1351</v>
      </c>
      <c r="K177">
        <v>402127</v>
      </c>
      <c r="L177">
        <v>-27236</v>
      </c>
      <c r="M177">
        <v>17.010000000000002</v>
      </c>
      <c r="N177">
        <f t="shared" si="6"/>
        <v>-1497</v>
      </c>
      <c r="O177">
        <v>25336950</v>
      </c>
      <c r="P177" s="2">
        <f t="shared" si="7"/>
        <v>-5.9083670291807024E-3</v>
      </c>
      <c r="Q177" s="4">
        <f t="shared" si="8"/>
        <v>43.098151950000009</v>
      </c>
    </row>
    <row r="178" spans="1:17" x14ac:dyDescent="0.4">
      <c r="A178">
        <v>20210804</v>
      </c>
      <c r="B178" s="1">
        <v>0.66666666666666663</v>
      </c>
      <c r="C178">
        <v>-10963</v>
      </c>
      <c r="D178">
        <v>-52345</v>
      </c>
      <c r="E178">
        <v>-611881</v>
      </c>
      <c r="F178">
        <v>123368</v>
      </c>
      <c r="G178">
        <v>640</v>
      </c>
      <c r="H178">
        <v>45679</v>
      </c>
      <c r="I178">
        <v>-47970</v>
      </c>
      <c r="J178">
        <v>-38076</v>
      </c>
      <c r="K178">
        <v>202313</v>
      </c>
      <c r="L178">
        <v>-27795</v>
      </c>
      <c r="M178">
        <v>17.010000000000002</v>
      </c>
      <c r="N178">
        <f t="shared" si="6"/>
        <v>-417030</v>
      </c>
      <c r="O178">
        <v>25519400</v>
      </c>
      <c r="P178" s="2">
        <f t="shared" si="7"/>
        <v>-1.6341685149337366</v>
      </c>
      <c r="Q178" s="4">
        <f t="shared" si="8"/>
        <v>43.408499400000004</v>
      </c>
    </row>
    <row r="179" spans="1:17" x14ac:dyDescent="0.4">
      <c r="A179">
        <v>20210804</v>
      </c>
      <c r="B179" s="1">
        <v>0.6875</v>
      </c>
      <c r="C179">
        <v>-971</v>
      </c>
      <c r="D179">
        <v>-106867</v>
      </c>
      <c r="E179">
        <v>-810255</v>
      </c>
      <c r="F179">
        <v>124660</v>
      </c>
      <c r="G179">
        <v>-15297</v>
      </c>
      <c r="H179">
        <v>64522</v>
      </c>
      <c r="I179">
        <v>-154659</v>
      </c>
      <c r="J179">
        <v>-38273</v>
      </c>
      <c r="K179">
        <v>127530</v>
      </c>
      <c r="L179">
        <v>-35568</v>
      </c>
      <c r="M179">
        <v>20</v>
      </c>
      <c r="N179">
        <f t="shared" si="6"/>
        <v>-845178</v>
      </c>
      <c r="O179">
        <v>24908400</v>
      </c>
      <c r="P179" s="2">
        <f t="shared" si="7"/>
        <v>-3.3931444813797755</v>
      </c>
      <c r="Q179" s="4">
        <f t="shared" si="8"/>
        <v>49.816800000000001</v>
      </c>
    </row>
    <row r="180" spans="1:17" x14ac:dyDescent="0.4">
      <c r="A180">
        <v>20210804</v>
      </c>
      <c r="B180" s="1">
        <v>0.70833333333333337</v>
      </c>
      <c r="C180">
        <v>11494</v>
      </c>
      <c r="D180">
        <v>-43910</v>
      </c>
      <c r="E180">
        <v>-824400</v>
      </c>
      <c r="F180">
        <v>-147371</v>
      </c>
      <c r="G180">
        <v>-55763</v>
      </c>
      <c r="H180">
        <v>-84295</v>
      </c>
      <c r="I180">
        <v>-209224</v>
      </c>
      <c r="J180">
        <v>-54427</v>
      </c>
      <c r="K180">
        <v>-53274</v>
      </c>
      <c r="L180">
        <v>-38622</v>
      </c>
      <c r="M180">
        <v>17.010000000000002</v>
      </c>
      <c r="N180">
        <f t="shared" si="6"/>
        <v>-1499792</v>
      </c>
      <c r="O180">
        <v>24139650</v>
      </c>
      <c r="P180" s="2">
        <f t="shared" si="7"/>
        <v>-6.2129815469569776</v>
      </c>
      <c r="Q180" s="4">
        <f t="shared" si="8"/>
        <v>41.061544650000009</v>
      </c>
    </row>
    <row r="181" spans="1:17" x14ac:dyDescent="0.4">
      <c r="A181">
        <v>20210804</v>
      </c>
      <c r="B181" s="1">
        <v>0.72916666666666663</v>
      </c>
      <c r="C181">
        <v>10143</v>
      </c>
      <c r="D181">
        <v>-127388</v>
      </c>
      <c r="E181">
        <v>-698640</v>
      </c>
      <c r="F181">
        <v>-98399</v>
      </c>
      <c r="G181">
        <v>-71227</v>
      </c>
      <c r="H181">
        <v>-196892</v>
      </c>
      <c r="I181">
        <v>-226216</v>
      </c>
      <c r="J181">
        <v>-81037</v>
      </c>
      <c r="K181">
        <v>-178166</v>
      </c>
      <c r="L181">
        <v>-38137</v>
      </c>
      <c r="M181">
        <v>17.010000000000002</v>
      </c>
      <c r="N181">
        <f t="shared" si="6"/>
        <v>-1705959</v>
      </c>
      <c r="O181">
        <v>23626400</v>
      </c>
      <c r="P181" s="2">
        <f t="shared" si="7"/>
        <v>-7.2205625909998981</v>
      </c>
      <c r="Q181" s="4">
        <f t="shared" si="8"/>
        <v>40.188506400000009</v>
      </c>
    </row>
    <row r="182" spans="1:17" x14ac:dyDescent="0.4">
      <c r="A182">
        <v>20210804</v>
      </c>
      <c r="B182" s="1">
        <v>0.75</v>
      </c>
      <c r="C182">
        <v>-4872</v>
      </c>
      <c r="D182">
        <v>-149075</v>
      </c>
      <c r="E182">
        <v>-568546</v>
      </c>
      <c r="F182">
        <v>-22555</v>
      </c>
      <c r="G182">
        <v>-62248</v>
      </c>
      <c r="H182">
        <v>-147330</v>
      </c>
      <c r="I182">
        <v>-172964</v>
      </c>
      <c r="J182">
        <v>-61782</v>
      </c>
      <c r="K182">
        <v>-119045</v>
      </c>
      <c r="L182">
        <v>-26692</v>
      </c>
      <c r="M182">
        <v>17.010000000000002</v>
      </c>
      <c r="N182">
        <f t="shared" si="6"/>
        <v>-1335109</v>
      </c>
      <c r="O182">
        <v>22962300</v>
      </c>
      <c r="P182" s="2">
        <f t="shared" si="7"/>
        <v>-5.8143522208141167</v>
      </c>
      <c r="Q182" s="4">
        <f t="shared" si="8"/>
        <v>39.058872300000004</v>
      </c>
    </row>
    <row r="183" spans="1:17" x14ac:dyDescent="0.4">
      <c r="A183">
        <v>20210804</v>
      </c>
      <c r="B183" s="1">
        <v>0.77083333333333337</v>
      </c>
      <c r="C183">
        <v>-27826</v>
      </c>
      <c r="D183">
        <v>-255386</v>
      </c>
      <c r="E183">
        <v>-368967</v>
      </c>
      <c r="F183">
        <v>10665</v>
      </c>
      <c r="G183">
        <v>-38423</v>
      </c>
      <c r="H183">
        <v>-162440</v>
      </c>
      <c r="I183">
        <v>-162174</v>
      </c>
      <c r="J183">
        <v>-17303</v>
      </c>
      <c r="K183">
        <v>31808</v>
      </c>
      <c r="L183">
        <v>-31928</v>
      </c>
      <c r="M183">
        <v>20</v>
      </c>
      <c r="N183">
        <f t="shared" si="6"/>
        <v>-1021974</v>
      </c>
      <c r="O183">
        <v>22919100</v>
      </c>
      <c r="P183" s="2">
        <f t="shared" si="7"/>
        <v>-4.4590494391141009</v>
      </c>
      <c r="Q183" s="4">
        <f t="shared" si="8"/>
        <v>45.838200000000001</v>
      </c>
    </row>
    <row r="184" spans="1:17" x14ac:dyDescent="0.4">
      <c r="A184">
        <v>20210804</v>
      </c>
      <c r="B184" s="1">
        <v>0.79166666666666663</v>
      </c>
      <c r="C184">
        <v>26798</v>
      </c>
      <c r="D184">
        <v>-144093</v>
      </c>
      <c r="E184">
        <v>-239714</v>
      </c>
      <c r="F184">
        <v>-58010</v>
      </c>
      <c r="G184">
        <v>-58061</v>
      </c>
      <c r="H184">
        <v>-139304</v>
      </c>
      <c r="I184">
        <v>-77747</v>
      </c>
      <c r="J184">
        <v>4917</v>
      </c>
      <c r="K184">
        <v>72490</v>
      </c>
      <c r="L184">
        <v>-33355</v>
      </c>
      <c r="M184">
        <v>17.010000000000002</v>
      </c>
      <c r="N184">
        <f t="shared" si="6"/>
        <v>-646079</v>
      </c>
      <c r="O184">
        <v>22780800</v>
      </c>
      <c r="P184" s="2">
        <f t="shared" si="7"/>
        <v>-2.8360680924287118</v>
      </c>
      <c r="Q184" s="4">
        <f t="shared" si="8"/>
        <v>38.750140800000004</v>
      </c>
    </row>
    <row r="185" spans="1:17" x14ac:dyDescent="0.4">
      <c r="A185">
        <v>20210804</v>
      </c>
      <c r="B185" s="1">
        <v>0.8125</v>
      </c>
      <c r="C185">
        <v>-86285</v>
      </c>
      <c r="D185">
        <v>-100638</v>
      </c>
      <c r="E185">
        <v>-115594</v>
      </c>
      <c r="F185">
        <v>-51100</v>
      </c>
      <c r="G185">
        <v>-40458</v>
      </c>
      <c r="H185">
        <v>-106150</v>
      </c>
      <c r="I185">
        <v>-53586</v>
      </c>
      <c r="J185">
        <v>-456</v>
      </c>
      <c r="K185">
        <v>28525</v>
      </c>
      <c r="L185">
        <v>-31220</v>
      </c>
      <c r="M185">
        <v>15.01</v>
      </c>
      <c r="N185">
        <f t="shared" si="6"/>
        <v>-556962</v>
      </c>
      <c r="O185">
        <v>22550850</v>
      </c>
      <c r="P185" s="2">
        <f t="shared" si="7"/>
        <v>-2.4698049075755457</v>
      </c>
      <c r="Q185" s="4">
        <f t="shared" si="8"/>
        <v>33.848825849999997</v>
      </c>
    </row>
    <row r="186" spans="1:17" x14ac:dyDescent="0.4">
      <c r="A186">
        <v>20210804</v>
      </c>
      <c r="B186" s="1">
        <v>0.83333333333333337</v>
      </c>
      <c r="C186">
        <v>7897</v>
      </c>
      <c r="D186">
        <v>-65296</v>
      </c>
      <c r="E186">
        <v>-176791</v>
      </c>
      <c r="F186">
        <v>-111556</v>
      </c>
      <c r="G186">
        <v>-4287</v>
      </c>
      <c r="H186">
        <v>-109665</v>
      </c>
      <c r="I186">
        <v>-46776</v>
      </c>
      <c r="J186">
        <v>7493</v>
      </c>
      <c r="K186">
        <v>30451</v>
      </c>
      <c r="L186">
        <v>-36063</v>
      </c>
      <c r="M186">
        <v>12.1</v>
      </c>
      <c r="N186">
        <f t="shared" si="6"/>
        <v>-504593</v>
      </c>
      <c r="O186">
        <v>22017100</v>
      </c>
      <c r="P186" s="2">
        <f t="shared" si="7"/>
        <v>-2.2918231738058146</v>
      </c>
      <c r="Q186" s="4">
        <f t="shared" si="8"/>
        <v>26.640691</v>
      </c>
    </row>
    <row r="187" spans="1:17" x14ac:dyDescent="0.4">
      <c r="A187">
        <v>20210804</v>
      </c>
      <c r="B187" s="1">
        <v>0.85416666666666663</v>
      </c>
      <c r="C187">
        <v>-27746</v>
      </c>
      <c r="D187">
        <v>-152406</v>
      </c>
      <c r="E187">
        <v>93536</v>
      </c>
      <c r="F187">
        <v>-62052</v>
      </c>
      <c r="G187">
        <v>-19183</v>
      </c>
      <c r="H187">
        <v>-121087</v>
      </c>
      <c r="I187">
        <v>-69880</v>
      </c>
      <c r="J187">
        <v>-24504</v>
      </c>
      <c r="K187">
        <v>104400</v>
      </c>
      <c r="L187">
        <v>-30750</v>
      </c>
      <c r="M187">
        <v>10.220000000000001</v>
      </c>
      <c r="N187">
        <f t="shared" si="6"/>
        <v>-309672</v>
      </c>
      <c r="O187">
        <v>21825150</v>
      </c>
      <c r="P187" s="2">
        <f t="shared" si="7"/>
        <v>-1.4188768462072425</v>
      </c>
      <c r="Q187" s="4">
        <f t="shared" si="8"/>
        <v>22.305303299999999</v>
      </c>
    </row>
    <row r="188" spans="1:17" x14ac:dyDescent="0.4">
      <c r="A188">
        <v>20210804</v>
      </c>
      <c r="B188" s="1">
        <v>0.875</v>
      </c>
      <c r="C188">
        <v>-15722</v>
      </c>
      <c r="D188">
        <v>-83890</v>
      </c>
      <c r="E188">
        <v>304531</v>
      </c>
      <c r="F188">
        <v>-56406</v>
      </c>
      <c r="G188">
        <v>-16208</v>
      </c>
      <c r="H188">
        <v>100707</v>
      </c>
      <c r="I188">
        <v>-113310</v>
      </c>
      <c r="J188">
        <v>1096</v>
      </c>
      <c r="K188">
        <v>53614</v>
      </c>
      <c r="L188">
        <v>-37289</v>
      </c>
      <c r="M188">
        <v>9.9499999999999993</v>
      </c>
      <c r="N188">
        <f t="shared" si="6"/>
        <v>137123</v>
      </c>
      <c r="O188">
        <v>21350850</v>
      </c>
      <c r="P188" s="2">
        <f t="shared" si="7"/>
        <v>0.6422367259383116</v>
      </c>
      <c r="Q188" s="4">
        <f t="shared" si="8"/>
        <v>21.244095749999996</v>
      </c>
    </row>
    <row r="189" spans="1:17" x14ac:dyDescent="0.4">
      <c r="A189">
        <v>20210804</v>
      </c>
      <c r="B189" s="1">
        <v>0.89583333333333337</v>
      </c>
      <c r="C189">
        <v>-54008</v>
      </c>
      <c r="D189">
        <v>-57371</v>
      </c>
      <c r="E189">
        <v>372471</v>
      </c>
      <c r="F189">
        <v>-46201</v>
      </c>
      <c r="G189">
        <v>-23174</v>
      </c>
      <c r="H189">
        <v>-74417</v>
      </c>
      <c r="I189">
        <v>-88472</v>
      </c>
      <c r="J189">
        <v>-12905</v>
      </c>
      <c r="K189">
        <v>54107</v>
      </c>
      <c r="L189">
        <v>-32397</v>
      </c>
      <c r="M189">
        <v>9.85</v>
      </c>
      <c r="N189">
        <f t="shared" si="6"/>
        <v>37633</v>
      </c>
      <c r="O189">
        <v>21404100</v>
      </c>
      <c r="P189" s="2">
        <f t="shared" si="7"/>
        <v>0.17582145476801173</v>
      </c>
      <c r="Q189" s="4">
        <f t="shared" si="8"/>
        <v>21.083038500000001</v>
      </c>
    </row>
    <row r="190" spans="1:17" x14ac:dyDescent="0.4">
      <c r="A190">
        <v>20210804</v>
      </c>
      <c r="B190" s="1">
        <v>0.91666666666666663</v>
      </c>
      <c r="C190">
        <v>-28735</v>
      </c>
      <c r="D190">
        <v>-30157</v>
      </c>
      <c r="E190">
        <v>385919</v>
      </c>
      <c r="F190">
        <v>18551</v>
      </c>
      <c r="G190">
        <v>-40887</v>
      </c>
      <c r="H190">
        <v>-21860</v>
      </c>
      <c r="I190">
        <v>29006</v>
      </c>
      <c r="J190">
        <v>-19711</v>
      </c>
      <c r="K190">
        <v>17332</v>
      </c>
      <c r="L190">
        <v>-39334</v>
      </c>
      <c r="M190">
        <v>9.69</v>
      </c>
      <c r="N190">
        <f t="shared" si="6"/>
        <v>270124</v>
      </c>
      <c r="O190">
        <v>20747750</v>
      </c>
      <c r="P190" s="2">
        <f t="shared" si="7"/>
        <v>1.3019435842440747</v>
      </c>
      <c r="Q190" s="4">
        <f t="shared" si="8"/>
        <v>20.10456975</v>
      </c>
    </row>
    <row r="191" spans="1:17" x14ac:dyDescent="0.4">
      <c r="A191">
        <v>20210804</v>
      </c>
      <c r="B191" s="1">
        <v>0.9375</v>
      </c>
      <c r="C191">
        <v>-48285</v>
      </c>
      <c r="D191">
        <v>-116476</v>
      </c>
      <c r="E191">
        <v>428008</v>
      </c>
      <c r="F191">
        <v>-24521</v>
      </c>
      <c r="G191">
        <v>-60466</v>
      </c>
      <c r="H191">
        <v>114972</v>
      </c>
      <c r="I191">
        <v>-40837</v>
      </c>
      <c r="J191">
        <v>-15920</v>
      </c>
      <c r="K191">
        <v>-65993</v>
      </c>
      <c r="L191">
        <v>-31570</v>
      </c>
      <c r="M191">
        <v>9.6199999999999992</v>
      </c>
      <c r="N191">
        <f t="shared" si="6"/>
        <v>138912</v>
      </c>
      <c r="O191">
        <v>20654350</v>
      </c>
      <c r="P191" s="2">
        <f t="shared" si="7"/>
        <v>0.67255566018780544</v>
      </c>
      <c r="Q191" s="4">
        <f t="shared" si="8"/>
        <v>19.869484699999997</v>
      </c>
    </row>
    <row r="192" spans="1:17" x14ac:dyDescent="0.4">
      <c r="A192">
        <v>20210804</v>
      </c>
      <c r="B192" s="1">
        <v>0.95833333333333337</v>
      </c>
      <c r="C192">
        <v>20952</v>
      </c>
      <c r="D192">
        <v>-115623</v>
      </c>
      <c r="E192">
        <v>232952</v>
      </c>
      <c r="F192">
        <v>-32907</v>
      </c>
      <c r="G192">
        <v>-43888</v>
      </c>
      <c r="H192">
        <v>55559</v>
      </c>
      <c r="I192">
        <v>-48055</v>
      </c>
      <c r="J192">
        <v>-15841</v>
      </c>
      <c r="K192">
        <v>-137941</v>
      </c>
      <c r="L192">
        <v>-47601</v>
      </c>
      <c r="M192">
        <v>8.86</v>
      </c>
      <c r="N192">
        <f t="shared" si="6"/>
        <v>-132393</v>
      </c>
      <c r="O192">
        <v>20094750</v>
      </c>
      <c r="P192" s="2">
        <f t="shared" si="7"/>
        <v>-0.65884372783936107</v>
      </c>
      <c r="Q192" s="4">
        <f t="shared" si="8"/>
        <v>17.803948500000001</v>
      </c>
    </row>
    <row r="193" spans="1:17" x14ac:dyDescent="0.4">
      <c r="A193">
        <v>20210804</v>
      </c>
      <c r="B193" s="1">
        <v>0.97916666666666663</v>
      </c>
      <c r="C193">
        <v>-66584</v>
      </c>
      <c r="D193">
        <v>-192391</v>
      </c>
      <c r="E193">
        <v>570600</v>
      </c>
      <c r="F193">
        <v>-64611</v>
      </c>
      <c r="G193">
        <v>-33668</v>
      </c>
      <c r="H193">
        <v>59237</v>
      </c>
      <c r="I193">
        <v>-106308</v>
      </c>
      <c r="J193">
        <v>-16647</v>
      </c>
      <c r="K193">
        <v>-176654</v>
      </c>
      <c r="L193">
        <v>-39375</v>
      </c>
      <c r="M193">
        <v>7.61</v>
      </c>
      <c r="N193">
        <f t="shared" si="6"/>
        <v>-66401</v>
      </c>
      <c r="O193">
        <v>18818150</v>
      </c>
      <c r="P193" s="2">
        <f t="shared" si="7"/>
        <v>-0.35285615217223798</v>
      </c>
      <c r="Q193" s="4">
        <f t="shared" si="8"/>
        <v>14.320612150000001</v>
      </c>
    </row>
    <row r="194" spans="1:17" x14ac:dyDescent="0.4">
      <c r="A194">
        <v>20210805</v>
      </c>
      <c r="B194" s="1">
        <v>0</v>
      </c>
      <c r="C194">
        <v>-23318</v>
      </c>
      <c r="D194">
        <v>-70777</v>
      </c>
      <c r="E194">
        <v>278659</v>
      </c>
      <c r="F194">
        <v>-69904</v>
      </c>
      <c r="G194">
        <v>-45643</v>
      </c>
      <c r="H194">
        <v>-62706</v>
      </c>
      <c r="I194">
        <v>-117155</v>
      </c>
      <c r="J194">
        <v>-3789</v>
      </c>
      <c r="K194">
        <v>-143879</v>
      </c>
      <c r="L194">
        <v>-42570</v>
      </c>
      <c r="M194">
        <v>8.7200000000000006</v>
      </c>
      <c r="N194">
        <f t="shared" si="6"/>
        <v>-301082</v>
      </c>
      <c r="O194">
        <v>19364200</v>
      </c>
      <c r="P194" s="2">
        <f t="shared" si="7"/>
        <v>-1.5548383098707925</v>
      </c>
      <c r="Q194" s="4">
        <f t="shared" si="8"/>
        <v>16.885582400000001</v>
      </c>
    </row>
    <row r="195" spans="1:17" x14ac:dyDescent="0.4">
      <c r="A195">
        <v>20210805</v>
      </c>
      <c r="B195" s="1">
        <v>2.0833333333333332E-2</v>
      </c>
      <c r="C195">
        <v>10362</v>
      </c>
      <c r="D195">
        <v>-57643</v>
      </c>
      <c r="E195">
        <v>416579</v>
      </c>
      <c r="F195">
        <v>5860</v>
      </c>
      <c r="G195">
        <v>-31874</v>
      </c>
      <c r="H195">
        <v>92960</v>
      </c>
      <c r="I195">
        <v>-73525</v>
      </c>
      <c r="J195">
        <v>-14034</v>
      </c>
      <c r="K195">
        <v>-35403</v>
      </c>
      <c r="L195">
        <v>-37883</v>
      </c>
      <c r="M195">
        <v>8.0299999999999994</v>
      </c>
      <c r="N195">
        <f t="shared" ref="N195:N258" si="9">C195+D195+E195+F195+G195+H195+I195+J195+K195+L195</f>
        <v>275399</v>
      </c>
      <c r="O195">
        <v>19820100</v>
      </c>
      <c r="P195" s="2">
        <f t="shared" ref="P195:P258" si="10">((N195*100)/O195)</f>
        <v>1.3894934939783352</v>
      </c>
      <c r="Q195" s="4">
        <f t="shared" ref="Q195:Q258" si="11">(M195*O195)/10^7</f>
        <v>15.9155403</v>
      </c>
    </row>
    <row r="196" spans="1:17" x14ac:dyDescent="0.4">
      <c r="A196">
        <v>20210805</v>
      </c>
      <c r="B196" s="1">
        <v>4.1666666666666664E-2</v>
      </c>
      <c r="C196">
        <v>-18379</v>
      </c>
      <c r="D196">
        <v>-80327</v>
      </c>
      <c r="E196">
        <v>285445</v>
      </c>
      <c r="F196">
        <v>16013</v>
      </c>
      <c r="G196">
        <v>-36715</v>
      </c>
      <c r="H196">
        <v>138587</v>
      </c>
      <c r="I196">
        <v>-68900</v>
      </c>
      <c r="J196">
        <v>-10808</v>
      </c>
      <c r="K196">
        <v>-82198</v>
      </c>
      <c r="L196">
        <v>-30589</v>
      </c>
      <c r="M196">
        <v>8.1199999999999992</v>
      </c>
      <c r="N196">
        <f t="shared" si="9"/>
        <v>112129</v>
      </c>
      <c r="O196">
        <v>19915200</v>
      </c>
      <c r="P196" s="2">
        <f t="shared" si="10"/>
        <v>0.56303225676869928</v>
      </c>
      <c r="Q196" s="4">
        <f t="shared" si="11"/>
        <v>16.171142399999997</v>
      </c>
    </row>
    <row r="197" spans="1:17" x14ac:dyDescent="0.4">
      <c r="A197">
        <v>20210805</v>
      </c>
      <c r="B197" s="1">
        <v>6.25E-2</v>
      </c>
      <c r="C197">
        <v>-2726</v>
      </c>
      <c r="D197">
        <v>-118874</v>
      </c>
      <c r="E197">
        <v>354818</v>
      </c>
      <c r="F197">
        <v>56607</v>
      </c>
      <c r="G197">
        <v>-10416</v>
      </c>
      <c r="H197">
        <v>110435</v>
      </c>
      <c r="I197">
        <v>-71756</v>
      </c>
      <c r="J197">
        <v>-13505</v>
      </c>
      <c r="K197">
        <v>-80115</v>
      </c>
      <c r="L197">
        <v>-23559</v>
      </c>
      <c r="M197">
        <v>8.02</v>
      </c>
      <c r="N197">
        <f t="shared" si="9"/>
        <v>200909</v>
      </c>
      <c r="O197">
        <v>19895950</v>
      </c>
      <c r="P197" s="2">
        <f t="shared" si="10"/>
        <v>1.0097984765743782</v>
      </c>
      <c r="Q197" s="4">
        <f t="shared" si="11"/>
        <v>15.956551899999999</v>
      </c>
    </row>
    <row r="198" spans="1:17" x14ac:dyDescent="0.4">
      <c r="A198">
        <v>20210805</v>
      </c>
      <c r="B198" s="1">
        <v>8.3333333333333329E-2</v>
      </c>
      <c r="C198">
        <v>-27081</v>
      </c>
      <c r="D198">
        <v>-50163</v>
      </c>
      <c r="E198">
        <v>221122</v>
      </c>
      <c r="F198">
        <v>-6696</v>
      </c>
      <c r="G198">
        <v>7262</v>
      </c>
      <c r="H198">
        <v>125235</v>
      </c>
      <c r="I198">
        <v>-43538</v>
      </c>
      <c r="J198">
        <v>-7038</v>
      </c>
      <c r="K198">
        <v>-27542</v>
      </c>
      <c r="L198">
        <v>-16384</v>
      </c>
      <c r="M198">
        <v>8.02</v>
      </c>
      <c r="N198">
        <f t="shared" si="9"/>
        <v>175177</v>
      </c>
      <c r="O198">
        <v>20036550</v>
      </c>
      <c r="P198" s="2">
        <f t="shared" si="10"/>
        <v>0.87428724006877434</v>
      </c>
      <c r="Q198" s="4">
        <f t="shared" si="11"/>
        <v>16.069313099999999</v>
      </c>
    </row>
    <row r="199" spans="1:17" x14ac:dyDescent="0.4">
      <c r="A199">
        <v>20210805</v>
      </c>
      <c r="B199" s="1">
        <v>0.10416666666666667</v>
      </c>
      <c r="C199">
        <v>54773</v>
      </c>
      <c r="D199">
        <v>-36503</v>
      </c>
      <c r="E199">
        <v>292279</v>
      </c>
      <c r="F199">
        <v>32918</v>
      </c>
      <c r="G199">
        <v>5393</v>
      </c>
      <c r="H199">
        <v>108958</v>
      </c>
      <c r="I199">
        <v>-41329</v>
      </c>
      <c r="J199">
        <v>4095</v>
      </c>
      <c r="K199">
        <v>-5375</v>
      </c>
      <c r="L199">
        <v>-19939</v>
      </c>
      <c r="M199">
        <v>7.93</v>
      </c>
      <c r="N199">
        <f t="shared" si="9"/>
        <v>395270</v>
      </c>
      <c r="O199">
        <v>20068300</v>
      </c>
      <c r="P199" s="2">
        <f t="shared" si="10"/>
        <v>1.9696237349451622</v>
      </c>
      <c r="Q199" s="4">
        <f t="shared" si="11"/>
        <v>15.9141619</v>
      </c>
    </row>
    <row r="200" spans="1:17" x14ac:dyDescent="0.4">
      <c r="A200">
        <v>20210805</v>
      </c>
      <c r="B200" s="1">
        <v>0.125</v>
      </c>
      <c r="C200">
        <v>2764</v>
      </c>
      <c r="D200">
        <v>-42078</v>
      </c>
      <c r="E200">
        <v>293944</v>
      </c>
      <c r="F200">
        <v>66095</v>
      </c>
      <c r="G200">
        <v>-26378</v>
      </c>
      <c r="H200">
        <v>206374</v>
      </c>
      <c r="I200">
        <v>58920</v>
      </c>
      <c r="J200">
        <v>18584</v>
      </c>
      <c r="K200">
        <v>31900</v>
      </c>
      <c r="L200">
        <v>-12237</v>
      </c>
      <c r="M200">
        <v>7.46</v>
      </c>
      <c r="N200">
        <f t="shared" si="9"/>
        <v>597888</v>
      </c>
      <c r="O200">
        <v>20158700</v>
      </c>
      <c r="P200" s="2">
        <f t="shared" si="10"/>
        <v>2.9659055395437206</v>
      </c>
      <c r="Q200" s="4">
        <f t="shared" si="11"/>
        <v>15.0383902</v>
      </c>
    </row>
    <row r="201" spans="1:17" x14ac:dyDescent="0.4">
      <c r="A201">
        <v>20210805</v>
      </c>
      <c r="B201" s="1">
        <v>0.14583333333333334</v>
      </c>
      <c r="C201">
        <v>-21113</v>
      </c>
      <c r="D201">
        <v>-31036</v>
      </c>
      <c r="E201">
        <v>363954</v>
      </c>
      <c r="F201">
        <v>109170</v>
      </c>
      <c r="G201">
        <v>-10084</v>
      </c>
      <c r="H201">
        <v>84241</v>
      </c>
      <c r="I201">
        <v>42955</v>
      </c>
      <c r="J201">
        <v>44851</v>
      </c>
      <c r="K201">
        <v>32823</v>
      </c>
      <c r="L201">
        <v>-5885</v>
      </c>
      <c r="M201">
        <v>7.46</v>
      </c>
      <c r="N201">
        <f t="shared" si="9"/>
        <v>609876</v>
      </c>
      <c r="O201">
        <v>20163350</v>
      </c>
      <c r="P201" s="2">
        <f t="shared" si="10"/>
        <v>3.0246759591040178</v>
      </c>
      <c r="Q201" s="4">
        <f t="shared" si="11"/>
        <v>15.0418591</v>
      </c>
    </row>
    <row r="202" spans="1:17" x14ac:dyDescent="0.4">
      <c r="A202">
        <v>20210805</v>
      </c>
      <c r="B202" s="1">
        <v>0.16666666666666666</v>
      </c>
      <c r="C202">
        <v>-31205</v>
      </c>
      <c r="D202">
        <v>-42166</v>
      </c>
      <c r="E202">
        <v>358721</v>
      </c>
      <c r="F202">
        <v>78723</v>
      </c>
      <c r="G202">
        <v>-153</v>
      </c>
      <c r="H202">
        <v>102992</v>
      </c>
      <c r="I202">
        <v>70058</v>
      </c>
      <c r="J202">
        <v>49255</v>
      </c>
      <c r="K202">
        <v>87635</v>
      </c>
      <c r="L202">
        <v>-2100</v>
      </c>
      <c r="M202">
        <v>7.58</v>
      </c>
      <c r="N202">
        <f t="shared" si="9"/>
        <v>671760</v>
      </c>
      <c r="O202">
        <v>20112400</v>
      </c>
      <c r="P202" s="2">
        <f t="shared" si="10"/>
        <v>3.3400290368131103</v>
      </c>
      <c r="Q202" s="4">
        <f t="shared" si="11"/>
        <v>15.2451992</v>
      </c>
    </row>
    <row r="203" spans="1:17" x14ac:dyDescent="0.4">
      <c r="A203">
        <v>20210805</v>
      </c>
      <c r="B203" s="1">
        <v>0.1875</v>
      </c>
      <c r="C203">
        <v>13076</v>
      </c>
      <c r="D203">
        <v>-132343</v>
      </c>
      <c r="E203">
        <v>265868</v>
      </c>
      <c r="F203">
        <v>52128</v>
      </c>
      <c r="G203">
        <v>-22526</v>
      </c>
      <c r="H203">
        <v>99491</v>
      </c>
      <c r="I203">
        <v>41635</v>
      </c>
      <c r="J203">
        <v>33340</v>
      </c>
      <c r="K203">
        <v>81071</v>
      </c>
      <c r="L203">
        <v>-4490</v>
      </c>
      <c r="M203">
        <v>7.58</v>
      </c>
      <c r="N203">
        <f t="shared" si="9"/>
        <v>427250</v>
      </c>
      <c r="O203">
        <v>20108550</v>
      </c>
      <c r="P203" s="2">
        <f t="shared" si="10"/>
        <v>2.1247180925526705</v>
      </c>
      <c r="Q203" s="4">
        <f t="shared" si="11"/>
        <v>15.242280900000001</v>
      </c>
    </row>
    <row r="204" spans="1:17" x14ac:dyDescent="0.4">
      <c r="A204">
        <v>20210805</v>
      </c>
      <c r="B204" s="1">
        <v>0.20833333333333334</v>
      </c>
      <c r="C204">
        <v>26374</v>
      </c>
      <c r="D204">
        <v>-4721</v>
      </c>
      <c r="E204">
        <v>282180</v>
      </c>
      <c r="F204">
        <v>61060</v>
      </c>
      <c r="G204">
        <v>-24836</v>
      </c>
      <c r="H204">
        <v>230391</v>
      </c>
      <c r="I204">
        <v>54032</v>
      </c>
      <c r="J204">
        <v>38319</v>
      </c>
      <c r="K204">
        <v>79801</v>
      </c>
      <c r="L204">
        <v>-8770</v>
      </c>
      <c r="M204">
        <v>8.2899999999999991</v>
      </c>
      <c r="N204">
        <f t="shared" si="9"/>
        <v>733830</v>
      </c>
      <c r="O204">
        <v>20156400</v>
      </c>
      <c r="P204" s="2">
        <f t="shared" si="10"/>
        <v>3.6406798833124965</v>
      </c>
      <c r="Q204" s="4">
        <f t="shared" si="11"/>
        <v>16.709655599999998</v>
      </c>
    </row>
    <row r="205" spans="1:17" x14ac:dyDescent="0.4">
      <c r="A205">
        <v>20210805</v>
      </c>
      <c r="B205" s="1">
        <v>0.22916666666666666</v>
      </c>
      <c r="C205">
        <v>-7135</v>
      </c>
      <c r="D205">
        <v>-51810</v>
      </c>
      <c r="E205">
        <v>173806</v>
      </c>
      <c r="F205">
        <v>10174</v>
      </c>
      <c r="G205">
        <v>-17683</v>
      </c>
      <c r="H205">
        <v>191175</v>
      </c>
      <c r="I205">
        <v>61927</v>
      </c>
      <c r="J205">
        <v>54825</v>
      </c>
      <c r="K205">
        <v>94419</v>
      </c>
      <c r="L205">
        <v>-7285</v>
      </c>
      <c r="M205">
        <v>7.93</v>
      </c>
      <c r="N205">
        <f t="shared" si="9"/>
        <v>502413</v>
      </c>
      <c r="O205">
        <v>20102600</v>
      </c>
      <c r="P205" s="2">
        <f t="shared" si="10"/>
        <v>2.4992438789012366</v>
      </c>
      <c r="Q205" s="4">
        <f t="shared" si="11"/>
        <v>15.941361799999999</v>
      </c>
    </row>
    <row r="206" spans="1:17" x14ac:dyDescent="0.4">
      <c r="A206">
        <v>20210805</v>
      </c>
      <c r="B206" s="1">
        <v>0.25</v>
      </c>
      <c r="C206">
        <v>49744</v>
      </c>
      <c r="D206">
        <v>189536</v>
      </c>
      <c r="E206">
        <v>181736</v>
      </c>
      <c r="F206">
        <v>-31822</v>
      </c>
      <c r="G206">
        <v>-21209</v>
      </c>
      <c r="H206">
        <v>-333</v>
      </c>
      <c r="I206">
        <v>15077</v>
      </c>
      <c r="J206">
        <v>76762</v>
      </c>
      <c r="K206">
        <v>40518</v>
      </c>
      <c r="L206">
        <v>-4404</v>
      </c>
      <c r="M206">
        <v>7.9</v>
      </c>
      <c r="N206">
        <f t="shared" si="9"/>
        <v>495605</v>
      </c>
      <c r="O206">
        <v>20856250</v>
      </c>
      <c r="P206" s="2">
        <f t="shared" si="10"/>
        <v>2.3762900809109979</v>
      </c>
      <c r="Q206" s="4">
        <f t="shared" si="11"/>
        <v>16.476437499999999</v>
      </c>
    </row>
    <row r="207" spans="1:17" x14ac:dyDescent="0.4">
      <c r="A207">
        <v>20210805</v>
      </c>
      <c r="B207" s="1">
        <v>0.27083333333333331</v>
      </c>
      <c r="C207">
        <v>40226</v>
      </c>
      <c r="D207">
        <v>213537</v>
      </c>
      <c r="E207">
        <v>198860</v>
      </c>
      <c r="F207">
        <v>112189</v>
      </c>
      <c r="G207">
        <v>-12970</v>
      </c>
      <c r="H207">
        <v>-116556</v>
      </c>
      <c r="I207">
        <v>-82268</v>
      </c>
      <c r="J207">
        <v>52242</v>
      </c>
      <c r="K207">
        <v>-57700</v>
      </c>
      <c r="L207">
        <v>-9970</v>
      </c>
      <c r="M207">
        <v>7.45</v>
      </c>
      <c r="N207">
        <f t="shared" si="9"/>
        <v>337590</v>
      </c>
      <c r="O207">
        <v>21547550</v>
      </c>
      <c r="P207" s="2">
        <f t="shared" si="10"/>
        <v>1.5667210425315174</v>
      </c>
      <c r="Q207" s="4">
        <f t="shared" si="11"/>
        <v>16.052924749999999</v>
      </c>
    </row>
    <row r="208" spans="1:17" x14ac:dyDescent="0.4">
      <c r="A208">
        <v>20210805</v>
      </c>
      <c r="B208" s="1">
        <v>0.29166666666666669</v>
      </c>
      <c r="C208">
        <v>147047</v>
      </c>
      <c r="D208">
        <v>382301</v>
      </c>
      <c r="E208">
        <v>383835</v>
      </c>
      <c r="F208">
        <v>73074</v>
      </c>
      <c r="G208">
        <v>-2904</v>
      </c>
      <c r="H208">
        <v>-134177</v>
      </c>
      <c r="I208">
        <v>-50851</v>
      </c>
      <c r="J208">
        <v>27123</v>
      </c>
      <c r="K208">
        <v>-34896</v>
      </c>
      <c r="L208">
        <v>-9083</v>
      </c>
      <c r="M208">
        <v>7.46</v>
      </c>
      <c r="N208">
        <f t="shared" si="9"/>
        <v>781469</v>
      </c>
      <c r="O208">
        <v>22623350</v>
      </c>
      <c r="P208" s="2">
        <f t="shared" si="10"/>
        <v>3.4542585426119472</v>
      </c>
      <c r="Q208" s="4">
        <f t="shared" si="11"/>
        <v>16.877019099999998</v>
      </c>
    </row>
    <row r="209" spans="1:17" x14ac:dyDescent="0.4">
      <c r="A209">
        <v>20210805</v>
      </c>
      <c r="B209" s="1">
        <v>0.3125</v>
      </c>
      <c r="C209">
        <v>148296</v>
      </c>
      <c r="D209">
        <v>504787</v>
      </c>
      <c r="E209">
        <v>704627</v>
      </c>
      <c r="F209">
        <v>21858</v>
      </c>
      <c r="G209">
        <v>-27720</v>
      </c>
      <c r="H209">
        <v>-61330</v>
      </c>
      <c r="I209">
        <v>16239</v>
      </c>
      <c r="J209">
        <v>28370</v>
      </c>
      <c r="K209">
        <v>56226</v>
      </c>
      <c r="L209">
        <v>-23762</v>
      </c>
      <c r="M209">
        <v>8.86</v>
      </c>
      <c r="N209">
        <f t="shared" si="9"/>
        <v>1367591</v>
      </c>
      <c r="O209">
        <v>22919500</v>
      </c>
      <c r="P209" s="2">
        <f t="shared" si="10"/>
        <v>5.9669320883963435</v>
      </c>
      <c r="Q209" s="4">
        <f t="shared" si="11"/>
        <v>20.306677000000001</v>
      </c>
    </row>
    <row r="210" spans="1:17" x14ac:dyDescent="0.4">
      <c r="A210">
        <v>20210805</v>
      </c>
      <c r="B210" s="1">
        <v>0.33333333333333331</v>
      </c>
      <c r="C210">
        <v>146262</v>
      </c>
      <c r="D210">
        <v>606611</v>
      </c>
      <c r="E210">
        <v>671348</v>
      </c>
      <c r="F210">
        <v>125694</v>
      </c>
      <c r="G210">
        <v>-4470</v>
      </c>
      <c r="H210">
        <v>-166612</v>
      </c>
      <c r="I210">
        <v>64153</v>
      </c>
      <c r="J210">
        <v>35135</v>
      </c>
      <c r="K210">
        <v>38333</v>
      </c>
      <c r="L210">
        <v>-9685</v>
      </c>
      <c r="M210">
        <v>8.86</v>
      </c>
      <c r="N210">
        <f t="shared" si="9"/>
        <v>1506769</v>
      </c>
      <c r="O210">
        <v>24598550</v>
      </c>
      <c r="P210" s="2">
        <f t="shared" si="10"/>
        <v>6.1254382880291729</v>
      </c>
      <c r="Q210" s="4">
        <f t="shared" si="11"/>
        <v>21.794315300000001</v>
      </c>
    </row>
    <row r="211" spans="1:17" x14ac:dyDescent="0.4">
      <c r="A211">
        <v>20210805</v>
      </c>
      <c r="B211" s="1">
        <v>0.35416666666666669</v>
      </c>
      <c r="C211">
        <v>236260</v>
      </c>
      <c r="D211">
        <v>485221</v>
      </c>
      <c r="E211">
        <v>357280</v>
      </c>
      <c r="F211">
        <v>-72546</v>
      </c>
      <c r="G211">
        <v>30081</v>
      </c>
      <c r="H211">
        <v>-69992</v>
      </c>
      <c r="I211">
        <v>-29900</v>
      </c>
      <c r="J211">
        <v>42174</v>
      </c>
      <c r="K211">
        <v>115699</v>
      </c>
      <c r="L211">
        <v>-27006</v>
      </c>
      <c r="M211">
        <v>8.86</v>
      </c>
      <c r="N211">
        <f t="shared" si="9"/>
        <v>1067271</v>
      </c>
      <c r="O211">
        <v>25540150</v>
      </c>
      <c r="P211" s="2">
        <f t="shared" si="10"/>
        <v>4.1787969138787364</v>
      </c>
      <c r="Q211" s="4">
        <f t="shared" si="11"/>
        <v>22.628572900000002</v>
      </c>
    </row>
    <row r="212" spans="1:17" x14ac:dyDescent="0.4">
      <c r="A212">
        <v>20210805</v>
      </c>
      <c r="B212" s="1">
        <v>0.375</v>
      </c>
      <c r="C212">
        <v>143322</v>
      </c>
      <c r="D212">
        <v>537208</v>
      </c>
      <c r="E212">
        <v>422027</v>
      </c>
      <c r="F212">
        <v>48741</v>
      </c>
      <c r="G212">
        <v>37367</v>
      </c>
      <c r="H212">
        <v>-121397</v>
      </c>
      <c r="I212">
        <v>69938</v>
      </c>
      <c r="J212">
        <v>50954</v>
      </c>
      <c r="K212">
        <v>-52946</v>
      </c>
      <c r="L212">
        <v>-26159</v>
      </c>
      <c r="M212">
        <v>9.6199999999999992</v>
      </c>
      <c r="N212">
        <f t="shared" si="9"/>
        <v>1109055</v>
      </c>
      <c r="O212">
        <v>26185900</v>
      </c>
      <c r="P212" s="2">
        <f t="shared" si="10"/>
        <v>4.2353136611687967</v>
      </c>
      <c r="Q212" s="4">
        <f t="shared" si="11"/>
        <v>25.190835799999999</v>
      </c>
    </row>
    <row r="213" spans="1:17" x14ac:dyDescent="0.4">
      <c r="A213">
        <v>20210805</v>
      </c>
      <c r="B213" s="1">
        <v>0.39583333333333331</v>
      </c>
      <c r="C213">
        <v>175897</v>
      </c>
      <c r="D213">
        <v>498347</v>
      </c>
      <c r="E213">
        <v>243173</v>
      </c>
      <c r="F213">
        <v>-102562</v>
      </c>
      <c r="G213">
        <v>50777</v>
      </c>
      <c r="H213">
        <v>-31808</v>
      </c>
      <c r="I213">
        <v>79898</v>
      </c>
      <c r="J213">
        <v>47211</v>
      </c>
      <c r="K213">
        <v>-23682</v>
      </c>
      <c r="L213">
        <v>-36837</v>
      </c>
      <c r="M213">
        <v>9.69</v>
      </c>
      <c r="N213">
        <f t="shared" si="9"/>
        <v>900414</v>
      </c>
      <c r="O213">
        <v>26628950</v>
      </c>
      <c r="P213" s="2">
        <f t="shared" si="10"/>
        <v>3.3813349756561939</v>
      </c>
      <c r="Q213" s="4">
        <f t="shared" si="11"/>
        <v>25.803452549999999</v>
      </c>
    </row>
    <row r="214" spans="1:17" x14ac:dyDescent="0.4">
      <c r="A214">
        <v>20210805</v>
      </c>
      <c r="B214" s="1">
        <v>0.41666666666666669</v>
      </c>
      <c r="C214">
        <v>119162</v>
      </c>
      <c r="D214">
        <v>475496</v>
      </c>
      <c r="E214">
        <v>391285</v>
      </c>
      <c r="F214">
        <v>-75812</v>
      </c>
      <c r="G214">
        <v>26290</v>
      </c>
      <c r="H214">
        <v>8270</v>
      </c>
      <c r="I214">
        <v>132447</v>
      </c>
      <c r="J214">
        <v>31862</v>
      </c>
      <c r="K214">
        <v>-92596</v>
      </c>
      <c r="L214">
        <v>-37634</v>
      </c>
      <c r="M214">
        <v>9.81</v>
      </c>
      <c r="N214">
        <f t="shared" si="9"/>
        <v>978770</v>
      </c>
      <c r="O214">
        <v>26970800</v>
      </c>
      <c r="P214" s="2">
        <f t="shared" si="10"/>
        <v>3.628998769039109</v>
      </c>
      <c r="Q214" s="4">
        <f t="shared" si="11"/>
        <v>26.458354799999999</v>
      </c>
    </row>
    <row r="215" spans="1:17" x14ac:dyDescent="0.4">
      <c r="A215">
        <v>20210805</v>
      </c>
      <c r="B215" s="1">
        <v>0.4375</v>
      </c>
      <c r="C215">
        <v>93091</v>
      </c>
      <c r="D215">
        <v>437886</v>
      </c>
      <c r="E215">
        <v>289384</v>
      </c>
      <c r="F215">
        <v>-63657</v>
      </c>
      <c r="G215">
        <v>35923</v>
      </c>
      <c r="H215">
        <v>-16875</v>
      </c>
      <c r="I215">
        <v>48914</v>
      </c>
      <c r="J215">
        <v>9749</v>
      </c>
      <c r="K215">
        <v>-83208</v>
      </c>
      <c r="L215">
        <v>-31233</v>
      </c>
      <c r="M215">
        <v>9.8800000000000008</v>
      </c>
      <c r="N215">
        <f t="shared" si="9"/>
        <v>719974</v>
      </c>
      <c r="O215">
        <v>27281900</v>
      </c>
      <c r="P215" s="2">
        <f t="shared" si="10"/>
        <v>2.6390170772563493</v>
      </c>
      <c r="Q215" s="4">
        <f t="shared" si="11"/>
        <v>26.954517200000002</v>
      </c>
    </row>
    <row r="216" spans="1:17" x14ac:dyDescent="0.4">
      <c r="A216">
        <v>20210805</v>
      </c>
      <c r="B216" s="1">
        <v>0.45833333333333331</v>
      </c>
      <c r="C216">
        <v>87945</v>
      </c>
      <c r="D216">
        <v>343253</v>
      </c>
      <c r="E216">
        <v>196615</v>
      </c>
      <c r="F216">
        <v>-124079</v>
      </c>
      <c r="G216">
        <v>28740</v>
      </c>
      <c r="H216">
        <v>-149865</v>
      </c>
      <c r="I216">
        <v>35012</v>
      </c>
      <c r="J216">
        <v>-13074</v>
      </c>
      <c r="K216">
        <v>-62041</v>
      </c>
      <c r="L216">
        <v>-20449</v>
      </c>
      <c r="M216">
        <v>9.9600000000000009</v>
      </c>
      <c r="N216">
        <f t="shared" si="9"/>
        <v>322057</v>
      </c>
      <c r="O216">
        <v>27664100</v>
      </c>
      <c r="P216" s="2">
        <f t="shared" si="10"/>
        <v>1.1641694470450874</v>
      </c>
      <c r="Q216" s="4">
        <f t="shared" si="11"/>
        <v>27.553443600000001</v>
      </c>
    </row>
    <row r="217" spans="1:17" x14ac:dyDescent="0.4">
      <c r="A217">
        <v>20210805</v>
      </c>
      <c r="B217" s="1">
        <v>0.47916666666666669</v>
      </c>
      <c r="C217">
        <v>25358</v>
      </c>
      <c r="D217">
        <v>273582</v>
      </c>
      <c r="E217">
        <v>293023</v>
      </c>
      <c r="F217">
        <v>-172408</v>
      </c>
      <c r="G217">
        <v>37777</v>
      </c>
      <c r="H217">
        <v>-170000</v>
      </c>
      <c r="I217">
        <v>43005</v>
      </c>
      <c r="J217">
        <v>-13240</v>
      </c>
      <c r="K217">
        <v>25299</v>
      </c>
      <c r="L217">
        <v>-13309</v>
      </c>
      <c r="M217">
        <v>10.27</v>
      </c>
      <c r="N217">
        <f t="shared" si="9"/>
        <v>329087</v>
      </c>
      <c r="O217">
        <v>27701450</v>
      </c>
      <c r="P217" s="2">
        <f t="shared" si="10"/>
        <v>1.187977524642212</v>
      </c>
      <c r="Q217" s="4">
        <f t="shared" si="11"/>
        <v>28.449389149999998</v>
      </c>
    </row>
    <row r="218" spans="1:17" x14ac:dyDescent="0.4">
      <c r="A218">
        <v>20210805</v>
      </c>
      <c r="B218" s="1">
        <v>0.5</v>
      </c>
      <c r="C218">
        <v>19258</v>
      </c>
      <c r="D218">
        <v>165381</v>
      </c>
      <c r="E218">
        <v>387752</v>
      </c>
      <c r="F218">
        <v>-152033</v>
      </c>
      <c r="G218">
        <v>21510</v>
      </c>
      <c r="H218">
        <v>-306844</v>
      </c>
      <c r="I218">
        <v>-44315</v>
      </c>
      <c r="J218">
        <v>-2157</v>
      </c>
      <c r="K218">
        <v>6573</v>
      </c>
      <c r="L218">
        <v>-1419</v>
      </c>
      <c r="M218">
        <v>9.6999999999999993</v>
      </c>
      <c r="N218">
        <f t="shared" si="9"/>
        <v>93706</v>
      </c>
      <c r="O218">
        <v>27633900</v>
      </c>
      <c r="P218" s="2">
        <f t="shared" si="10"/>
        <v>0.33909799195915163</v>
      </c>
      <c r="Q218" s="4">
        <f t="shared" si="11"/>
        <v>26.804882999999997</v>
      </c>
    </row>
    <row r="219" spans="1:17" x14ac:dyDescent="0.4">
      <c r="A219">
        <v>20210805</v>
      </c>
      <c r="B219" s="1">
        <v>0.52083333333333337</v>
      </c>
      <c r="C219">
        <v>46059</v>
      </c>
      <c r="D219">
        <v>176050</v>
      </c>
      <c r="E219">
        <v>387840</v>
      </c>
      <c r="F219">
        <v>-190563</v>
      </c>
      <c r="G219">
        <v>30056</v>
      </c>
      <c r="H219">
        <v>-453127</v>
      </c>
      <c r="I219">
        <v>-100843</v>
      </c>
      <c r="J219">
        <v>-11135</v>
      </c>
      <c r="K219">
        <v>-28751</v>
      </c>
      <c r="L219">
        <v>11244</v>
      </c>
      <c r="M219">
        <v>9.67</v>
      </c>
      <c r="N219">
        <f t="shared" si="9"/>
        <v>-133170</v>
      </c>
      <c r="O219">
        <v>27707700</v>
      </c>
      <c r="P219" s="2">
        <f t="shared" si="10"/>
        <v>-0.4806245195378902</v>
      </c>
      <c r="Q219" s="4">
        <f t="shared" si="11"/>
        <v>26.793345899999998</v>
      </c>
    </row>
    <row r="220" spans="1:17" x14ac:dyDescent="0.4">
      <c r="A220">
        <v>20210805</v>
      </c>
      <c r="B220" s="1">
        <v>0.54166666666666663</v>
      </c>
      <c r="C220">
        <v>3384</v>
      </c>
      <c r="D220">
        <v>135078</v>
      </c>
      <c r="E220">
        <v>178435</v>
      </c>
      <c r="F220">
        <v>-1459</v>
      </c>
      <c r="G220">
        <v>62109</v>
      </c>
      <c r="H220">
        <v>-219602</v>
      </c>
      <c r="I220">
        <v>-79672</v>
      </c>
      <c r="J220">
        <v>2033</v>
      </c>
      <c r="K220">
        <v>121056</v>
      </c>
      <c r="L220">
        <v>31719</v>
      </c>
      <c r="M220">
        <v>10.27</v>
      </c>
      <c r="N220">
        <f t="shared" si="9"/>
        <v>233081</v>
      </c>
      <c r="O220">
        <v>27278100</v>
      </c>
      <c r="P220" s="2">
        <f t="shared" si="10"/>
        <v>0.85446200431848263</v>
      </c>
      <c r="Q220" s="4">
        <f t="shared" si="11"/>
        <v>28.0146087</v>
      </c>
    </row>
    <row r="221" spans="1:17" x14ac:dyDescent="0.4">
      <c r="A221">
        <v>20210805</v>
      </c>
      <c r="B221" s="1">
        <v>0.5625</v>
      </c>
      <c r="C221">
        <v>29872</v>
      </c>
      <c r="D221">
        <v>93891</v>
      </c>
      <c r="E221">
        <v>285119</v>
      </c>
      <c r="F221">
        <v>5734</v>
      </c>
      <c r="G221">
        <v>41899</v>
      </c>
      <c r="H221">
        <v>21973</v>
      </c>
      <c r="I221">
        <v>-6294</v>
      </c>
      <c r="J221">
        <v>16085</v>
      </c>
      <c r="K221">
        <v>104322</v>
      </c>
      <c r="L221">
        <v>32880</v>
      </c>
      <c r="M221">
        <v>10.4</v>
      </c>
      <c r="N221">
        <f t="shared" si="9"/>
        <v>625481</v>
      </c>
      <c r="O221">
        <v>27486200</v>
      </c>
      <c r="P221" s="2">
        <f t="shared" si="10"/>
        <v>2.2756183102793401</v>
      </c>
      <c r="Q221" s="4">
        <f t="shared" si="11"/>
        <v>28.585647999999999</v>
      </c>
    </row>
    <row r="222" spans="1:17" x14ac:dyDescent="0.4">
      <c r="A222">
        <v>20210805</v>
      </c>
      <c r="B222" s="1">
        <v>0.58333333333333337</v>
      </c>
      <c r="C222">
        <v>12029</v>
      </c>
      <c r="D222">
        <v>-4447</v>
      </c>
      <c r="E222">
        <v>403727</v>
      </c>
      <c r="F222">
        <v>-71354</v>
      </c>
      <c r="G222">
        <v>54392</v>
      </c>
      <c r="H222">
        <v>-48917</v>
      </c>
      <c r="I222">
        <v>-4936</v>
      </c>
      <c r="J222">
        <v>20022</v>
      </c>
      <c r="K222">
        <v>153501</v>
      </c>
      <c r="L222">
        <v>33567</v>
      </c>
      <c r="M222">
        <v>10.81</v>
      </c>
      <c r="N222">
        <f t="shared" si="9"/>
        <v>547584</v>
      </c>
      <c r="O222">
        <v>27481350</v>
      </c>
      <c r="P222" s="2">
        <f t="shared" si="10"/>
        <v>1.9925658673973441</v>
      </c>
      <c r="Q222" s="4">
        <f t="shared" si="11"/>
        <v>29.707339350000002</v>
      </c>
    </row>
    <row r="223" spans="1:17" x14ac:dyDescent="0.4">
      <c r="A223">
        <v>20210805</v>
      </c>
      <c r="B223" s="1">
        <v>0.60416666666666663</v>
      </c>
      <c r="C223">
        <v>48761</v>
      </c>
      <c r="D223">
        <v>56306</v>
      </c>
      <c r="E223">
        <v>308553</v>
      </c>
      <c r="F223">
        <v>-136226</v>
      </c>
      <c r="G223">
        <v>53525</v>
      </c>
      <c r="H223">
        <v>17320</v>
      </c>
      <c r="I223">
        <v>53959</v>
      </c>
      <c r="J223">
        <v>8379</v>
      </c>
      <c r="K223">
        <v>236816</v>
      </c>
      <c r="L223">
        <v>36828</v>
      </c>
      <c r="M223">
        <v>12.08</v>
      </c>
      <c r="N223">
        <f t="shared" si="9"/>
        <v>684221</v>
      </c>
      <c r="O223">
        <v>26944350</v>
      </c>
      <c r="P223" s="2">
        <f t="shared" si="10"/>
        <v>2.5393858081564411</v>
      </c>
      <c r="Q223" s="4">
        <f t="shared" si="11"/>
        <v>32.548774799999997</v>
      </c>
    </row>
    <row r="224" spans="1:17" x14ac:dyDescent="0.4">
      <c r="A224">
        <v>20210805</v>
      </c>
      <c r="B224" s="1">
        <v>0.625</v>
      </c>
      <c r="C224">
        <v>-50290</v>
      </c>
      <c r="D224">
        <v>-89920</v>
      </c>
      <c r="E224">
        <v>193055</v>
      </c>
      <c r="F224">
        <v>407945</v>
      </c>
      <c r="G224">
        <v>77977</v>
      </c>
      <c r="H224">
        <v>92491</v>
      </c>
      <c r="I224">
        <v>62713</v>
      </c>
      <c r="J224">
        <v>-736</v>
      </c>
      <c r="K224">
        <v>222233</v>
      </c>
      <c r="L224">
        <v>42219</v>
      </c>
      <c r="M224">
        <v>14.16</v>
      </c>
      <c r="N224">
        <f t="shared" si="9"/>
        <v>957687</v>
      </c>
      <c r="O224">
        <v>26498200</v>
      </c>
      <c r="P224" s="2">
        <f t="shared" si="10"/>
        <v>3.6141586975719107</v>
      </c>
      <c r="Q224" s="4">
        <f t="shared" si="11"/>
        <v>37.521451200000001</v>
      </c>
    </row>
    <row r="225" spans="1:17" x14ac:dyDescent="0.4">
      <c r="A225">
        <v>20210805</v>
      </c>
      <c r="B225" s="1">
        <v>0.64583333333333337</v>
      </c>
      <c r="C225">
        <v>5217</v>
      </c>
      <c r="D225">
        <v>-152940</v>
      </c>
      <c r="E225">
        <v>-216319</v>
      </c>
      <c r="F225">
        <v>68251</v>
      </c>
      <c r="G225">
        <v>47112</v>
      </c>
      <c r="H225">
        <v>50568</v>
      </c>
      <c r="I225">
        <v>71320</v>
      </c>
      <c r="J225">
        <v>-37358</v>
      </c>
      <c r="K225">
        <v>170857</v>
      </c>
      <c r="L225">
        <v>34762</v>
      </c>
      <c r="M225">
        <v>17</v>
      </c>
      <c r="N225">
        <f t="shared" si="9"/>
        <v>41470</v>
      </c>
      <c r="O225">
        <v>25795300</v>
      </c>
      <c r="P225" s="2">
        <f t="shared" si="10"/>
        <v>0.16076572088713836</v>
      </c>
      <c r="Q225" s="4">
        <f t="shared" si="11"/>
        <v>43.85201</v>
      </c>
    </row>
    <row r="226" spans="1:17" x14ac:dyDescent="0.4">
      <c r="A226">
        <v>20210805</v>
      </c>
      <c r="B226" s="1">
        <v>0.66666666666666663</v>
      </c>
      <c r="C226">
        <v>1010</v>
      </c>
      <c r="D226">
        <v>86849</v>
      </c>
      <c r="E226">
        <v>-422877</v>
      </c>
      <c r="F226">
        <v>90665</v>
      </c>
      <c r="G226">
        <v>23570</v>
      </c>
      <c r="H226">
        <v>-34051</v>
      </c>
      <c r="I226">
        <v>711142</v>
      </c>
      <c r="J226">
        <v>-67985</v>
      </c>
      <c r="K226">
        <v>31645</v>
      </c>
      <c r="L226">
        <v>33981</v>
      </c>
      <c r="M226">
        <v>19.010000000000002</v>
      </c>
      <c r="N226">
        <f t="shared" si="9"/>
        <v>453949</v>
      </c>
      <c r="O226">
        <v>25960050</v>
      </c>
      <c r="P226" s="2">
        <f t="shared" si="10"/>
        <v>1.7486445519172729</v>
      </c>
      <c r="Q226" s="4">
        <f t="shared" si="11"/>
        <v>49.350055050000009</v>
      </c>
    </row>
    <row r="227" spans="1:17" x14ac:dyDescent="0.4">
      <c r="A227">
        <v>20210805</v>
      </c>
      <c r="B227" s="1">
        <v>0.6875</v>
      </c>
      <c r="C227">
        <v>-35694</v>
      </c>
      <c r="D227">
        <v>-38088</v>
      </c>
      <c r="E227">
        <v>-615853</v>
      </c>
      <c r="F227">
        <v>104344</v>
      </c>
      <c r="G227">
        <v>32978</v>
      </c>
      <c r="H227">
        <v>-68246</v>
      </c>
      <c r="I227">
        <v>504287</v>
      </c>
      <c r="J227">
        <v>-106508</v>
      </c>
      <c r="K227">
        <v>11146</v>
      </c>
      <c r="L227">
        <v>23653</v>
      </c>
      <c r="M227">
        <v>25</v>
      </c>
      <c r="N227">
        <f t="shared" si="9"/>
        <v>-187981</v>
      </c>
      <c r="O227">
        <v>25273400</v>
      </c>
      <c r="P227" s="2">
        <f t="shared" si="10"/>
        <v>-0.74378991350589951</v>
      </c>
      <c r="Q227" s="4">
        <f t="shared" si="11"/>
        <v>63.183500000000002</v>
      </c>
    </row>
    <row r="228" spans="1:17" x14ac:dyDescent="0.4">
      <c r="A228">
        <v>20210805</v>
      </c>
      <c r="B228" s="1">
        <v>0.70833333333333337</v>
      </c>
      <c r="C228">
        <v>-33151</v>
      </c>
      <c r="D228">
        <v>-111314</v>
      </c>
      <c r="E228">
        <v>-517714</v>
      </c>
      <c r="F228">
        <v>324738</v>
      </c>
      <c r="G228">
        <v>61644</v>
      </c>
      <c r="H228">
        <v>-122797</v>
      </c>
      <c r="I228">
        <v>-40072</v>
      </c>
      <c r="J228">
        <v>-129082</v>
      </c>
      <c r="K228">
        <v>-132848</v>
      </c>
      <c r="L228">
        <v>20135</v>
      </c>
      <c r="M228">
        <v>20.010000000000002</v>
      </c>
      <c r="N228">
        <f t="shared" si="9"/>
        <v>-680461</v>
      </c>
      <c r="O228">
        <v>24638500</v>
      </c>
      <c r="P228" s="2">
        <f t="shared" si="10"/>
        <v>-2.761779329098768</v>
      </c>
      <c r="Q228" s="4">
        <f t="shared" si="11"/>
        <v>49.301638500000003</v>
      </c>
    </row>
    <row r="229" spans="1:17" x14ac:dyDescent="0.4">
      <c r="A229">
        <v>20210805</v>
      </c>
      <c r="B229" s="1">
        <v>0.72916666666666663</v>
      </c>
      <c r="C229">
        <v>-29909</v>
      </c>
      <c r="D229">
        <v>-153638</v>
      </c>
      <c r="E229">
        <v>-236237</v>
      </c>
      <c r="F229">
        <v>314637</v>
      </c>
      <c r="G229">
        <v>75517</v>
      </c>
      <c r="H229">
        <v>-256951</v>
      </c>
      <c r="I229">
        <v>-103537</v>
      </c>
      <c r="J229">
        <v>-160732</v>
      </c>
      <c r="K229">
        <v>-309714</v>
      </c>
      <c r="L229">
        <v>19696</v>
      </c>
      <c r="M229">
        <v>20.81</v>
      </c>
      <c r="N229">
        <f t="shared" si="9"/>
        <v>-840868</v>
      </c>
      <c r="O229">
        <v>24009400</v>
      </c>
      <c r="P229" s="2">
        <f t="shared" si="10"/>
        <v>-3.5022449540596599</v>
      </c>
      <c r="Q229" s="4">
        <f t="shared" si="11"/>
        <v>49.963561399999996</v>
      </c>
    </row>
    <row r="230" spans="1:17" x14ac:dyDescent="0.4">
      <c r="A230">
        <v>20210805</v>
      </c>
      <c r="B230" s="1">
        <v>0.75</v>
      </c>
      <c r="C230">
        <v>-67981</v>
      </c>
      <c r="D230">
        <v>-215613</v>
      </c>
      <c r="E230">
        <v>-196833</v>
      </c>
      <c r="F230">
        <v>236955</v>
      </c>
      <c r="G230">
        <v>79513</v>
      </c>
      <c r="H230">
        <v>-222447</v>
      </c>
      <c r="I230">
        <v>-64844</v>
      </c>
      <c r="J230">
        <v>-138428</v>
      </c>
      <c r="K230">
        <v>-280740</v>
      </c>
      <c r="L230">
        <v>17734</v>
      </c>
      <c r="M230">
        <v>30</v>
      </c>
      <c r="N230">
        <f t="shared" si="9"/>
        <v>-852684</v>
      </c>
      <c r="O230">
        <v>23390400</v>
      </c>
      <c r="P230" s="2">
        <f t="shared" si="10"/>
        <v>-3.6454442848348041</v>
      </c>
      <c r="Q230" s="4">
        <f t="shared" si="11"/>
        <v>70.171199999999999</v>
      </c>
    </row>
    <row r="231" spans="1:17" x14ac:dyDescent="0.4">
      <c r="A231">
        <v>20210805</v>
      </c>
      <c r="B231" s="1">
        <v>0.77083333333333337</v>
      </c>
      <c r="C231">
        <v>-75492</v>
      </c>
      <c r="D231">
        <v>-216682</v>
      </c>
      <c r="E231">
        <v>-169712</v>
      </c>
      <c r="F231">
        <v>174374</v>
      </c>
      <c r="G231">
        <v>71143</v>
      </c>
      <c r="H231">
        <v>-242733</v>
      </c>
      <c r="I231">
        <v>-127095</v>
      </c>
      <c r="J231">
        <v>-90043</v>
      </c>
      <c r="K231">
        <v>-177221</v>
      </c>
      <c r="L231">
        <v>11911</v>
      </c>
      <c r="M231">
        <v>30</v>
      </c>
      <c r="N231">
        <f t="shared" si="9"/>
        <v>-841550</v>
      </c>
      <c r="O231">
        <v>23450600</v>
      </c>
      <c r="P231" s="2">
        <f t="shared" si="10"/>
        <v>-3.5886075409584404</v>
      </c>
      <c r="Q231" s="4">
        <f t="shared" si="11"/>
        <v>70.351799999999997</v>
      </c>
    </row>
    <row r="232" spans="1:17" x14ac:dyDescent="0.4">
      <c r="A232">
        <v>20210805</v>
      </c>
      <c r="B232" s="1">
        <v>0.79166666666666663</v>
      </c>
      <c r="C232">
        <v>-47428</v>
      </c>
      <c r="D232">
        <v>-164380</v>
      </c>
      <c r="E232">
        <v>-176285</v>
      </c>
      <c r="F232">
        <v>121394</v>
      </c>
      <c r="G232">
        <v>80568</v>
      </c>
      <c r="H232">
        <v>69830</v>
      </c>
      <c r="I232">
        <v>-170952</v>
      </c>
      <c r="J232">
        <v>-55826</v>
      </c>
      <c r="K232">
        <v>-32156</v>
      </c>
      <c r="L232">
        <v>16665</v>
      </c>
      <c r="M232">
        <v>20.81</v>
      </c>
      <c r="N232">
        <f t="shared" si="9"/>
        <v>-358570</v>
      </c>
      <c r="O232">
        <v>23478900</v>
      </c>
      <c r="P232" s="2">
        <f t="shared" si="10"/>
        <v>-1.5272010187870813</v>
      </c>
      <c r="Q232" s="4">
        <f t="shared" si="11"/>
        <v>48.859590899999993</v>
      </c>
    </row>
    <row r="233" spans="1:17" x14ac:dyDescent="0.4">
      <c r="A233">
        <v>20210805</v>
      </c>
      <c r="B233" s="1">
        <v>0.8125</v>
      </c>
      <c r="C233">
        <v>-19610</v>
      </c>
      <c r="D233">
        <v>-76447</v>
      </c>
      <c r="E233">
        <v>-191646</v>
      </c>
      <c r="F233">
        <v>119234</v>
      </c>
      <c r="G233">
        <v>80321</v>
      </c>
      <c r="H233">
        <v>-9838</v>
      </c>
      <c r="I233">
        <v>-134655</v>
      </c>
      <c r="J233">
        <v>-59332</v>
      </c>
      <c r="K233">
        <v>-19041</v>
      </c>
      <c r="L233">
        <v>19426</v>
      </c>
      <c r="M233">
        <v>16</v>
      </c>
      <c r="N233">
        <f t="shared" si="9"/>
        <v>-291588</v>
      </c>
      <c r="O233">
        <v>23131750</v>
      </c>
      <c r="P233" s="2">
        <f t="shared" si="10"/>
        <v>-1.2605531358414301</v>
      </c>
      <c r="Q233" s="4">
        <f t="shared" si="11"/>
        <v>37.010800000000003</v>
      </c>
    </row>
    <row r="234" spans="1:17" x14ac:dyDescent="0.4">
      <c r="A234">
        <v>20210805</v>
      </c>
      <c r="B234" s="1">
        <v>0.83333333333333337</v>
      </c>
      <c r="C234">
        <v>-35453</v>
      </c>
      <c r="D234">
        <v>16619</v>
      </c>
      <c r="E234">
        <v>-282514</v>
      </c>
      <c r="F234">
        <v>222064</v>
      </c>
      <c r="G234">
        <v>54624</v>
      </c>
      <c r="H234">
        <v>-61806</v>
      </c>
      <c r="I234">
        <v>-120626</v>
      </c>
      <c r="J234">
        <v>-26541</v>
      </c>
      <c r="K234">
        <v>39657</v>
      </c>
      <c r="L234">
        <v>13361</v>
      </c>
      <c r="M234">
        <v>15.01</v>
      </c>
      <c r="N234">
        <f t="shared" si="9"/>
        <v>-180615</v>
      </c>
      <c r="O234">
        <v>22484100</v>
      </c>
      <c r="P234" s="2">
        <f t="shared" si="10"/>
        <v>-0.80330099937289012</v>
      </c>
      <c r="Q234" s="4">
        <f t="shared" si="11"/>
        <v>33.748634099999997</v>
      </c>
    </row>
    <row r="235" spans="1:17" x14ac:dyDescent="0.4">
      <c r="A235">
        <v>20210805</v>
      </c>
      <c r="B235" s="1">
        <v>0.85416666666666663</v>
      </c>
      <c r="C235">
        <v>-87567</v>
      </c>
      <c r="D235">
        <v>-46818</v>
      </c>
      <c r="E235">
        <v>-63071</v>
      </c>
      <c r="F235">
        <v>120378</v>
      </c>
      <c r="G235">
        <v>38213</v>
      </c>
      <c r="H235">
        <v>16237</v>
      </c>
      <c r="I235">
        <v>-166526</v>
      </c>
      <c r="J235">
        <v>-60724</v>
      </c>
      <c r="K235">
        <v>73099</v>
      </c>
      <c r="L235">
        <v>24472</v>
      </c>
      <c r="M235">
        <v>12.71</v>
      </c>
      <c r="N235">
        <f t="shared" si="9"/>
        <v>-152307</v>
      </c>
      <c r="O235">
        <v>22253650</v>
      </c>
      <c r="P235" s="2">
        <f t="shared" si="10"/>
        <v>-0.68441356811129861</v>
      </c>
      <c r="Q235" s="4">
        <f t="shared" si="11"/>
        <v>28.284389149999999</v>
      </c>
    </row>
    <row r="236" spans="1:17" x14ac:dyDescent="0.4">
      <c r="A236">
        <v>20210805</v>
      </c>
      <c r="B236" s="1">
        <v>0.875</v>
      </c>
      <c r="C236">
        <v>-68429</v>
      </c>
      <c r="D236">
        <v>3557</v>
      </c>
      <c r="E236">
        <v>-20233</v>
      </c>
      <c r="F236">
        <v>115213</v>
      </c>
      <c r="G236">
        <v>33882</v>
      </c>
      <c r="H236">
        <v>134757</v>
      </c>
      <c r="I236">
        <v>-106287</v>
      </c>
      <c r="J236">
        <v>-31872</v>
      </c>
      <c r="K236">
        <v>92640</v>
      </c>
      <c r="L236">
        <v>24849</v>
      </c>
      <c r="M236">
        <v>11.79</v>
      </c>
      <c r="N236">
        <f t="shared" si="9"/>
        <v>178077</v>
      </c>
      <c r="O236">
        <v>21657950</v>
      </c>
      <c r="P236" s="2">
        <f t="shared" si="10"/>
        <v>0.82222463344868746</v>
      </c>
      <c r="Q236" s="4">
        <f t="shared" si="11"/>
        <v>25.534723049999997</v>
      </c>
    </row>
    <row r="237" spans="1:17" x14ac:dyDescent="0.4">
      <c r="A237">
        <v>20210805</v>
      </c>
      <c r="B237" s="1">
        <v>0.89583333333333337</v>
      </c>
      <c r="C237">
        <v>-93246</v>
      </c>
      <c r="D237">
        <v>-15453</v>
      </c>
      <c r="E237">
        <v>78146</v>
      </c>
      <c r="F237">
        <v>108740</v>
      </c>
      <c r="G237">
        <v>18517</v>
      </c>
      <c r="H237">
        <v>31857</v>
      </c>
      <c r="I237">
        <v>-74455</v>
      </c>
      <c r="J237">
        <v>-40816</v>
      </c>
      <c r="K237">
        <v>71978</v>
      </c>
      <c r="L237">
        <v>32704</v>
      </c>
      <c r="M237">
        <v>10.27</v>
      </c>
      <c r="N237">
        <f t="shared" si="9"/>
        <v>117972</v>
      </c>
      <c r="O237">
        <v>21319850</v>
      </c>
      <c r="P237" s="2">
        <f t="shared" si="10"/>
        <v>0.55334348037157854</v>
      </c>
      <c r="Q237" s="4">
        <f t="shared" si="11"/>
        <v>21.895485950000001</v>
      </c>
    </row>
    <row r="238" spans="1:17" x14ac:dyDescent="0.4">
      <c r="A238">
        <v>20210805</v>
      </c>
      <c r="B238" s="1">
        <v>0.91666666666666663</v>
      </c>
      <c r="C238">
        <v>-33358</v>
      </c>
      <c r="D238">
        <v>-7469</v>
      </c>
      <c r="E238">
        <v>-20133</v>
      </c>
      <c r="F238">
        <v>106536</v>
      </c>
      <c r="G238">
        <v>18389</v>
      </c>
      <c r="H238">
        <v>60336</v>
      </c>
      <c r="I238">
        <v>-17588</v>
      </c>
      <c r="J238">
        <v>-29503</v>
      </c>
      <c r="K238">
        <v>164855</v>
      </c>
      <c r="L238">
        <v>24477</v>
      </c>
      <c r="M238">
        <v>9.84</v>
      </c>
      <c r="N238">
        <f t="shared" si="9"/>
        <v>266542</v>
      </c>
      <c r="O238">
        <v>20460600</v>
      </c>
      <c r="P238" s="2">
        <f t="shared" si="10"/>
        <v>1.3027086204705629</v>
      </c>
      <c r="Q238" s="4">
        <f t="shared" si="11"/>
        <v>20.133230399999999</v>
      </c>
    </row>
    <row r="239" spans="1:17" x14ac:dyDescent="0.4">
      <c r="A239">
        <v>20210805</v>
      </c>
      <c r="B239" s="1">
        <v>0.9375</v>
      </c>
      <c r="C239">
        <v>-130805</v>
      </c>
      <c r="D239">
        <v>-55939</v>
      </c>
      <c r="E239">
        <v>110085</v>
      </c>
      <c r="F239">
        <v>70018</v>
      </c>
      <c r="G239">
        <v>7765</v>
      </c>
      <c r="H239">
        <v>97906</v>
      </c>
      <c r="I239">
        <v>-111712</v>
      </c>
      <c r="J239">
        <v>-45006</v>
      </c>
      <c r="K239">
        <v>67579</v>
      </c>
      <c r="L239">
        <v>32884</v>
      </c>
      <c r="M239">
        <v>9.61</v>
      </c>
      <c r="N239">
        <f t="shared" si="9"/>
        <v>42775</v>
      </c>
      <c r="O239">
        <v>20313700</v>
      </c>
      <c r="P239" s="2">
        <f t="shared" si="10"/>
        <v>0.21057217542840545</v>
      </c>
      <c r="Q239" s="4">
        <f t="shared" si="11"/>
        <v>19.5214657</v>
      </c>
    </row>
    <row r="240" spans="1:17" x14ac:dyDescent="0.4">
      <c r="A240">
        <v>20210805</v>
      </c>
      <c r="B240" s="1">
        <v>0.95833333333333337</v>
      </c>
      <c r="C240">
        <v>-84334</v>
      </c>
      <c r="D240">
        <v>-11280</v>
      </c>
      <c r="E240">
        <v>-129521</v>
      </c>
      <c r="F240">
        <v>67541</v>
      </c>
      <c r="G240">
        <v>-14842</v>
      </c>
      <c r="H240">
        <v>152994</v>
      </c>
      <c r="I240">
        <v>-64227</v>
      </c>
      <c r="J240">
        <v>-29378</v>
      </c>
      <c r="K240">
        <v>4336</v>
      </c>
      <c r="L240">
        <v>16739</v>
      </c>
      <c r="M240">
        <v>8.89</v>
      </c>
      <c r="N240">
        <f t="shared" si="9"/>
        <v>-91972</v>
      </c>
      <c r="O240">
        <v>19926950</v>
      </c>
      <c r="P240" s="2">
        <f t="shared" si="10"/>
        <v>-0.46154579601996293</v>
      </c>
      <c r="Q240" s="4">
        <f t="shared" si="11"/>
        <v>17.715058549999998</v>
      </c>
    </row>
    <row r="241" spans="1:17" x14ac:dyDescent="0.4">
      <c r="A241">
        <v>20210805</v>
      </c>
      <c r="B241" s="1">
        <v>0.97916666666666663</v>
      </c>
      <c r="C241">
        <v>-44220</v>
      </c>
      <c r="D241">
        <v>-68815</v>
      </c>
      <c r="E241">
        <v>74393</v>
      </c>
      <c r="F241">
        <v>93769</v>
      </c>
      <c r="G241">
        <v>-17768</v>
      </c>
      <c r="H241">
        <v>230361</v>
      </c>
      <c r="I241">
        <v>-110997</v>
      </c>
      <c r="J241">
        <v>-30774</v>
      </c>
      <c r="K241">
        <v>44060</v>
      </c>
      <c r="L241">
        <v>21228</v>
      </c>
      <c r="M241">
        <v>8.86</v>
      </c>
      <c r="N241">
        <f t="shared" si="9"/>
        <v>191237</v>
      </c>
      <c r="O241">
        <v>19475000</v>
      </c>
      <c r="P241" s="2">
        <f t="shared" si="10"/>
        <v>0.98196148908857506</v>
      </c>
      <c r="Q241" s="4">
        <f t="shared" si="11"/>
        <v>17.254850000000001</v>
      </c>
    </row>
    <row r="242" spans="1:17" x14ac:dyDescent="0.4">
      <c r="A242">
        <v>20210806</v>
      </c>
      <c r="B242" s="1">
        <v>0</v>
      </c>
      <c r="C242">
        <v>-92802</v>
      </c>
      <c r="D242">
        <v>42514</v>
      </c>
      <c r="E242">
        <v>75896</v>
      </c>
      <c r="F242">
        <v>-13087</v>
      </c>
      <c r="G242">
        <v>1217</v>
      </c>
      <c r="H242">
        <v>-64598</v>
      </c>
      <c r="I242">
        <v>-36905</v>
      </c>
      <c r="J242">
        <v>37164</v>
      </c>
      <c r="K242">
        <v>-47050</v>
      </c>
      <c r="L242">
        <v>10172</v>
      </c>
      <c r="M242">
        <v>8.86</v>
      </c>
      <c r="N242">
        <f t="shared" si="9"/>
        <v>-87479</v>
      </c>
      <c r="O242">
        <v>19467200</v>
      </c>
      <c r="P242" s="2">
        <f t="shared" si="10"/>
        <v>-0.44936611325717102</v>
      </c>
      <c r="Q242" s="4">
        <f t="shared" si="11"/>
        <v>17.247939200000001</v>
      </c>
    </row>
    <row r="243" spans="1:17" x14ac:dyDescent="0.4">
      <c r="A243">
        <v>20210806</v>
      </c>
      <c r="B243" s="1">
        <v>2.0833333333333332E-2</v>
      </c>
      <c r="C243">
        <v>-39035</v>
      </c>
      <c r="D243">
        <v>-14252</v>
      </c>
      <c r="E243">
        <v>172579</v>
      </c>
      <c r="F243">
        <v>27709</v>
      </c>
      <c r="G243">
        <v>20480</v>
      </c>
      <c r="H243">
        <v>28652</v>
      </c>
      <c r="I243">
        <v>-23012</v>
      </c>
      <c r="J243">
        <v>34801</v>
      </c>
      <c r="K243">
        <v>-49165</v>
      </c>
      <c r="L243">
        <v>15164</v>
      </c>
      <c r="M243">
        <v>7.94</v>
      </c>
      <c r="N243">
        <f t="shared" si="9"/>
        <v>173921</v>
      </c>
      <c r="O243">
        <v>20047700</v>
      </c>
      <c r="P243" s="2">
        <f t="shared" si="10"/>
        <v>0.86753592681454728</v>
      </c>
      <c r="Q243" s="4">
        <f t="shared" si="11"/>
        <v>15.917873800000001</v>
      </c>
    </row>
    <row r="244" spans="1:17" x14ac:dyDescent="0.4">
      <c r="A244">
        <v>20210806</v>
      </c>
      <c r="B244" s="1">
        <v>4.1666666666666664E-2</v>
      </c>
      <c r="C244">
        <v>-47430</v>
      </c>
      <c r="D244">
        <v>-66358</v>
      </c>
      <c r="E244">
        <v>128952</v>
      </c>
      <c r="F244">
        <v>48124</v>
      </c>
      <c r="G244">
        <v>18298</v>
      </c>
      <c r="H244">
        <v>-13162</v>
      </c>
      <c r="I244">
        <v>-94419</v>
      </c>
      <c r="J244">
        <v>27643</v>
      </c>
      <c r="K244">
        <v>-22757</v>
      </c>
      <c r="L244">
        <v>10506</v>
      </c>
      <c r="M244">
        <v>7.87</v>
      </c>
      <c r="N244">
        <f t="shared" si="9"/>
        <v>-10603</v>
      </c>
      <c r="O244">
        <v>20080300</v>
      </c>
      <c r="P244" s="2">
        <f t="shared" si="10"/>
        <v>-5.2802995971175729E-2</v>
      </c>
      <c r="Q244" s="4">
        <f t="shared" si="11"/>
        <v>15.803196099999999</v>
      </c>
    </row>
    <row r="245" spans="1:17" x14ac:dyDescent="0.4">
      <c r="A245">
        <v>20210806</v>
      </c>
      <c r="B245" s="1">
        <v>6.25E-2</v>
      </c>
      <c r="C245">
        <v>-77622</v>
      </c>
      <c r="D245">
        <v>-76572</v>
      </c>
      <c r="E245">
        <v>146550</v>
      </c>
      <c r="F245">
        <v>53970</v>
      </c>
      <c r="G245">
        <v>-10335</v>
      </c>
      <c r="H245">
        <v>-51807</v>
      </c>
      <c r="I245">
        <v>-38030</v>
      </c>
      <c r="J245">
        <v>27032</v>
      </c>
      <c r="K245">
        <v>-29508</v>
      </c>
      <c r="L245">
        <v>15146</v>
      </c>
      <c r="M245">
        <v>7.81</v>
      </c>
      <c r="N245">
        <f t="shared" si="9"/>
        <v>-41176</v>
      </c>
      <c r="O245">
        <v>19986950</v>
      </c>
      <c r="P245" s="2">
        <f t="shared" si="10"/>
        <v>-0.20601442441192877</v>
      </c>
      <c r="Q245" s="4">
        <f t="shared" si="11"/>
        <v>15.60980795</v>
      </c>
    </row>
    <row r="246" spans="1:17" x14ac:dyDescent="0.4">
      <c r="A246">
        <v>20210806</v>
      </c>
      <c r="B246" s="1">
        <v>8.3333333333333329E-2</v>
      </c>
      <c r="C246">
        <v>-64552</v>
      </c>
      <c r="D246">
        <v>-123893</v>
      </c>
      <c r="E246">
        <v>206973</v>
      </c>
      <c r="F246">
        <v>88338</v>
      </c>
      <c r="G246">
        <v>-3175</v>
      </c>
      <c r="H246">
        <v>-4636</v>
      </c>
      <c r="I246">
        <v>-3256</v>
      </c>
      <c r="J246">
        <v>31024</v>
      </c>
      <c r="K246">
        <v>-3336</v>
      </c>
      <c r="L246">
        <v>22012</v>
      </c>
      <c r="M246">
        <v>7.79</v>
      </c>
      <c r="N246">
        <f t="shared" si="9"/>
        <v>145499</v>
      </c>
      <c r="O246">
        <v>20156150</v>
      </c>
      <c r="P246" s="2">
        <f t="shared" si="10"/>
        <v>0.72185908519236064</v>
      </c>
      <c r="Q246" s="4">
        <f t="shared" si="11"/>
        <v>15.70164085</v>
      </c>
    </row>
    <row r="247" spans="1:17" x14ac:dyDescent="0.4">
      <c r="A247">
        <v>20210806</v>
      </c>
      <c r="B247" s="1">
        <v>0.10416666666666667</v>
      </c>
      <c r="C247">
        <v>-28173</v>
      </c>
      <c r="D247">
        <v>-98571</v>
      </c>
      <c r="E247">
        <v>349601</v>
      </c>
      <c r="F247">
        <v>100312</v>
      </c>
      <c r="G247">
        <v>3644</v>
      </c>
      <c r="H247">
        <v>-159711</v>
      </c>
      <c r="I247">
        <v>29778</v>
      </c>
      <c r="J247">
        <v>35028</v>
      </c>
      <c r="K247">
        <v>104145</v>
      </c>
      <c r="L247">
        <v>16262</v>
      </c>
      <c r="M247">
        <v>7.83</v>
      </c>
      <c r="N247">
        <f t="shared" si="9"/>
        <v>352315</v>
      </c>
      <c r="O247">
        <v>20191400</v>
      </c>
      <c r="P247" s="2">
        <f t="shared" si="10"/>
        <v>1.7448765315926582</v>
      </c>
      <c r="Q247" s="4">
        <f t="shared" si="11"/>
        <v>15.8098662</v>
      </c>
    </row>
    <row r="248" spans="1:17" x14ac:dyDescent="0.4">
      <c r="A248">
        <v>20210806</v>
      </c>
      <c r="B248" s="1">
        <v>0.125</v>
      </c>
      <c r="C248">
        <v>12077</v>
      </c>
      <c r="D248">
        <v>-44526</v>
      </c>
      <c r="E248">
        <v>163505</v>
      </c>
      <c r="F248">
        <v>90699</v>
      </c>
      <c r="G248">
        <v>10481</v>
      </c>
      <c r="H248">
        <v>-33204</v>
      </c>
      <c r="I248">
        <v>18625</v>
      </c>
      <c r="J248">
        <v>44074</v>
      </c>
      <c r="K248">
        <v>101335</v>
      </c>
      <c r="L248">
        <v>17927</v>
      </c>
      <c r="M248">
        <v>8.19</v>
      </c>
      <c r="N248">
        <f t="shared" si="9"/>
        <v>380993</v>
      </c>
      <c r="O248">
        <v>20236450</v>
      </c>
      <c r="P248" s="2">
        <f t="shared" si="10"/>
        <v>1.8827067000387914</v>
      </c>
      <c r="Q248" s="4">
        <f t="shared" si="11"/>
        <v>16.573652549999998</v>
      </c>
    </row>
    <row r="249" spans="1:17" x14ac:dyDescent="0.4">
      <c r="A249">
        <v>20210806</v>
      </c>
      <c r="B249" s="1">
        <v>0.14583333333333334</v>
      </c>
      <c r="C249">
        <v>7631</v>
      </c>
      <c r="D249">
        <v>-62304</v>
      </c>
      <c r="E249">
        <v>189883</v>
      </c>
      <c r="F249">
        <v>117091</v>
      </c>
      <c r="G249">
        <v>-1164</v>
      </c>
      <c r="H249">
        <v>-135888</v>
      </c>
      <c r="I249">
        <v>49896</v>
      </c>
      <c r="J249">
        <v>55215</v>
      </c>
      <c r="K249">
        <v>118094</v>
      </c>
      <c r="L249">
        <v>21190</v>
      </c>
      <c r="M249">
        <v>8.2899999999999991</v>
      </c>
      <c r="N249">
        <f t="shared" si="9"/>
        <v>359644</v>
      </c>
      <c r="O249">
        <v>20264350</v>
      </c>
      <c r="P249" s="2">
        <f t="shared" si="10"/>
        <v>1.7747620821788017</v>
      </c>
      <c r="Q249" s="4">
        <f t="shared" si="11"/>
        <v>16.799146149999999</v>
      </c>
    </row>
    <row r="250" spans="1:17" x14ac:dyDescent="0.4">
      <c r="A250">
        <v>20210806</v>
      </c>
      <c r="B250" s="1">
        <v>0.16666666666666666</v>
      </c>
      <c r="C250">
        <v>-4477</v>
      </c>
      <c r="D250">
        <v>-72374</v>
      </c>
      <c r="E250">
        <v>180418</v>
      </c>
      <c r="F250">
        <v>92472</v>
      </c>
      <c r="G250">
        <v>-27484</v>
      </c>
      <c r="H250">
        <v>-75530</v>
      </c>
      <c r="I250">
        <v>55911</v>
      </c>
      <c r="J250">
        <v>60663</v>
      </c>
      <c r="K250">
        <v>171605</v>
      </c>
      <c r="L250">
        <v>22672</v>
      </c>
      <c r="M250">
        <v>8.2899999999999991</v>
      </c>
      <c r="N250">
        <f t="shared" si="9"/>
        <v>403876</v>
      </c>
      <c r="O250">
        <v>20266900</v>
      </c>
      <c r="P250" s="2">
        <f t="shared" si="10"/>
        <v>1.9927862672633703</v>
      </c>
      <c r="Q250" s="4">
        <f t="shared" si="11"/>
        <v>16.801260099999997</v>
      </c>
    </row>
    <row r="251" spans="1:17" x14ac:dyDescent="0.4">
      <c r="A251">
        <v>20210806</v>
      </c>
      <c r="B251" s="1">
        <v>0.1875</v>
      </c>
      <c r="C251">
        <v>539</v>
      </c>
      <c r="D251">
        <v>-114432</v>
      </c>
      <c r="E251">
        <v>188973</v>
      </c>
      <c r="F251">
        <v>120664</v>
      </c>
      <c r="G251">
        <v>-19096</v>
      </c>
      <c r="H251">
        <v>-139039</v>
      </c>
      <c r="I251">
        <v>133125</v>
      </c>
      <c r="J251">
        <v>59516</v>
      </c>
      <c r="K251">
        <v>152738</v>
      </c>
      <c r="L251">
        <v>22669</v>
      </c>
      <c r="M251">
        <v>8.2899999999999991</v>
      </c>
      <c r="N251">
        <f t="shared" si="9"/>
        <v>405657</v>
      </c>
      <c r="O251">
        <v>20197800</v>
      </c>
      <c r="P251" s="2">
        <f t="shared" si="10"/>
        <v>2.0084217092950718</v>
      </c>
      <c r="Q251" s="4">
        <f t="shared" si="11"/>
        <v>16.743976199999999</v>
      </c>
    </row>
    <row r="252" spans="1:17" x14ac:dyDescent="0.4">
      <c r="A252">
        <v>20210806</v>
      </c>
      <c r="B252" s="1">
        <v>0.20833333333333334</v>
      </c>
      <c r="C252">
        <v>-47592</v>
      </c>
      <c r="D252">
        <v>-97849</v>
      </c>
      <c r="E252">
        <v>301596</v>
      </c>
      <c r="F252">
        <v>121064</v>
      </c>
      <c r="G252">
        <v>3154</v>
      </c>
      <c r="H252">
        <v>-186520</v>
      </c>
      <c r="I252">
        <v>55321</v>
      </c>
      <c r="J252">
        <v>76092</v>
      </c>
      <c r="K252">
        <v>169514</v>
      </c>
      <c r="L252">
        <v>25790</v>
      </c>
      <c r="M252">
        <v>8.18</v>
      </c>
      <c r="N252">
        <f t="shared" si="9"/>
        <v>420570</v>
      </c>
      <c r="O252">
        <v>20165850</v>
      </c>
      <c r="P252" s="2">
        <f t="shared" si="10"/>
        <v>2.0855555307611628</v>
      </c>
      <c r="Q252" s="4">
        <f t="shared" si="11"/>
        <v>16.495665299999999</v>
      </c>
    </row>
    <row r="253" spans="1:17" x14ac:dyDescent="0.4">
      <c r="A253">
        <v>20210806</v>
      </c>
      <c r="B253" s="1">
        <v>0.22916666666666666</v>
      </c>
      <c r="C253">
        <v>-7453</v>
      </c>
      <c r="D253">
        <v>-44695</v>
      </c>
      <c r="E253">
        <v>170069</v>
      </c>
      <c r="F253">
        <v>172279</v>
      </c>
      <c r="G253">
        <v>-20858</v>
      </c>
      <c r="H253">
        <v>-183211</v>
      </c>
      <c r="I253">
        <v>176676</v>
      </c>
      <c r="J253">
        <v>84201</v>
      </c>
      <c r="K253">
        <v>128571</v>
      </c>
      <c r="L253">
        <v>28265</v>
      </c>
      <c r="M253">
        <v>7.79</v>
      </c>
      <c r="N253">
        <f t="shared" si="9"/>
        <v>503844</v>
      </c>
      <c r="O253">
        <v>20245350</v>
      </c>
      <c r="P253" s="2">
        <f t="shared" si="10"/>
        <v>2.4886899954804438</v>
      </c>
      <c r="Q253" s="4">
        <f t="shared" si="11"/>
        <v>15.77112765</v>
      </c>
    </row>
    <row r="254" spans="1:17" x14ac:dyDescent="0.4">
      <c r="A254">
        <v>20210806</v>
      </c>
      <c r="B254" s="1">
        <v>0.25</v>
      </c>
      <c r="C254">
        <v>14128</v>
      </c>
      <c r="D254">
        <v>21429</v>
      </c>
      <c r="E254">
        <v>257339</v>
      </c>
      <c r="F254">
        <v>133969</v>
      </c>
      <c r="G254">
        <v>-20697</v>
      </c>
      <c r="H254">
        <v>-188687</v>
      </c>
      <c r="I254">
        <v>79719</v>
      </c>
      <c r="J254">
        <v>102690</v>
      </c>
      <c r="K254">
        <v>56964</v>
      </c>
      <c r="L254">
        <v>34252</v>
      </c>
      <c r="M254">
        <v>7.7</v>
      </c>
      <c r="N254">
        <f t="shared" si="9"/>
        <v>491106</v>
      </c>
      <c r="O254">
        <v>20841950</v>
      </c>
      <c r="P254" s="2">
        <f t="shared" si="10"/>
        <v>2.3563342201665392</v>
      </c>
      <c r="Q254" s="4">
        <f t="shared" si="11"/>
        <v>16.048301500000001</v>
      </c>
    </row>
    <row r="255" spans="1:17" x14ac:dyDescent="0.4">
      <c r="A255">
        <v>20210806</v>
      </c>
      <c r="B255" s="1">
        <v>0.27083333333333331</v>
      </c>
      <c r="C255">
        <v>37785</v>
      </c>
      <c r="D255">
        <v>140859</v>
      </c>
      <c r="E255">
        <v>217098</v>
      </c>
      <c r="F255">
        <v>98143</v>
      </c>
      <c r="G255">
        <v>-23368</v>
      </c>
      <c r="H255">
        <v>-155764</v>
      </c>
      <c r="I255">
        <v>61425</v>
      </c>
      <c r="J255">
        <v>69048</v>
      </c>
      <c r="K255">
        <v>17011</v>
      </c>
      <c r="L255">
        <v>28795</v>
      </c>
      <c r="M255">
        <v>7.76</v>
      </c>
      <c r="N255">
        <f t="shared" si="9"/>
        <v>491032</v>
      </c>
      <c r="O255">
        <v>21303450</v>
      </c>
      <c r="P255" s="2">
        <f t="shared" si="10"/>
        <v>2.3049412184411446</v>
      </c>
      <c r="Q255" s="4">
        <f t="shared" si="11"/>
        <v>16.531477200000001</v>
      </c>
    </row>
    <row r="256" spans="1:17" x14ac:dyDescent="0.4">
      <c r="A256">
        <v>20210806</v>
      </c>
      <c r="B256" s="1">
        <v>0.29166666666666669</v>
      </c>
      <c r="C256">
        <v>44971</v>
      </c>
      <c r="D256">
        <v>245040</v>
      </c>
      <c r="E256">
        <v>408497</v>
      </c>
      <c r="F256">
        <v>41561</v>
      </c>
      <c r="G256">
        <v>4148</v>
      </c>
      <c r="H256">
        <v>-137137</v>
      </c>
      <c r="I256">
        <v>-51537</v>
      </c>
      <c r="J256">
        <v>18505</v>
      </c>
      <c r="K256">
        <v>198881</v>
      </c>
      <c r="L256">
        <v>28740</v>
      </c>
      <c r="M256">
        <v>7.65</v>
      </c>
      <c r="N256">
        <f t="shared" si="9"/>
        <v>801669</v>
      </c>
      <c r="O256">
        <v>22263900</v>
      </c>
      <c r="P256" s="2">
        <f t="shared" si="10"/>
        <v>3.6007572797218814</v>
      </c>
      <c r="Q256" s="4">
        <f t="shared" si="11"/>
        <v>17.031883499999999</v>
      </c>
    </row>
    <row r="257" spans="1:17" x14ac:dyDescent="0.4">
      <c r="A257">
        <v>20210806</v>
      </c>
      <c r="B257" s="1">
        <v>0.3125</v>
      </c>
      <c r="C257">
        <v>61861</v>
      </c>
      <c r="D257">
        <v>380422</v>
      </c>
      <c r="E257">
        <v>249370</v>
      </c>
      <c r="F257">
        <v>73041</v>
      </c>
      <c r="G257">
        <v>30620</v>
      </c>
      <c r="H257">
        <v>-88565</v>
      </c>
      <c r="I257">
        <v>609232</v>
      </c>
      <c r="J257">
        <v>22521</v>
      </c>
      <c r="K257">
        <v>336293</v>
      </c>
      <c r="L257">
        <v>18602</v>
      </c>
      <c r="M257">
        <v>7.82</v>
      </c>
      <c r="N257">
        <f t="shared" si="9"/>
        <v>1693397</v>
      </c>
      <c r="O257">
        <v>22761200</v>
      </c>
      <c r="P257" s="2">
        <f t="shared" si="10"/>
        <v>7.4398406059434476</v>
      </c>
      <c r="Q257" s="4">
        <f t="shared" si="11"/>
        <v>17.799258399999999</v>
      </c>
    </row>
    <row r="258" spans="1:17" x14ac:dyDescent="0.4">
      <c r="A258">
        <v>20210806</v>
      </c>
      <c r="B258" s="1">
        <v>0.33333333333333331</v>
      </c>
      <c r="C258">
        <v>2613</v>
      </c>
      <c r="D258">
        <v>349496</v>
      </c>
      <c r="E258">
        <v>585903</v>
      </c>
      <c r="F258">
        <v>107040</v>
      </c>
      <c r="G258">
        <v>32255</v>
      </c>
      <c r="H258">
        <v>83640</v>
      </c>
      <c r="I258">
        <v>118903</v>
      </c>
      <c r="J258">
        <v>18118</v>
      </c>
      <c r="K258">
        <v>388405</v>
      </c>
      <c r="L258">
        <v>29783</v>
      </c>
      <c r="M258">
        <v>7.79</v>
      </c>
      <c r="N258">
        <f t="shared" si="9"/>
        <v>1716156</v>
      </c>
      <c r="O258">
        <v>24586450</v>
      </c>
      <c r="P258" s="2">
        <f t="shared" si="10"/>
        <v>6.9800886260521544</v>
      </c>
      <c r="Q258" s="4">
        <f t="shared" si="11"/>
        <v>19.152844550000001</v>
      </c>
    </row>
    <row r="259" spans="1:17" x14ac:dyDescent="0.4">
      <c r="A259">
        <v>20210806</v>
      </c>
      <c r="B259" s="1">
        <v>0.35416666666666669</v>
      </c>
      <c r="C259">
        <v>70822</v>
      </c>
      <c r="D259">
        <v>339426</v>
      </c>
      <c r="E259">
        <v>391029</v>
      </c>
      <c r="F259">
        <v>53388</v>
      </c>
      <c r="G259">
        <v>54445</v>
      </c>
      <c r="H259">
        <v>205678</v>
      </c>
      <c r="I259">
        <v>141762</v>
      </c>
      <c r="J259">
        <v>41627</v>
      </c>
      <c r="K259">
        <v>562310</v>
      </c>
      <c r="L259">
        <v>15375</v>
      </c>
      <c r="M259">
        <v>8.86</v>
      </c>
      <c r="N259">
        <f t="shared" ref="N259:N322" si="12">C259+D259+E259+F259+G259+H259+I259+J259+K259+L259</f>
        <v>1875862</v>
      </c>
      <c r="O259">
        <v>25807100</v>
      </c>
      <c r="P259" s="2">
        <f t="shared" ref="P259:P322" si="13">((N259*100)/O259)</f>
        <v>7.2687826218366265</v>
      </c>
      <c r="Q259" s="4">
        <f t="shared" ref="Q259:Q322" si="14">(M259*O259)/10^7</f>
        <v>22.865090599999998</v>
      </c>
    </row>
    <row r="260" spans="1:17" x14ac:dyDescent="0.4">
      <c r="A260">
        <v>20210806</v>
      </c>
      <c r="B260" s="1">
        <v>0.375</v>
      </c>
      <c r="C260">
        <v>61992</v>
      </c>
      <c r="D260">
        <v>393995</v>
      </c>
      <c r="E260">
        <v>437649</v>
      </c>
      <c r="F260">
        <v>96167</v>
      </c>
      <c r="G260">
        <v>80738</v>
      </c>
      <c r="H260">
        <v>165192</v>
      </c>
      <c r="I260">
        <v>51726</v>
      </c>
      <c r="J260">
        <v>59760</v>
      </c>
      <c r="K260">
        <v>556185</v>
      </c>
      <c r="L260">
        <v>14425</v>
      </c>
      <c r="M260">
        <v>9.56</v>
      </c>
      <c r="N260">
        <f t="shared" si="12"/>
        <v>1917829</v>
      </c>
      <c r="O260">
        <v>26594300</v>
      </c>
      <c r="P260" s="2">
        <f t="shared" si="13"/>
        <v>7.2114287648105044</v>
      </c>
      <c r="Q260" s="4">
        <f t="shared" si="14"/>
        <v>25.4241508</v>
      </c>
    </row>
    <row r="261" spans="1:17" x14ac:dyDescent="0.4">
      <c r="A261">
        <v>20210806</v>
      </c>
      <c r="B261" s="1">
        <v>0.39583333333333331</v>
      </c>
      <c r="C261">
        <v>45232</v>
      </c>
      <c r="D261">
        <v>401454</v>
      </c>
      <c r="E261">
        <v>838519</v>
      </c>
      <c r="F261">
        <v>237972</v>
      </c>
      <c r="G261">
        <v>80542</v>
      </c>
      <c r="H261">
        <v>237557</v>
      </c>
      <c r="I261">
        <v>68951</v>
      </c>
      <c r="J261">
        <v>101898</v>
      </c>
      <c r="K261">
        <v>714362</v>
      </c>
      <c r="L261">
        <v>4378</v>
      </c>
      <c r="M261">
        <v>9.57</v>
      </c>
      <c r="N261">
        <f t="shared" si="12"/>
        <v>2730865</v>
      </c>
      <c r="O261">
        <v>27043700</v>
      </c>
      <c r="P261" s="2">
        <f t="shared" si="13"/>
        <v>10.097971061652068</v>
      </c>
      <c r="Q261" s="4">
        <f t="shared" si="14"/>
        <v>25.8808209</v>
      </c>
    </row>
    <row r="262" spans="1:17" x14ac:dyDescent="0.4">
      <c r="A262">
        <v>20210806</v>
      </c>
      <c r="B262" s="1">
        <v>0.41666666666666669</v>
      </c>
      <c r="C262">
        <v>17601</v>
      </c>
      <c r="D262">
        <v>514744</v>
      </c>
      <c r="E262">
        <v>824096</v>
      </c>
      <c r="F262">
        <v>392743</v>
      </c>
      <c r="G262">
        <v>51973</v>
      </c>
      <c r="H262">
        <v>274230</v>
      </c>
      <c r="I262">
        <v>102164</v>
      </c>
      <c r="J262">
        <v>100906</v>
      </c>
      <c r="K262">
        <v>590738</v>
      </c>
      <c r="L262">
        <v>-13124</v>
      </c>
      <c r="M262">
        <v>9.64</v>
      </c>
      <c r="N262">
        <f t="shared" si="12"/>
        <v>2856071</v>
      </c>
      <c r="O262">
        <v>27082000</v>
      </c>
      <c r="P262" s="2">
        <f t="shared" si="13"/>
        <v>10.546012111365483</v>
      </c>
      <c r="Q262" s="4">
        <f t="shared" si="14"/>
        <v>26.107048000000002</v>
      </c>
    </row>
    <row r="263" spans="1:17" x14ac:dyDescent="0.4">
      <c r="A263">
        <v>20210806</v>
      </c>
      <c r="B263" s="1">
        <v>0.4375</v>
      </c>
      <c r="C263">
        <v>39322</v>
      </c>
      <c r="D263">
        <v>489855</v>
      </c>
      <c r="E263">
        <v>869041</v>
      </c>
      <c r="F263">
        <v>478418</v>
      </c>
      <c r="G263">
        <v>48253</v>
      </c>
      <c r="H263">
        <v>306726</v>
      </c>
      <c r="I263">
        <v>60327</v>
      </c>
      <c r="J263">
        <v>86268</v>
      </c>
      <c r="K263">
        <v>682812</v>
      </c>
      <c r="L263">
        <v>-17231</v>
      </c>
      <c r="M263">
        <v>9.76</v>
      </c>
      <c r="N263">
        <f t="shared" si="12"/>
        <v>3043791</v>
      </c>
      <c r="O263">
        <v>27312750</v>
      </c>
      <c r="P263" s="2">
        <f t="shared" si="13"/>
        <v>11.144212867616773</v>
      </c>
      <c r="Q263" s="4">
        <f t="shared" si="14"/>
        <v>26.657243999999999</v>
      </c>
    </row>
    <row r="264" spans="1:17" x14ac:dyDescent="0.4">
      <c r="A264">
        <v>20210806</v>
      </c>
      <c r="B264" s="1">
        <v>0.45833333333333331</v>
      </c>
      <c r="C264">
        <v>946</v>
      </c>
      <c r="D264">
        <v>350534</v>
      </c>
      <c r="E264">
        <v>866302</v>
      </c>
      <c r="F264">
        <v>438308</v>
      </c>
      <c r="G264">
        <v>54750</v>
      </c>
      <c r="H264">
        <v>342875</v>
      </c>
      <c r="I264">
        <v>176859</v>
      </c>
      <c r="J264">
        <v>76196</v>
      </c>
      <c r="K264">
        <v>621486</v>
      </c>
      <c r="L264">
        <v>-2358</v>
      </c>
      <c r="M264">
        <v>10.27</v>
      </c>
      <c r="N264">
        <f t="shared" si="12"/>
        <v>2925898</v>
      </c>
      <c r="O264">
        <v>27681950</v>
      </c>
      <c r="P264" s="2">
        <f t="shared" si="13"/>
        <v>10.569696137735962</v>
      </c>
      <c r="Q264" s="4">
        <f t="shared" si="14"/>
        <v>28.429362650000002</v>
      </c>
    </row>
    <row r="265" spans="1:17" x14ac:dyDescent="0.4">
      <c r="A265">
        <v>20210806</v>
      </c>
      <c r="B265" s="1">
        <v>0.47916666666666669</v>
      </c>
      <c r="C265">
        <v>-20945</v>
      </c>
      <c r="D265">
        <v>393012</v>
      </c>
      <c r="E265">
        <v>982036</v>
      </c>
      <c r="F265">
        <v>620678</v>
      </c>
      <c r="G265">
        <v>55037</v>
      </c>
      <c r="H265">
        <v>392703</v>
      </c>
      <c r="I265">
        <v>151853</v>
      </c>
      <c r="J265">
        <v>-86886</v>
      </c>
      <c r="K265">
        <v>604721</v>
      </c>
      <c r="L265">
        <v>-5508</v>
      </c>
      <c r="M265">
        <v>10.27</v>
      </c>
      <c r="N265">
        <f t="shared" si="12"/>
        <v>3086701</v>
      </c>
      <c r="O265">
        <v>27610750</v>
      </c>
      <c r="P265" s="2">
        <f t="shared" si="13"/>
        <v>11.179345001493983</v>
      </c>
      <c r="Q265" s="4">
        <f t="shared" si="14"/>
        <v>28.356240249999999</v>
      </c>
    </row>
    <row r="266" spans="1:17" x14ac:dyDescent="0.4">
      <c r="A266">
        <v>20210806</v>
      </c>
      <c r="B266" s="1">
        <v>0.5</v>
      </c>
      <c r="C266">
        <v>-12992</v>
      </c>
      <c r="D266">
        <v>321556</v>
      </c>
      <c r="E266">
        <v>604538</v>
      </c>
      <c r="F266">
        <v>516570</v>
      </c>
      <c r="G266">
        <v>73271</v>
      </c>
      <c r="H266">
        <v>437258</v>
      </c>
      <c r="I266">
        <v>145473</v>
      </c>
      <c r="J266">
        <v>-123846</v>
      </c>
      <c r="K266">
        <v>561187</v>
      </c>
      <c r="L266">
        <v>-13298</v>
      </c>
      <c r="M266">
        <v>9.9499999999999993</v>
      </c>
      <c r="N266">
        <f t="shared" si="12"/>
        <v>2509717</v>
      </c>
      <c r="O266">
        <v>27484550</v>
      </c>
      <c r="P266" s="2">
        <f t="shared" si="13"/>
        <v>9.1313738081940574</v>
      </c>
      <c r="Q266" s="4">
        <f t="shared" si="14"/>
        <v>27.34712725</v>
      </c>
    </row>
    <row r="267" spans="1:17" x14ac:dyDescent="0.4">
      <c r="A267">
        <v>20210806</v>
      </c>
      <c r="B267" s="1">
        <v>0.52083333333333337</v>
      </c>
      <c r="C267">
        <v>19812</v>
      </c>
      <c r="D267">
        <v>317437</v>
      </c>
      <c r="E267">
        <v>596816</v>
      </c>
      <c r="F267">
        <v>305322</v>
      </c>
      <c r="G267">
        <v>71290</v>
      </c>
      <c r="H267">
        <v>360775</v>
      </c>
      <c r="I267">
        <v>202776</v>
      </c>
      <c r="J267">
        <v>-193012</v>
      </c>
      <c r="K267">
        <v>637360</v>
      </c>
      <c r="L267">
        <v>-13134</v>
      </c>
      <c r="M267">
        <v>9.9499999999999993</v>
      </c>
      <c r="N267">
        <f t="shared" si="12"/>
        <v>2305442</v>
      </c>
      <c r="O267">
        <v>27451800</v>
      </c>
      <c r="P267" s="2">
        <f t="shared" si="13"/>
        <v>8.3981451125244977</v>
      </c>
      <c r="Q267" s="4">
        <f t="shared" si="14"/>
        <v>27.314540999999998</v>
      </c>
    </row>
    <row r="268" spans="1:17" x14ac:dyDescent="0.4">
      <c r="A268">
        <v>20210806</v>
      </c>
      <c r="B268" s="1">
        <v>0.54166666666666663</v>
      </c>
      <c r="C268">
        <v>-76563</v>
      </c>
      <c r="D268">
        <v>413147</v>
      </c>
      <c r="E268">
        <v>828423</v>
      </c>
      <c r="F268">
        <v>473517</v>
      </c>
      <c r="G268">
        <v>41463</v>
      </c>
      <c r="H268">
        <v>234225</v>
      </c>
      <c r="I268">
        <v>189330</v>
      </c>
      <c r="J268">
        <v>-205649</v>
      </c>
      <c r="K268">
        <v>504223</v>
      </c>
      <c r="L268">
        <v>-5335</v>
      </c>
      <c r="M268">
        <v>10.02</v>
      </c>
      <c r="N268">
        <f t="shared" si="12"/>
        <v>2396781</v>
      </c>
      <c r="O268">
        <v>26893400</v>
      </c>
      <c r="P268" s="2">
        <f t="shared" si="13"/>
        <v>8.9121531676917005</v>
      </c>
      <c r="Q268" s="4">
        <f t="shared" si="14"/>
        <v>26.947186800000001</v>
      </c>
    </row>
    <row r="269" spans="1:17" x14ac:dyDescent="0.4">
      <c r="A269">
        <v>20210806</v>
      </c>
      <c r="B269" s="1">
        <v>0.5625</v>
      </c>
      <c r="C269">
        <v>-8234</v>
      </c>
      <c r="D269">
        <v>505295</v>
      </c>
      <c r="E269">
        <v>731181</v>
      </c>
      <c r="F269">
        <v>277903</v>
      </c>
      <c r="G269">
        <v>44025</v>
      </c>
      <c r="H269">
        <v>251461</v>
      </c>
      <c r="I269">
        <v>127450</v>
      </c>
      <c r="J269">
        <v>-163275</v>
      </c>
      <c r="K269">
        <v>461474</v>
      </c>
      <c r="L269">
        <v>-3580</v>
      </c>
      <c r="M269">
        <v>10.27</v>
      </c>
      <c r="N269">
        <f t="shared" si="12"/>
        <v>2223700</v>
      </c>
      <c r="O269">
        <v>26818500</v>
      </c>
      <c r="P269" s="2">
        <f t="shared" si="13"/>
        <v>8.2916643361858426</v>
      </c>
      <c r="Q269" s="4">
        <f t="shared" si="14"/>
        <v>27.542599500000001</v>
      </c>
    </row>
    <row r="270" spans="1:17" x14ac:dyDescent="0.4">
      <c r="A270">
        <v>20210806</v>
      </c>
      <c r="B270" s="1">
        <v>0.58333333333333337</v>
      </c>
      <c r="C270">
        <v>-49999</v>
      </c>
      <c r="D270">
        <v>448263</v>
      </c>
      <c r="E270">
        <v>733533</v>
      </c>
      <c r="F270">
        <v>304014</v>
      </c>
      <c r="G270">
        <v>48342</v>
      </c>
      <c r="H270">
        <v>35173</v>
      </c>
      <c r="I270">
        <v>128069</v>
      </c>
      <c r="J270">
        <v>-174380</v>
      </c>
      <c r="K270">
        <v>600378</v>
      </c>
      <c r="L270">
        <v>-11475</v>
      </c>
      <c r="M270">
        <v>10.35</v>
      </c>
      <c r="N270">
        <f t="shared" si="12"/>
        <v>2061918</v>
      </c>
      <c r="O270">
        <v>26407800</v>
      </c>
      <c r="P270" s="2">
        <f t="shared" si="13"/>
        <v>7.8079885488378435</v>
      </c>
      <c r="Q270" s="4">
        <f t="shared" si="14"/>
        <v>27.332073000000001</v>
      </c>
    </row>
    <row r="271" spans="1:17" x14ac:dyDescent="0.4">
      <c r="A271">
        <v>20210806</v>
      </c>
      <c r="B271" s="1">
        <v>0.60416666666666663</v>
      </c>
      <c r="C271">
        <v>-1385</v>
      </c>
      <c r="D271">
        <v>504899</v>
      </c>
      <c r="E271">
        <v>629556</v>
      </c>
      <c r="F271">
        <v>505278</v>
      </c>
      <c r="G271">
        <v>46289</v>
      </c>
      <c r="H271">
        <v>61028</v>
      </c>
      <c r="I271">
        <v>128784</v>
      </c>
      <c r="J271">
        <v>-141124</v>
      </c>
      <c r="K271">
        <v>650342</v>
      </c>
      <c r="L271">
        <v>-12198</v>
      </c>
      <c r="M271">
        <v>13.41</v>
      </c>
      <c r="N271">
        <f t="shared" si="12"/>
        <v>2371469</v>
      </c>
      <c r="O271">
        <v>26121350</v>
      </c>
      <c r="P271" s="2">
        <f t="shared" si="13"/>
        <v>9.0786617077601264</v>
      </c>
      <c r="Q271" s="4">
        <f t="shared" si="14"/>
        <v>35.028730349999996</v>
      </c>
    </row>
    <row r="272" spans="1:17" x14ac:dyDescent="0.4">
      <c r="A272">
        <v>20210806</v>
      </c>
      <c r="B272" s="1">
        <v>0.625</v>
      </c>
      <c r="C272">
        <v>-56636</v>
      </c>
      <c r="D272">
        <v>485879</v>
      </c>
      <c r="E272">
        <v>429013</v>
      </c>
      <c r="F272">
        <v>521180</v>
      </c>
      <c r="G272">
        <v>33845</v>
      </c>
      <c r="H272">
        <v>86585</v>
      </c>
      <c r="I272">
        <v>72175</v>
      </c>
      <c r="J272">
        <v>-132784</v>
      </c>
      <c r="K272">
        <v>600378</v>
      </c>
      <c r="L272">
        <v>-5134</v>
      </c>
      <c r="M272">
        <v>14.81</v>
      </c>
      <c r="N272">
        <f t="shared" si="12"/>
        <v>2034501</v>
      </c>
      <c r="O272">
        <v>25795350</v>
      </c>
      <c r="P272" s="2">
        <f t="shared" si="13"/>
        <v>7.8870843000773396</v>
      </c>
      <c r="Q272" s="4">
        <f t="shared" si="14"/>
        <v>38.202913350000003</v>
      </c>
    </row>
    <row r="273" spans="1:17" x14ac:dyDescent="0.4">
      <c r="A273">
        <v>20210806</v>
      </c>
      <c r="B273" s="1">
        <v>0.64583333333333337</v>
      </c>
      <c r="C273">
        <v>7045</v>
      </c>
      <c r="D273">
        <v>367472</v>
      </c>
      <c r="E273">
        <v>273944</v>
      </c>
      <c r="F273">
        <v>227115</v>
      </c>
      <c r="G273">
        <v>48878</v>
      </c>
      <c r="H273">
        <v>70826</v>
      </c>
      <c r="I273">
        <v>68894</v>
      </c>
      <c r="J273">
        <v>-98359</v>
      </c>
      <c r="K273">
        <v>446284</v>
      </c>
      <c r="L273">
        <v>-1561</v>
      </c>
      <c r="M273">
        <v>15.46</v>
      </c>
      <c r="N273">
        <f t="shared" si="12"/>
        <v>1410538</v>
      </c>
      <c r="O273">
        <v>25448300</v>
      </c>
      <c r="P273" s="2">
        <f t="shared" si="13"/>
        <v>5.5427592412852729</v>
      </c>
      <c r="Q273" s="4">
        <f t="shared" si="14"/>
        <v>39.343071799999997</v>
      </c>
    </row>
    <row r="274" spans="1:17" x14ac:dyDescent="0.4">
      <c r="A274">
        <v>20210806</v>
      </c>
      <c r="B274" s="1">
        <v>0.66666666666666663</v>
      </c>
      <c r="C274">
        <v>-50685</v>
      </c>
      <c r="D274">
        <v>193660</v>
      </c>
      <c r="E274">
        <v>-163500</v>
      </c>
      <c r="F274">
        <v>125068</v>
      </c>
      <c r="G274">
        <v>53055</v>
      </c>
      <c r="H274">
        <v>-5189</v>
      </c>
      <c r="I274">
        <v>96132</v>
      </c>
      <c r="J274">
        <v>-52176</v>
      </c>
      <c r="K274">
        <v>265436</v>
      </c>
      <c r="L274">
        <v>6283</v>
      </c>
      <c r="M274">
        <v>14.7</v>
      </c>
      <c r="N274">
        <f t="shared" si="12"/>
        <v>468084</v>
      </c>
      <c r="O274">
        <v>25842300</v>
      </c>
      <c r="P274" s="2">
        <f t="shared" si="13"/>
        <v>1.8113093648785132</v>
      </c>
      <c r="Q274" s="4">
        <f t="shared" si="14"/>
        <v>37.988180999999997</v>
      </c>
    </row>
    <row r="275" spans="1:17" x14ac:dyDescent="0.4">
      <c r="A275">
        <v>20210806</v>
      </c>
      <c r="B275" s="1">
        <v>0.6875</v>
      </c>
      <c r="C275">
        <v>-101126</v>
      </c>
      <c r="D275">
        <v>11505</v>
      </c>
      <c r="E275">
        <v>-507239</v>
      </c>
      <c r="F275">
        <v>52377</v>
      </c>
      <c r="G275">
        <v>29171</v>
      </c>
      <c r="H275">
        <v>143047</v>
      </c>
      <c r="I275">
        <v>108513</v>
      </c>
      <c r="J275">
        <v>-83531</v>
      </c>
      <c r="K275">
        <v>249626</v>
      </c>
      <c r="L275">
        <v>2163</v>
      </c>
      <c r="M275">
        <v>15.46</v>
      </c>
      <c r="N275">
        <f t="shared" si="12"/>
        <v>-95494</v>
      </c>
      <c r="O275">
        <v>25315750</v>
      </c>
      <c r="P275" s="2">
        <f t="shared" si="13"/>
        <v>-0.37721181477933696</v>
      </c>
      <c r="Q275" s="4">
        <f t="shared" si="14"/>
        <v>39.138149499999997</v>
      </c>
    </row>
    <row r="276" spans="1:17" x14ac:dyDescent="0.4">
      <c r="A276">
        <v>20210806</v>
      </c>
      <c r="B276" s="1">
        <v>0.70833333333333337</v>
      </c>
      <c r="C276">
        <v>-56792</v>
      </c>
      <c r="D276">
        <v>-93000</v>
      </c>
      <c r="E276">
        <v>-625347</v>
      </c>
      <c r="F276">
        <v>226780</v>
      </c>
      <c r="G276">
        <v>18979</v>
      </c>
      <c r="H276">
        <v>448489</v>
      </c>
      <c r="I276">
        <v>492314</v>
      </c>
      <c r="J276">
        <v>-25786</v>
      </c>
      <c r="K276">
        <v>146986</v>
      </c>
      <c r="L276">
        <v>682</v>
      </c>
      <c r="M276">
        <v>20</v>
      </c>
      <c r="N276">
        <f t="shared" si="12"/>
        <v>533305</v>
      </c>
      <c r="O276">
        <v>24519600</v>
      </c>
      <c r="P276" s="2">
        <f t="shared" si="13"/>
        <v>2.1750150899688414</v>
      </c>
      <c r="Q276" s="4">
        <f t="shared" si="14"/>
        <v>49.039200000000001</v>
      </c>
    </row>
    <row r="277" spans="1:17" x14ac:dyDescent="0.4">
      <c r="A277">
        <v>20210806</v>
      </c>
      <c r="B277" s="1">
        <v>0.72916666666666663</v>
      </c>
      <c r="C277">
        <v>-47941</v>
      </c>
      <c r="D277">
        <v>-84834</v>
      </c>
      <c r="E277">
        <v>-708038</v>
      </c>
      <c r="F277">
        <v>358507</v>
      </c>
      <c r="G277">
        <v>6433</v>
      </c>
      <c r="H277">
        <v>394822</v>
      </c>
      <c r="I277">
        <v>351941</v>
      </c>
      <c r="J277">
        <v>18184</v>
      </c>
      <c r="K277">
        <v>-17425</v>
      </c>
      <c r="L277">
        <v>7264</v>
      </c>
      <c r="M277">
        <v>20.81</v>
      </c>
      <c r="N277">
        <f t="shared" si="12"/>
        <v>278913</v>
      </c>
      <c r="O277">
        <v>24025900</v>
      </c>
      <c r="P277" s="2">
        <f t="shared" si="13"/>
        <v>1.1608847119150583</v>
      </c>
      <c r="Q277" s="4">
        <f t="shared" si="14"/>
        <v>49.997897899999991</v>
      </c>
    </row>
    <row r="278" spans="1:17" x14ac:dyDescent="0.4">
      <c r="A278">
        <v>20210806</v>
      </c>
      <c r="B278" s="1">
        <v>0.75</v>
      </c>
      <c r="C278">
        <v>-15285</v>
      </c>
      <c r="D278">
        <v>-30186</v>
      </c>
      <c r="E278">
        <v>-676192</v>
      </c>
      <c r="F278">
        <v>494634</v>
      </c>
      <c r="G278">
        <v>-6539</v>
      </c>
      <c r="H278">
        <v>490081</v>
      </c>
      <c r="I278">
        <v>80553</v>
      </c>
      <c r="J278">
        <v>78582</v>
      </c>
      <c r="K278">
        <v>19829</v>
      </c>
      <c r="L278">
        <v>13825</v>
      </c>
      <c r="M278">
        <v>20.79</v>
      </c>
      <c r="N278">
        <f t="shared" si="12"/>
        <v>449302</v>
      </c>
      <c r="O278">
        <v>23372750</v>
      </c>
      <c r="P278" s="2">
        <f t="shared" si="13"/>
        <v>1.9223326309484334</v>
      </c>
      <c r="Q278" s="4">
        <f t="shared" si="14"/>
        <v>48.591947249999997</v>
      </c>
    </row>
    <row r="279" spans="1:17" x14ac:dyDescent="0.4">
      <c r="A279">
        <v>20210806</v>
      </c>
      <c r="B279" s="1">
        <v>0.77083333333333337</v>
      </c>
      <c r="C279">
        <v>-9068</v>
      </c>
      <c r="D279">
        <v>100301</v>
      </c>
      <c r="E279">
        <v>-572718</v>
      </c>
      <c r="F279">
        <v>435254</v>
      </c>
      <c r="G279">
        <v>-3830</v>
      </c>
      <c r="H279">
        <v>399461</v>
      </c>
      <c r="I279">
        <v>68522</v>
      </c>
      <c r="J279">
        <v>123882</v>
      </c>
      <c r="K279">
        <v>-28691</v>
      </c>
      <c r="L279">
        <v>6885</v>
      </c>
      <c r="M279">
        <v>20.81</v>
      </c>
      <c r="N279">
        <f t="shared" si="12"/>
        <v>519998</v>
      </c>
      <c r="O279">
        <v>23475300</v>
      </c>
      <c r="P279" s="2">
        <f t="shared" si="13"/>
        <v>2.2150856432079675</v>
      </c>
      <c r="Q279" s="4">
        <f t="shared" si="14"/>
        <v>48.852099299999992</v>
      </c>
    </row>
    <row r="280" spans="1:17" x14ac:dyDescent="0.4">
      <c r="A280">
        <v>20210806</v>
      </c>
      <c r="B280" s="1">
        <v>0.79166666666666663</v>
      </c>
      <c r="C280">
        <v>-53987</v>
      </c>
      <c r="D280">
        <v>22608</v>
      </c>
      <c r="E280">
        <v>-576104</v>
      </c>
      <c r="F280">
        <v>348226</v>
      </c>
      <c r="G280">
        <v>-8111</v>
      </c>
      <c r="H280">
        <v>406148</v>
      </c>
      <c r="I280">
        <v>-21938</v>
      </c>
      <c r="J280">
        <v>160789</v>
      </c>
      <c r="K280">
        <v>33332</v>
      </c>
      <c r="L280">
        <v>7091</v>
      </c>
      <c r="M280">
        <v>16.2</v>
      </c>
      <c r="N280">
        <f t="shared" si="12"/>
        <v>318054</v>
      </c>
      <c r="O280">
        <v>23273400</v>
      </c>
      <c r="P280" s="2">
        <f t="shared" si="13"/>
        <v>1.3665987780040734</v>
      </c>
      <c r="Q280" s="4">
        <f t="shared" si="14"/>
        <v>37.702908000000001</v>
      </c>
    </row>
    <row r="281" spans="1:17" x14ac:dyDescent="0.4">
      <c r="A281">
        <v>20210806</v>
      </c>
      <c r="B281" s="1">
        <v>0.8125</v>
      </c>
      <c r="C281">
        <v>32107</v>
      </c>
      <c r="D281">
        <v>7855</v>
      </c>
      <c r="E281">
        <v>-779634</v>
      </c>
      <c r="F281">
        <v>381923</v>
      </c>
      <c r="G281">
        <v>1316</v>
      </c>
      <c r="H281">
        <v>396479</v>
      </c>
      <c r="I281">
        <v>-37942</v>
      </c>
      <c r="J281">
        <v>142652</v>
      </c>
      <c r="K281">
        <v>62135</v>
      </c>
      <c r="L281">
        <v>9202</v>
      </c>
      <c r="M281">
        <v>10.84</v>
      </c>
      <c r="N281">
        <f t="shared" si="12"/>
        <v>216093</v>
      </c>
      <c r="O281">
        <v>23221650</v>
      </c>
      <c r="P281" s="2">
        <f t="shared" si="13"/>
        <v>0.93056694937698226</v>
      </c>
      <c r="Q281" s="4">
        <f t="shared" si="14"/>
        <v>25.172268599999999</v>
      </c>
    </row>
    <row r="282" spans="1:17" x14ac:dyDescent="0.4">
      <c r="A282">
        <v>20210806</v>
      </c>
      <c r="B282" s="1">
        <v>0.83333333333333337</v>
      </c>
      <c r="C282">
        <v>35122</v>
      </c>
      <c r="D282">
        <v>90559</v>
      </c>
      <c r="E282">
        <v>-773180</v>
      </c>
      <c r="F282">
        <v>356471</v>
      </c>
      <c r="G282">
        <v>10189</v>
      </c>
      <c r="H282">
        <v>500639</v>
      </c>
      <c r="I282">
        <v>51754</v>
      </c>
      <c r="J282">
        <v>139491</v>
      </c>
      <c r="K282">
        <v>1006</v>
      </c>
      <c r="L282">
        <v>272</v>
      </c>
      <c r="M282">
        <v>10.220000000000001</v>
      </c>
      <c r="N282">
        <f t="shared" si="12"/>
        <v>412323</v>
      </c>
      <c r="O282">
        <v>22397050</v>
      </c>
      <c r="P282" s="2">
        <f t="shared" si="13"/>
        <v>1.8409701277623616</v>
      </c>
      <c r="Q282" s="4">
        <f t="shared" si="14"/>
        <v>22.889785100000001</v>
      </c>
    </row>
    <row r="283" spans="1:17" x14ac:dyDescent="0.4">
      <c r="A283">
        <v>20210806</v>
      </c>
      <c r="B283" s="1">
        <v>0.85416666666666663</v>
      </c>
      <c r="C283">
        <v>-14111</v>
      </c>
      <c r="D283">
        <v>40934</v>
      </c>
      <c r="E283">
        <v>-453649</v>
      </c>
      <c r="F283">
        <v>113407</v>
      </c>
      <c r="G283">
        <v>-28519</v>
      </c>
      <c r="H283">
        <v>220354</v>
      </c>
      <c r="I283">
        <v>-38614</v>
      </c>
      <c r="J283">
        <v>17190</v>
      </c>
      <c r="K283">
        <v>81243</v>
      </c>
      <c r="L283">
        <v>8974</v>
      </c>
      <c r="M283">
        <v>10.220000000000001</v>
      </c>
      <c r="N283">
        <f t="shared" si="12"/>
        <v>-52791</v>
      </c>
      <c r="O283">
        <v>22241950</v>
      </c>
      <c r="P283" s="2">
        <f t="shared" si="13"/>
        <v>-0.23734879360847408</v>
      </c>
      <c r="Q283" s="4">
        <f t="shared" si="14"/>
        <v>22.7312729</v>
      </c>
    </row>
    <row r="284" spans="1:17" x14ac:dyDescent="0.4">
      <c r="A284">
        <v>20210806</v>
      </c>
      <c r="B284" s="1">
        <v>0.875</v>
      </c>
      <c r="C284">
        <v>62128</v>
      </c>
      <c r="D284">
        <v>107797</v>
      </c>
      <c r="E284">
        <v>-436161</v>
      </c>
      <c r="F284">
        <v>31836</v>
      </c>
      <c r="G284">
        <v>-45896</v>
      </c>
      <c r="H284">
        <v>249882</v>
      </c>
      <c r="I284">
        <v>12120</v>
      </c>
      <c r="J284">
        <v>14574</v>
      </c>
      <c r="K284">
        <v>33772</v>
      </c>
      <c r="L284">
        <v>1767</v>
      </c>
      <c r="M284">
        <v>9.92</v>
      </c>
      <c r="N284">
        <f t="shared" si="12"/>
        <v>31819</v>
      </c>
      <c r="O284">
        <v>21954550</v>
      </c>
      <c r="P284" s="2">
        <f t="shared" si="13"/>
        <v>0.14493123293349214</v>
      </c>
      <c r="Q284" s="4">
        <f t="shared" si="14"/>
        <v>21.778913599999999</v>
      </c>
    </row>
    <row r="285" spans="1:17" x14ac:dyDescent="0.4">
      <c r="A285">
        <v>20210806</v>
      </c>
      <c r="B285" s="1">
        <v>0.89583333333333337</v>
      </c>
      <c r="C285">
        <v>57719</v>
      </c>
      <c r="D285">
        <v>60769</v>
      </c>
      <c r="E285">
        <v>-348709</v>
      </c>
      <c r="F285">
        <v>25321</v>
      </c>
      <c r="G285">
        <v>-35719</v>
      </c>
      <c r="H285">
        <v>199863</v>
      </c>
      <c r="I285">
        <v>-59055</v>
      </c>
      <c r="J285">
        <v>15977</v>
      </c>
      <c r="K285">
        <v>42851</v>
      </c>
      <c r="L285">
        <v>6518</v>
      </c>
      <c r="M285">
        <v>9.65</v>
      </c>
      <c r="N285">
        <f t="shared" si="12"/>
        <v>-34465</v>
      </c>
      <c r="O285">
        <v>21706150</v>
      </c>
      <c r="P285" s="2">
        <f t="shared" si="13"/>
        <v>-0.15877988496347809</v>
      </c>
      <c r="Q285" s="4">
        <f t="shared" si="14"/>
        <v>20.946434750000002</v>
      </c>
    </row>
    <row r="286" spans="1:17" x14ac:dyDescent="0.4">
      <c r="A286">
        <v>20210806</v>
      </c>
      <c r="B286" s="1">
        <v>0.91666666666666663</v>
      </c>
      <c r="C286">
        <v>63569</v>
      </c>
      <c r="D286">
        <v>101277</v>
      </c>
      <c r="E286">
        <v>-309760</v>
      </c>
      <c r="F286">
        <v>81355</v>
      </c>
      <c r="G286">
        <v>-59045</v>
      </c>
      <c r="H286">
        <v>88463</v>
      </c>
      <c r="I286">
        <v>-30888</v>
      </c>
      <c r="J286">
        <v>14110</v>
      </c>
      <c r="K286">
        <v>50291</v>
      </c>
      <c r="L286">
        <v>-3251</v>
      </c>
      <c r="M286">
        <v>9.61</v>
      </c>
      <c r="N286">
        <f t="shared" si="12"/>
        <v>-3879</v>
      </c>
      <c r="O286">
        <v>20804850</v>
      </c>
      <c r="P286" s="2">
        <f t="shared" si="13"/>
        <v>-1.8644691021564682E-2</v>
      </c>
      <c r="Q286" s="4">
        <f t="shared" si="14"/>
        <v>19.993460850000002</v>
      </c>
    </row>
    <row r="287" spans="1:17" x14ac:dyDescent="0.4">
      <c r="A287">
        <v>20210806</v>
      </c>
      <c r="B287" s="1">
        <v>0.9375</v>
      </c>
      <c r="C287">
        <v>12592</v>
      </c>
      <c r="D287">
        <v>52131</v>
      </c>
      <c r="E287">
        <v>-328693</v>
      </c>
      <c r="F287">
        <v>27728</v>
      </c>
      <c r="G287">
        <v>-60834</v>
      </c>
      <c r="H287">
        <v>66176</v>
      </c>
      <c r="I287">
        <v>-31292</v>
      </c>
      <c r="J287">
        <v>-281</v>
      </c>
      <c r="K287">
        <v>32278</v>
      </c>
      <c r="L287">
        <v>-992</v>
      </c>
      <c r="M287">
        <v>9.4600000000000009</v>
      </c>
      <c r="N287">
        <f t="shared" si="12"/>
        <v>-231187</v>
      </c>
      <c r="O287">
        <v>20767550</v>
      </c>
      <c r="P287" s="2">
        <f t="shared" si="13"/>
        <v>-1.1132126803595033</v>
      </c>
      <c r="Q287" s="4">
        <f t="shared" si="14"/>
        <v>19.646102300000003</v>
      </c>
    </row>
    <row r="288" spans="1:17" x14ac:dyDescent="0.4">
      <c r="A288">
        <v>20210806</v>
      </c>
      <c r="B288" s="1">
        <v>0.95833333333333337</v>
      </c>
      <c r="C288">
        <v>45679</v>
      </c>
      <c r="D288">
        <v>66674</v>
      </c>
      <c r="E288">
        <v>-445080</v>
      </c>
      <c r="F288">
        <v>13417</v>
      </c>
      <c r="G288">
        <v>-92805</v>
      </c>
      <c r="H288">
        <v>38845</v>
      </c>
      <c r="I288">
        <v>2672</v>
      </c>
      <c r="J288">
        <v>-2998</v>
      </c>
      <c r="K288">
        <v>3133</v>
      </c>
      <c r="L288">
        <v>-1400</v>
      </c>
      <c r="M288">
        <v>8.86</v>
      </c>
      <c r="N288">
        <f t="shared" si="12"/>
        <v>-371863</v>
      </c>
      <c r="O288">
        <v>19983850</v>
      </c>
      <c r="P288" s="2">
        <f t="shared" si="13"/>
        <v>-1.8608176102202529</v>
      </c>
      <c r="Q288" s="4">
        <f t="shared" si="14"/>
        <v>17.705691099999999</v>
      </c>
    </row>
    <row r="289" spans="1:17" x14ac:dyDescent="0.4">
      <c r="A289">
        <v>20210806</v>
      </c>
      <c r="B289" s="1">
        <v>0.97916666666666663</v>
      </c>
      <c r="C289">
        <v>56340</v>
      </c>
      <c r="D289">
        <v>102583</v>
      </c>
      <c r="E289">
        <v>-183603</v>
      </c>
      <c r="F289">
        <v>41049</v>
      </c>
      <c r="G289">
        <v>-62845</v>
      </c>
      <c r="H289">
        <v>21065</v>
      </c>
      <c r="I289">
        <v>-35454</v>
      </c>
      <c r="J289">
        <v>-6455</v>
      </c>
      <c r="K289">
        <v>27554</v>
      </c>
      <c r="L289">
        <v>4469</v>
      </c>
      <c r="M289">
        <v>8.66</v>
      </c>
      <c r="N289">
        <f t="shared" si="12"/>
        <v>-35297</v>
      </c>
      <c r="O289">
        <v>19589100</v>
      </c>
      <c r="P289" s="2">
        <f t="shared" si="13"/>
        <v>-0.1801869406966119</v>
      </c>
      <c r="Q289" s="4">
        <f t="shared" si="14"/>
        <v>16.9641606</v>
      </c>
    </row>
    <row r="290" spans="1:17" x14ac:dyDescent="0.4">
      <c r="A290">
        <v>20210807</v>
      </c>
      <c r="B290" s="1">
        <v>0</v>
      </c>
      <c r="C290">
        <v>31636</v>
      </c>
      <c r="D290">
        <v>-45990</v>
      </c>
      <c r="E290">
        <v>-437153</v>
      </c>
      <c r="F290">
        <v>-77310</v>
      </c>
      <c r="G290">
        <v>-29777</v>
      </c>
      <c r="H290">
        <v>90936</v>
      </c>
      <c r="I290">
        <v>34817</v>
      </c>
      <c r="J290">
        <v>-756</v>
      </c>
      <c r="K290">
        <v>15290</v>
      </c>
      <c r="L290">
        <v>3534</v>
      </c>
      <c r="M290">
        <v>8.86</v>
      </c>
      <c r="N290">
        <f t="shared" si="12"/>
        <v>-414773</v>
      </c>
      <c r="O290">
        <v>17648550</v>
      </c>
      <c r="P290" s="2">
        <f t="shared" si="13"/>
        <v>-2.3501817429760519</v>
      </c>
      <c r="Q290" s="4">
        <f t="shared" si="14"/>
        <v>15.636615300000001</v>
      </c>
    </row>
    <row r="291" spans="1:17" x14ac:dyDescent="0.4">
      <c r="A291">
        <v>20210807</v>
      </c>
      <c r="B291" s="1">
        <v>2.0833333333333332E-2</v>
      </c>
      <c r="C291">
        <v>23984</v>
      </c>
      <c r="D291">
        <v>-13672</v>
      </c>
      <c r="E291">
        <v>-298124</v>
      </c>
      <c r="F291">
        <v>-35657</v>
      </c>
      <c r="G291">
        <v>-35424</v>
      </c>
      <c r="H291">
        <v>69225</v>
      </c>
      <c r="I291">
        <v>42639</v>
      </c>
      <c r="J291">
        <v>-4439</v>
      </c>
      <c r="K291">
        <v>-5821</v>
      </c>
      <c r="L291">
        <v>4348</v>
      </c>
      <c r="M291">
        <v>9.06</v>
      </c>
      <c r="N291">
        <f t="shared" si="12"/>
        <v>-252941</v>
      </c>
      <c r="O291">
        <v>18288450</v>
      </c>
      <c r="P291" s="2">
        <f t="shared" si="13"/>
        <v>-1.3830641743832857</v>
      </c>
      <c r="Q291" s="4">
        <f t="shared" si="14"/>
        <v>16.5693357</v>
      </c>
    </row>
    <row r="292" spans="1:17" x14ac:dyDescent="0.4">
      <c r="A292">
        <v>20210807</v>
      </c>
      <c r="B292" s="1">
        <v>4.1666666666666664E-2</v>
      </c>
      <c r="C292">
        <v>54922</v>
      </c>
      <c r="D292">
        <v>-36826</v>
      </c>
      <c r="E292">
        <v>-442033</v>
      </c>
      <c r="F292">
        <v>-105155</v>
      </c>
      <c r="G292">
        <v>-32400</v>
      </c>
      <c r="H292">
        <v>7260</v>
      </c>
      <c r="I292">
        <v>32690</v>
      </c>
      <c r="J292">
        <v>28971</v>
      </c>
      <c r="K292">
        <v>-6150</v>
      </c>
      <c r="L292">
        <v>-2894</v>
      </c>
      <c r="M292">
        <v>8.86</v>
      </c>
      <c r="N292">
        <f t="shared" si="12"/>
        <v>-501615</v>
      </c>
      <c r="O292">
        <v>18651050</v>
      </c>
      <c r="P292" s="2">
        <f t="shared" si="13"/>
        <v>-2.6894732468145226</v>
      </c>
      <c r="Q292" s="4">
        <f t="shared" si="14"/>
        <v>16.524830300000001</v>
      </c>
    </row>
    <row r="293" spans="1:17" x14ac:dyDescent="0.4">
      <c r="A293">
        <v>20210807</v>
      </c>
      <c r="B293" s="1">
        <v>6.25E-2</v>
      </c>
      <c r="C293">
        <v>62669</v>
      </c>
      <c r="D293">
        <v>-51465</v>
      </c>
      <c r="E293">
        <v>-296417</v>
      </c>
      <c r="F293">
        <v>-27873</v>
      </c>
      <c r="G293">
        <v>-25985</v>
      </c>
      <c r="H293">
        <v>-38842</v>
      </c>
      <c r="I293">
        <v>47127</v>
      </c>
      <c r="J293">
        <v>30074</v>
      </c>
      <c r="K293">
        <v>40962</v>
      </c>
      <c r="L293">
        <v>194</v>
      </c>
      <c r="M293">
        <v>8.11</v>
      </c>
      <c r="N293">
        <f t="shared" si="12"/>
        <v>-259556</v>
      </c>
      <c r="O293">
        <v>18668450</v>
      </c>
      <c r="P293" s="2">
        <f t="shared" si="13"/>
        <v>-1.3903457437548377</v>
      </c>
      <c r="Q293" s="4">
        <f t="shared" si="14"/>
        <v>15.140112950000001</v>
      </c>
    </row>
    <row r="294" spans="1:17" x14ac:dyDescent="0.4">
      <c r="A294">
        <v>20210807</v>
      </c>
      <c r="B294" s="1">
        <v>8.3333333333333329E-2</v>
      </c>
      <c r="C294">
        <v>45717</v>
      </c>
      <c r="D294">
        <v>-5648</v>
      </c>
      <c r="E294">
        <v>-382188</v>
      </c>
      <c r="F294">
        <v>-10501</v>
      </c>
      <c r="G294">
        <v>-29677</v>
      </c>
      <c r="H294">
        <v>-65271</v>
      </c>
      <c r="I294">
        <v>91375</v>
      </c>
      <c r="J294">
        <v>22697</v>
      </c>
      <c r="K294">
        <v>42356</v>
      </c>
      <c r="L294">
        <v>8761</v>
      </c>
      <c r="M294">
        <v>7.89</v>
      </c>
      <c r="N294">
        <f t="shared" si="12"/>
        <v>-282379</v>
      </c>
      <c r="O294">
        <v>18686600</v>
      </c>
      <c r="P294" s="2">
        <f t="shared" si="13"/>
        <v>-1.5111309708561216</v>
      </c>
      <c r="Q294" s="4">
        <f t="shared" si="14"/>
        <v>14.743727399999999</v>
      </c>
    </row>
    <row r="295" spans="1:17" x14ac:dyDescent="0.4">
      <c r="A295">
        <v>20210807</v>
      </c>
      <c r="B295" s="1">
        <v>0.10416666666666667</v>
      </c>
      <c r="C295">
        <v>72988</v>
      </c>
      <c r="D295">
        <v>9331</v>
      </c>
      <c r="E295">
        <v>-295633</v>
      </c>
      <c r="F295">
        <v>-58004</v>
      </c>
      <c r="G295">
        <v>-31641</v>
      </c>
      <c r="H295">
        <v>-124862</v>
      </c>
      <c r="I295">
        <v>77484</v>
      </c>
      <c r="J295">
        <v>26952</v>
      </c>
      <c r="K295">
        <v>41846</v>
      </c>
      <c r="L295">
        <v>-1897</v>
      </c>
      <c r="M295">
        <v>7.89</v>
      </c>
      <c r="N295">
        <f t="shared" si="12"/>
        <v>-283436</v>
      </c>
      <c r="O295">
        <v>18683550</v>
      </c>
      <c r="P295" s="2">
        <f t="shared" si="13"/>
        <v>-1.517035038844331</v>
      </c>
      <c r="Q295" s="4">
        <f t="shared" si="14"/>
        <v>14.74132095</v>
      </c>
    </row>
    <row r="296" spans="1:17" x14ac:dyDescent="0.4">
      <c r="A296">
        <v>20210807</v>
      </c>
      <c r="B296" s="1">
        <v>0.125</v>
      </c>
      <c r="C296">
        <v>99801</v>
      </c>
      <c r="D296">
        <v>-7181</v>
      </c>
      <c r="E296">
        <v>-375943</v>
      </c>
      <c r="F296">
        <v>-126801</v>
      </c>
      <c r="G296">
        <v>-13819</v>
      </c>
      <c r="H296">
        <v>28287</v>
      </c>
      <c r="I296">
        <v>78541</v>
      </c>
      <c r="J296">
        <v>31271</v>
      </c>
      <c r="K296">
        <v>57537</v>
      </c>
      <c r="L296">
        <v>646</v>
      </c>
      <c r="M296">
        <v>8.11</v>
      </c>
      <c r="N296">
        <f t="shared" si="12"/>
        <v>-227661</v>
      </c>
      <c r="O296">
        <v>18667800</v>
      </c>
      <c r="P296" s="2">
        <f t="shared" si="13"/>
        <v>-1.2195384565937069</v>
      </c>
      <c r="Q296" s="4">
        <f t="shared" si="14"/>
        <v>15.139585800000001</v>
      </c>
    </row>
    <row r="297" spans="1:17" x14ac:dyDescent="0.4">
      <c r="A297">
        <v>20210807</v>
      </c>
      <c r="B297" s="1">
        <v>0.14583333333333334</v>
      </c>
      <c r="C297">
        <v>31324</v>
      </c>
      <c r="D297">
        <v>17095</v>
      </c>
      <c r="E297">
        <v>-311444</v>
      </c>
      <c r="F297">
        <v>-65746</v>
      </c>
      <c r="G297">
        <v>4136</v>
      </c>
      <c r="H297">
        <v>-14064</v>
      </c>
      <c r="I297">
        <v>50188</v>
      </c>
      <c r="J297">
        <v>32301</v>
      </c>
      <c r="K297">
        <v>56508</v>
      </c>
      <c r="L297">
        <v>-1463</v>
      </c>
      <c r="M297">
        <v>7.9</v>
      </c>
      <c r="N297">
        <f t="shared" si="12"/>
        <v>-201165</v>
      </c>
      <c r="O297">
        <v>18784800</v>
      </c>
      <c r="P297" s="2">
        <f t="shared" si="13"/>
        <v>-1.0708924236616839</v>
      </c>
      <c r="Q297" s="4">
        <f t="shared" si="14"/>
        <v>14.839992000000001</v>
      </c>
    </row>
    <row r="298" spans="1:17" x14ac:dyDescent="0.4">
      <c r="A298">
        <v>20210807</v>
      </c>
      <c r="B298" s="1">
        <v>0.16666666666666666</v>
      </c>
      <c r="C298">
        <v>28160</v>
      </c>
      <c r="D298">
        <v>11949</v>
      </c>
      <c r="E298">
        <v>-282957</v>
      </c>
      <c r="F298">
        <v>-41188</v>
      </c>
      <c r="G298">
        <v>-11941</v>
      </c>
      <c r="H298">
        <v>1112</v>
      </c>
      <c r="I298">
        <v>121752</v>
      </c>
      <c r="J298">
        <v>47052</v>
      </c>
      <c r="K298">
        <v>61136</v>
      </c>
      <c r="L298">
        <v>-4101</v>
      </c>
      <c r="M298">
        <v>8.66</v>
      </c>
      <c r="N298">
        <f t="shared" si="12"/>
        <v>-69026</v>
      </c>
      <c r="O298">
        <v>18928500</v>
      </c>
      <c r="P298" s="2">
        <f t="shared" si="13"/>
        <v>-0.36466703647938292</v>
      </c>
      <c r="Q298" s="4">
        <f t="shared" si="14"/>
        <v>16.392081000000001</v>
      </c>
    </row>
    <row r="299" spans="1:17" x14ac:dyDescent="0.4">
      <c r="A299">
        <v>20210807</v>
      </c>
      <c r="B299" s="1">
        <v>0.1875</v>
      </c>
      <c r="C299">
        <v>112580</v>
      </c>
      <c r="D299">
        <v>33806</v>
      </c>
      <c r="E299">
        <v>-320800</v>
      </c>
      <c r="F299">
        <v>25561</v>
      </c>
      <c r="G299">
        <v>-11810</v>
      </c>
      <c r="H299">
        <v>-38753</v>
      </c>
      <c r="I299">
        <v>27288</v>
      </c>
      <c r="J299">
        <v>35571</v>
      </c>
      <c r="K299">
        <v>42693</v>
      </c>
      <c r="L299">
        <v>-8847</v>
      </c>
      <c r="M299">
        <v>8.4</v>
      </c>
      <c r="N299">
        <f t="shared" si="12"/>
        <v>-102711</v>
      </c>
      <c r="O299">
        <v>19008200</v>
      </c>
      <c r="P299" s="2">
        <f t="shared" si="13"/>
        <v>-0.5403510064077609</v>
      </c>
      <c r="Q299" s="4">
        <f t="shared" si="14"/>
        <v>15.966888000000001</v>
      </c>
    </row>
    <row r="300" spans="1:17" x14ac:dyDescent="0.4">
      <c r="A300">
        <v>20210807</v>
      </c>
      <c r="B300" s="1">
        <v>0.20833333333333334</v>
      </c>
      <c r="C300">
        <v>22347</v>
      </c>
      <c r="D300">
        <v>91657</v>
      </c>
      <c r="E300">
        <v>-299450</v>
      </c>
      <c r="F300">
        <v>-42685</v>
      </c>
      <c r="G300">
        <v>-20124</v>
      </c>
      <c r="H300">
        <v>-25554</v>
      </c>
      <c r="I300">
        <v>-21029</v>
      </c>
      <c r="J300">
        <v>22206</v>
      </c>
      <c r="K300">
        <v>43355</v>
      </c>
      <c r="L300">
        <v>-6361</v>
      </c>
      <c r="M300">
        <v>7.89</v>
      </c>
      <c r="N300">
        <f t="shared" si="12"/>
        <v>-235638</v>
      </c>
      <c r="O300">
        <v>18948400</v>
      </c>
      <c r="P300" s="2">
        <f t="shared" si="13"/>
        <v>-1.2435772941250975</v>
      </c>
      <c r="Q300" s="4">
        <f t="shared" si="14"/>
        <v>14.950287599999999</v>
      </c>
    </row>
    <row r="301" spans="1:17" x14ac:dyDescent="0.4">
      <c r="A301">
        <v>20210807</v>
      </c>
      <c r="B301" s="1">
        <v>0.22916666666666666</v>
      </c>
      <c r="C301">
        <v>8544</v>
      </c>
      <c r="D301">
        <v>116963</v>
      </c>
      <c r="E301">
        <v>-287450</v>
      </c>
      <c r="F301">
        <v>18939</v>
      </c>
      <c r="G301">
        <v>3628</v>
      </c>
      <c r="H301">
        <v>75607</v>
      </c>
      <c r="I301">
        <v>15359</v>
      </c>
      <c r="J301">
        <v>10744</v>
      </c>
      <c r="K301">
        <v>-4713</v>
      </c>
      <c r="L301">
        <v>-5107</v>
      </c>
      <c r="M301">
        <v>7.89</v>
      </c>
      <c r="N301">
        <f t="shared" si="12"/>
        <v>-47486</v>
      </c>
      <c r="O301">
        <v>19029750</v>
      </c>
      <c r="P301" s="2">
        <f t="shared" si="13"/>
        <v>-0.24953559558060406</v>
      </c>
      <c r="Q301" s="4">
        <f t="shared" si="14"/>
        <v>15.014472749999999</v>
      </c>
    </row>
    <row r="302" spans="1:17" x14ac:dyDescent="0.4">
      <c r="A302">
        <v>20210807</v>
      </c>
      <c r="B302" s="1">
        <v>0.25</v>
      </c>
      <c r="C302">
        <v>-8291</v>
      </c>
      <c r="D302">
        <v>135480</v>
      </c>
      <c r="E302">
        <v>-160268</v>
      </c>
      <c r="F302">
        <v>-42599</v>
      </c>
      <c r="G302">
        <v>9969</v>
      </c>
      <c r="H302">
        <v>57496</v>
      </c>
      <c r="I302">
        <v>-12106</v>
      </c>
      <c r="J302">
        <v>49858</v>
      </c>
      <c r="K302">
        <v>-119930</v>
      </c>
      <c r="L302">
        <v>-2220</v>
      </c>
      <c r="M302">
        <v>7.75</v>
      </c>
      <c r="N302">
        <f t="shared" si="12"/>
        <v>-92611</v>
      </c>
      <c r="O302">
        <v>19465250</v>
      </c>
      <c r="P302" s="2">
        <f t="shared" si="13"/>
        <v>-0.47577606247029963</v>
      </c>
      <c r="Q302" s="4">
        <f t="shared" si="14"/>
        <v>15.08556875</v>
      </c>
    </row>
    <row r="303" spans="1:17" x14ac:dyDescent="0.4">
      <c r="A303">
        <v>20210807</v>
      </c>
      <c r="B303" s="1">
        <v>0.27083333333333331</v>
      </c>
      <c r="C303">
        <v>-52836</v>
      </c>
      <c r="D303">
        <v>143325</v>
      </c>
      <c r="E303">
        <v>-87830</v>
      </c>
      <c r="F303">
        <v>81574</v>
      </c>
      <c r="G303">
        <v>7382</v>
      </c>
      <c r="H303">
        <v>-54237</v>
      </c>
      <c r="I303">
        <v>-126630</v>
      </c>
      <c r="J303">
        <v>52703</v>
      </c>
      <c r="K303">
        <v>-201431</v>
      </c>
      <c r="L303">
        <v>-8280</v>
      </c>
      <c r="M303">
        <v>7.75</v>
      </c>
      <c r="N303">
        <f t="shared" si="12"/>
        <v>-246260</v>
      </c>
      <c r="O303">
        <v>19865800</v>
      </c>
      <c r="P303" s="2">
        <f t="shared" si="13"/>
        <v>-1.2396178356773953</v>
      </c>
      <c r="Q303" s="4">
        <f t="shared" si="14"/>
        <v>15.395994999999999</v>
      </c>
    </row>
    <row r="304" spans="1:17" x14ac:dyDescent="0.4">
      <c r="A304">
        <v>20210807</v>
      </c>
      <c r="B304" s="1">
        <v>0.29166666666666669</v>
      </c>
      <c r="C304">
        <v>28928</v>
      </c>
      <c r="D304">
        <v>220242</v>
      </c>
      <c r="E304">
        <v>109236</v>
      </c>
      <c r="F304">
        <v>85689</v>
      </c>
      <c r="G304">
        <v>-17641</v>
      </c>
      <c r="H304">
        <v>-110090</v>
      </c>
      <c r="I304">
        <v>-22353</v>
      </c>
      <c r="J304">
        <v>60166</v>
      </c>
      <c r="K304">
        <v>-270845</v>
      </c>
      <c r="L304">
        <v>2315</v>
      </c>
      <c r="M304">
        <v>7.85</v>
      </c>
      <c r="N304">
        <f t="shared" si="12"/>
        <v>85647</v>
      </c>
      <c r="O304">
        <v>20286950</v>
      </c>
      <c r="P304" s="2">
        <f t="shared" si="13"/>
        <v>0.42217780395771665</v>
      </c>
      <c r="Q304" s="4">
        <f t="shared" si="14"/>
        <v>15.92525575</v>
      </c>
    </row>
    <row r="305" spans="1:17" x14ac:dyDescent="0.4">
      <c r="A305">
        <v>20210807</v>
      </c>
      <c r="B305" s="1">
        <v>0.3125</v>
      </c>
      <c r="C305">
        <v>-12877</v>
      </c>
      <c r="D305">
        <v>218114</v>
      </c>
      <c r="E305">
        <v>30356</v>
      </c>
      <c r="F305">
        <v>392713</v>
      </c>
      <c r="G305">
        <v>-27335</v>
      </c>
      <c r="H305">
        <v>50280</v>
      </c>
      <c r="I305">
        <v>96786</v>
      </c>
      <c r="J305">
        <v>120730</v>
      </c>
      <c r="K305">
        <v>-269910</v>
      </c>
      <c r="L305">
        <v>-1355</v>
      </c>
      <c r="M305">
        <v>8.11</v>
      </c>
      <c r="N305">
        <f t="shared" si="12"/>
        <v>597502</v>
      </c>
      <c r="O305">
        <v>20669650</v>
      </c>
      <c r="P305" s="2">
        <f t="shared" si="13"/>
        <v>2.8907214200530729</v>
      </c>
      <c r="Q305" s="4">
        <f t="shared" si="14"/>
        <v>16.763086149999999</v>
      </c>
    </row>
    <row r="306" spans="1:17" x14ac:dyDescent="0.4">
      <c r="A306">
        <v>20210807</v>
      </c>
      <c r="B306" s="1">
        <v>0.33333333333333331</v>
      </c>
      <c r="C306">
        <v>15142</v>
      </c>
      <c r="D306">
        <v>226791</v>
      </c>
      <c r="E306">
        <v>546060</v>
      </c>
      <c r="F306">
        <v>527985</v>
      </c>
      <c r="G306">
        <v>-12435</v>
      </c>
      <c r="H306">
        <v>84301</v>
      </c>
      <c r="I306">
        <v>177756</v>
      </c>
      <c r="J306">
        <v>153146</v>
      </c>
      <c r="K306">
        <v>-319538</v>
      </c>
      <c r="L306">
        <v>5017</v>
      </c>
      <c r="M306">
        <v>8.86</v>
      </c>
      <c r="N306">
        <f t="shared" si="12"/>
        <v>1404225</v>
      </c>
      <c r="O306">
        <v>21446150</v>
      </c>
      <c r="P306" s="2">
        <f t="shared" si="13"/>
        <v>6.547678720889297</v>
      </c>
      <c r="Q306" s="4">
        <f t="shared" si="14"/>
        <v>19.001288899999999</v>
      </c>
    </row>
    <row r="307" spans="1:17" x14ac:dyDescent="0.4">
      <c r="A307">
        <v>20210807</v>
      </c>
      <c r="B307" s="1">
        <v>0.35416666666666669</v>
      </c>
      <c r="C307">
        <v>-20057</v>
      </c>
      <c r="D307">
        <v>85962</v>
      </c>
      <c r="E307">
        <v>456024</v>
      </c>
      <c r="F307">
        <v>588131</v>
      </c>
      <c r="G307">
        <v>88</v>
      </c>
      <c r="H307">
        <v>162681</v>
      </c>
      <c r="I307">
        <v>197360</v>
      </c>
      <c r="J307">
        <v>173052</v>
      </c>
      <c r="K307">
        <v>-401275</v>
      </c>
      <c r="L307">
        <v>-22036</v>
      </c>
      <c r="M307">
        <v>8.86</v>
      </c>
      <c r="N307">
        <f t="shared" si="12"/>
        <v>1219930</v>
      </c>
      <c r="O307">
        <v>21805050</v>
      </c>
      <c r="P307" s="2">
        <f t="shared" si="13"/>
        <v>5.5947131513112787</v>
      </c>
      <c r="Q307" s="4">
        <f t="shared" si="14"/>
        <v>19.3192743</v>
      </c>
    </row>
    <row r="308" spans="1:17" x14ac:dyDescent="0.4">
      <c r="A308">
        <v>20210807</v>
      </c>
      <c r="B308" s="1">
        <v>0.375</v>
      </c>
      <c r="C308">
        <v>24545</v>
      </c>
      <c r="D308">
        <v>97714</v>
      </c>
      <c r="E308">
        <v>598700</v>
      </c>
      <c r="F308">
        <v>669000</v>
      </c>
      <c r="G308">
        <v>9310</v>
      </c>
      <c r="H308">
        <v>99999</v>
      </c>
      <c r="I308">
        <v>242623</v>
      </c>
      <c r="J308">
        <v>227749</v>
      </c>
      <c r="K308">
        <v>-512492</v>
      </c>
      <c r="L308">
        <v>-35654</v>
      </c>
      <c r="M308">
        <v>9.56</v>
      </c>
      <c r="N308">
        <f t="shared" si="12"/>
        <v>1421494</v>
      </c>
      <c r="O308">
        <v>22233350</v>
      </c>
      <c r="P308" s="2">
        <f t="shared" si="13"/>
        <v>6.3935214441368489</v>
      </c>
      <c r="Q308" s="4">
        <f t="shared" si="14"/>
        <v>21.255082600000001</v>
      </c>
    </row>
    <row r="309" spans="1:17" x14ac:dyDescent="0.4">
      <c r="A309">
        <v>20210807</v>
      </c>
      <c r="B309" s="1">
        <v>0.39583333333333331</v>
      </c>
      <c r="C309">
        <v>44818</v>
      </c>
      <c r="D309">
        <v>-10006</v>
      </c>
      <c r="E309">
        <v>673241</v>
      </c>
      <c r="F309">
        <v>632284</v>
      </c>
      <c r="G309">
        <v>-9971</v>
      </c>
      <c r="H309">
        <v>202478</v>
      </c>
      <c r="I309">
        <v>251003</v>
      </c>
      <c r="J309">
        <v>218168</v>
      </c>
      <c r="K309">
        <v>-557596</v>
      </c>
      <c r="L309">
        <v>-26145</v>
      </c>
      <c r="M309">
        <v>9.49</v>
      </c>
      <c r="N309">
        <f t="shared" si="12"/>
        <v>1418274</v>
      </c>
      <c r="O309">
        <v>22476300</v>
      </c>
      <c r="P309" s="2">
        <f t="shared" si="13"/>
        <v>6.310086624577889</v>
      </c>
      <c r="Q309" s="4">
        <f t="shared" si="14"/>
        <v>21.3300087</v>
      </c>
    </row>
    <row r="310" spans="1:17" x14ac:dyDescent="0.4">
      <c r="A310">
        <v>20210807</v>
      </c>
      <c r="B310" s="1">
        <v>0.41666666666666669</v>
      </c>
      <c r="C310">
        <v>107124</v>
      </c>
      <c r="D310">
        <v>58281</v>
      </c>
      <c r="E310">
        <v>654342</v>
      </c>
      <c r="F310">
        <v>623445</v>
      </c>
      <c r="G310">
        <v>6010</v>
      </c>
      <c r="H310">
        <v>186834</v>
      </c>
      <c r="I310">
        <v>349298</v>
      </c>
      <c r="J310">
        <v>201865</v>
      </c>
      <c r="K310">
        <v>-481815</v>
      </c>
      <c r="L310">
        <v>-21559</v>
      </c>
      <c r="M310">
        <v>9.57</v>
      </c>
      <c r="N310">
        <f t="shared" si="12"/>
        <v>1683825</v>
      </c>
      <c r="O310">
        <v>22756950</v>
      </c>
      <c r="P310" s="2">
        <f t="shared" si="13"/>
        <v>7.3991681662085647</v>
      </c>
      <c r="Q310" s="4">
        <f t="shared" si="14"/>
        <v>21.778401150000001</v>
      </c>
    </row>
    <row r="311" spans="1:17" x14ac:dyDescent="0.4">
      <c r="A311">
        <v>20210807</v>
      </c>
      <c r="B311" s="1">
        <v>0.4375</v>
      </c>
      <c r="C311">
        <v>101142</v>
      </c>
      <c r="D311">
        <v>6239</v>
      </c>
      <c r="E311">
        <v>686884</v>
      </c>
      <c r="F311">
        <v>850068</v>
      </c>
      <c r="G311">
        <v>52110</v>
      </c>
      <c r="H311">
        <v>267489</v>
      </c>
      <c r="I311">
        <v>370033</v>
      </c>
      <c r="J311">
        <v>192209</v>
      </c>
      <c r="K311">
        <v>-314605</v>
      </c>
      <c r="L311">
        <v>-29529</v>
      </c>
      <c r="M311">
        <v>9.4600000000000009</v>
      </c>
      <c r="N311">
        <f t="shared" si="12"/>
        <v>2182040</v>
      </c>
      <c r="O311">
        <v>22965550</v>
      </c>
      <c r="P311" s="2">
        <f t="shared" si="13"/>
        <v>9.5013618223817851</v>
      </c>
      <c r="Q311" s="4">
        <f t="shared" si="14"/>
        <v>21.725410300000004</v>
      </c>
    </row>
    <row r="312" spans="1:17" x14ac:dyDescent="0.4">
      <c r="A312">
        <v>20210807</v>
      </c>
      <c r="B312" s="1">
        <v>0.45833333333333331</v>
      </c>
      <c r="C312">
        <v>152496</v>
      </c>
      <c r="D312">
        <v>110780</v>
      </c>
      <c r="E312">
        <v>1260104</v>
      </c>
      <c r="F312">
        <v>764117</v>
      </c>
      <c r="G312">
        <v>86389</v>
      </c>
      <c r="H312">
        <v>231971</v>
      </c>
      <c r="I312">
        <v>330759</v>
      </c>
      <c r="J312">
        <v>187362</v>
      </c>
      <c r="K312">
        <v>-223185</v>
      </c>
      <c r="L312">
        <v>-25672</v>
      </c>
      <c r="M312">
        <v>9.5500000000000007</v>
      </c>
      <c r="N312">
        <f t="shared" si="12"/>
        <v>2875121</v>
      </c>
      <c r="O312">
        <v>23149000</v>
      </c>
      <c r="P312" s="2">
        <f t="shared" si="13"/>
        <v>12.420065661583653</v>
      </c>
      <c r="Q312" s="4">
        <f t="shared" si="14"/>
        <v>22.107295000000004</v>
      </c>
    </row>
    <row r="313" spans="1:17" x14ac:dyDescent="0.4">
      <c r="A313">
        <v>20210807</v>
      </c>
      <c r="B313" s="1">
        <v>0.47916666666666669</v>
      </c>
      <c r="C313">
        <v>107395</v>
      </c>
      <c r="D313">
        <v>206162</v>
      </c>
      <c r="E313">
        <v>955309</v>
      </c>
      <c r="F313">
        <v>749780</v>
      </c>
      <c r="G313">
        <v>41701</v>
      </c>
      <c r="H313">
        <v>339540</v>
      </c>
      <c r="I313">
        <v>317782</v>
      </c>
      <c r="J313">
        <v>172752</v>
      </c>
      <c r="K313">
        <v>-149349</v>
      </c>
      <c r="L313">
        <v>-11119</v>
      </c>
      <c r="M313">
        <v>9.25</v>
      </c>
      <c r="N313">
        <f t="shared" si="12"/>
        <v>2729953</v>
      </c>
      <c r="O313">
        <v>23888550</v>
      </c>
      <c r="P313" s="2">
        <f t="shared" si="13"/>
        <v>11.42787234888681</v>
      </c>
      <c r="Q313" s="4">
        <f t="shared" si="14"/>
        <v>22.096908750000001</v>
      </c>
    </row>
    <row r="314" spans="1:17" x14ac:dyDescent="0.4">
      <c r="A314">
        <v>20210807</v>
      </c>
      <c r="B314" s="1">
        <v>0.5</v>
      </c>
      <c r="C314">
        <v>153887</v>
      </c>
      <c r="D314">
        <v>296138</v>
      </c>
      <c r="E314">
        <v>1286283</v>
      </c>
      <c r="F314">
        <v>795997</v>
      </c>
      <c r="G314">
        <v>26993</v>
      </c>
      <c r="H314">
        <v>259086</v>
      </c>
      <c r="I314">
        <v>162156</v>
      </c>
      <c r="J314">
        <v>180281</v>
      </c>
      <c r="K314">
        <v>-151294</v>
      </c>
      <c r="L314">
        <v>-354</v>
      </c>
      <c r="M314">
        <v>9.32</v>
      </c>
      <c r="N314">
        <f t="shared" si="12"/>
        <v>3009173</v>
      </c>
      <c r="O314">
        <v>23593550</v>
      </c>
      <c r="P314" s="2">
        <f t="shared" si="13"/>
        <v>12.754218843709404</v>
      </c>
      <c r="Q314" s="4">
        <f t="shared" si="14"/>
        <v>21.989188599999999</v>
      </c>
    </row>
    <row r="315" spans="1:17" x14ac:dyDescent="0.4">
      <c r="A315">
        <v>20210807</v>
      </c>
      <c r="B315" s="1">
        <v>0.52083333333333337</v>
      </c>
      <c r="C315">
        <v>169732</v>
      </c>
      <c r="D315">
        <v>540619</v>
      </c>
      <c r="E315">
        <v>1107198</v>
      </c>
      <c r="F315">
        <v>740256</v>
      </c>
      <c r="G315">
        <v>39204</v>
      </c>
      <c r="H315">
        <v>364016</v>
      </c>
      <c r="I315">
        <v>161471</v>
      </c>
      <c r="J315">
        <v>210872</v>
      </c>
      <c r="K315">
        <v>33489</v>
      </c>
      <c r="L315">
        <v>-7788</v>
      </c>
      <c r="M315">
        <v>9.42</v>
      </c>
      <c r="N315">
        <f t="shared" si="12"/>
        <v>3359069</v>
      </c>
      <c r="O315">
        <v>23547850</v>
      </c>
      <c r="P315" s="2">
        <f t="shared" si="13"/>
        <v>14.264864945207313</v>
      </c>
      <c r="Q315" s="4">
        <f t="shared" si="14"/>
        <v>22.182074700000001</v>
      </c>
    </row>
    <row r="316" spans="1:17" x14ac:dyDescent="0.4">
      <c r="A316">
        <v>20210807</v>
      </c>
      <c r="B316" s="1">
        <v>0.54166666666666663</v>
      </c>
      <c r="C316">
        <v>121235</v>
      </c>
      <c r="D316">
        <v>487416</v>
      </c>
      <c r="E316">
        <v>897129</v>
      </c>
      <c r="F316">
        <v>859504</v>
      </c>
      <c r="G316">
        <v>-5102</v>
      </c>
      <c r="H316">
        <v>356221</v>
      </c>
      <c r="I316">
        <v>195835</v>
      </c>
      <c r="J316">
        <v>190543</v>
      </c>
      <c r="K316">
        <v>-126332</v>
      </c>
      <c r="L316">
        <v>-26402</v>
      </c>
      <c r="M316">
        <v>9.56</v>
      </c>
      <c r="N316">
        <f t="shared" si="12"/>
        <v>2950047</v>
      </c>
      <c r="O316">
        <v>22868450</v>
      </c>
      <c r="P316" s="2">
        <f t="shared" si="13"/>
        <v>12.900074119583968</v>
      </c>
      <c r="Q316" s="4">
        <f t="shared" si="14"/>
        <v>21.8622382</v>
      </c>
    </row>
    <row r="317" spans="1:17" x14ac:dyDescent="0.4">
      <c r="A317">
        <v>20210807</v>
      </c>
      <c r="B317" s="1">
        <v>0.5625</v>
      </c>
      <c r="C317">
        <v>106187</v>
      </c>
      <c r="D317">
        <v>552626</v>
      </c>
      <c r="E317">
        <v>953036</v>
      </c>
      <c r="F317">
        <v>867873</v>
      </c>
      <c r="G317">
        <v>-45552</v>
      </c>
      <c r="H317">
        <v>389384</v>
      </c>
      <c r="I317">
        <v>232701</v>
      </c>
      <c r="J317">
        <v>181869</v>
      </c>
      <c r="K317">
        <v>-206366</v>
      </c>
      <c r="L317">
        <v>-28272</v>
      </c>
      <c r="M317">
        <v>9.6199999999999992</v>
      </c>
      <c r="N317">
        <f t="shared" si="12"/>
        <v>3003486</v>
      </c>
      <c r="O317">
        <v>22697850</v>
      </c>
      <c r="P317" s="2">
        <f t="shared" si="13"/>
        <v>13.232469154567504</v>
      </c>
      <c r="Q317" s="4">
        <f t="shared" si="14"/>
        <v>21.835331699999998</v>
      </c>
    </row>
    <row r="318" spans="1:17" x14ac:dyDescent="0.4">
      <c r="A318">
        <v>20210807</v>
      </c>
      <c r="B318" s="1">
        <v>0.58333333333333337</v>
      </c>
      <c r="C318">
        <v>105939</v>
      </c>
      <c r="D318">
        <v>615751</v>
      </c>
      <c r="E318">
        <v>1255458</v>
      </c>
      <c r="F318">
        <v>672212</v>
      </c>
      <c r="G318">
        <v>-28862</v>
      </c>
      <c r="H318">
        <v>276433</v>
      </c>
      <c r="I318">
        <v>272826</v>
      </c>
      <c r="J318">
        <v>174107</v>
      </c>
      <c r="K318">
        <v>-181808</v>
      </c>
      <c r="L318">
        <v>-21018</v>
      </c>
      <c r="M318">
        <v>9.83</v>
      </c>
      <c r="N318">
        <f t="shared" si="12"/>
        <v>3141038</v>
      </c>
      <c r="O318">
        <v>22439400</v>
      </c>
      <c r="P318" s="2">
        <f t="shared" si="13"/>
        <v>13.997869818266086</v>
      </c>
      <c r="Q318" s="4">
        <f t="shared" si="14"/>
        <v>22.057930200000001</v>
      </c>
    </row>
    <row r="319" spans="1:17" x14ac:dyDescent="0.4">
      <c r="A319">
        <v>20210807</v>
      </c>
      <c r="B319" s="1">
        <v>0.60416666666666663</v>
      </c>
      <c r="C319">
        <v>146264</v>
      </c>
      <c r="D319">
        <v>533668</v>
      </c>
      <c r="E319">
        <v>1179444</v>
      </c>
      <c r="F319">
        <v>493087</v>
      </c>
      <c r="G319">
        <v>44654</v>
      </c>
      <c r="H319">
        <v>253708</v>
      </c>
      <c r="I319">
        <v>319284</v>
      </c>
      <c r="J319">
        <v>106066</v>
      </c>
      <c r="K319">
        <v>-170125</v>
      </c>
      <c r="L319">
        <v>-26730</v>
      </c>
      <c r="M319">
        <v>9.91</v>
      </c>
      <c r="N319">
        <f t="shared" si="12"/>
        <v>2879320</v>
      </c>
      <c r="O319">
        <v>22251050</v>
      </c>
      <c r="P319" s="2">
        <f t="shared" si="13"/>
        <v>12.940153386019986</v>
      </c>
      <c r="Q319" s="4">
        <f t="shared" si="14"/>
        <v>22.050790549999999</v>
      </c>
    </row>
    <row r="320" spans="1:17" x14ac:dyDescent="0.4">
      <c r="A320">
        <v>20210807</v>
      </c>
      <c r="B320" s="1">
        <v>0.625</v>
      </c>
      <c r="C320">
        <v>107681</v>
      </c>
      <c r="D320">
        <v>472919</v>
      </c>
      <c r="E320">
        <v>1131797</v>
      </c>
      <c r="F320">
        <v>418803</v>
      </c>
      <c r="G320">
        <v>135466</v>
      </c>
      <c r="H320">
        <v>101155</v>
      </c>
      <c r="I320">
        <v>353784</v>
      </c>
      <c r="J320">
        <v>43736</v>
      </c>
      <c r="K320">
        <v>-208370</v>
      </c>
      <c r="L320">
        <v>-18837</v>
      </c>
      <c r="M320">
        <v>10.19</v>
      </c>
      <c r="N320">
        <f t="shared" si="12"/>
        <v>2538134</v>
      </c>
      <c r="O320">
        <v>22065600</v>
      </c>
      <c r="P320" s="2">
        <f t="shared" si="13"/>
        <v>11.502673845261402</v>
      </c>
      <c r="Q320" s="4">
        <f t="shared" si="14"/>
        <v>22.484846399999999</v>
      </c>
    </row>
    <row r="321" spans="1:17" x14ac:dyDescent="0.4">
      <c r="A321">
        <v>20210807</v>
      </c>
      <c r="B321" s="1">
        <v>0.64583333333333337</v>
      </c>
      <c r="C321">
        <v>117018</v>
      </c>
      <c r="D321">
        <v>449767</v>
      </c>
      <c r="E321">
        <v>973377</v>
      </c>
      <c r="F321">
        <v>240844</v>
      </c>
      <c r="G321">
        <v>167868</v>
      </c>
      <c r="H321">
        <v>92365</v>
      </c>
      <c r="I321">
        <v>228705</v>
      </c>
      <c r="J321">
        <v>14078</v>
      </c>
      <c r="K321">
        <v>-445328</v>
      </c>
      <c r="L321">
        <v>-17565</v>
      </c>
      <c r="M321">
        <v>10.28</v>
      </c>
      <c r="N321">
        <f t="shared" si="12"/>
        <v>1821129</v>
      </c>
      <c r="O321">
        <v>21668050</v>
      </c>
      <c r="P321" s="2">
        <f t="shared" si="13"/>
        <v>8.4046741631111246</v>
      </c>
      <c r="Q321" s="4">
        <f t="shared" si="14"/>
        <v>22.2747554</v>
      </c>
    </row>
    <row r="322" spans="1:17" x14ac:dyDescent="0.4">
      <c r="A322">
        <v>20210807</v>
      </c>
      <c r="B322" s="1">
        <v>0.66666666666666663</v>
      </c>
      <c r="C322">
        <v>138502</v>
      </c>
      <c r="D322">
        <v>336513</v>
      </c>
      <c r="E322">
        <v>828600</v>
      </c>
      <c r="F322">
        <v>188325</v>
      </c>
      <c r="G322">
        <v>92867</v>
      </c>
      <c r="H322">
        <v>124939</v>
      </c>
      <c r="I322">
        <v>145244</v>
      </c>
      <c r="J322">
        <v>-8448</v>
      </c>
      <c r="K322">
        <v>-429715</v>
      </c>
      <c r="L322">
        <v>2171</v>
      </c>
      <c r="M322">
        <v>10.27</v>
      </c>
      <c r="N322">
        <f t="shared" si="12"/>
        <v>1418998</v>
      </c>
      <c r="O322">
        <v>22251050</v>
      </c>
      <c r="P322" s="2">
        <f t="shared" si="13"/>
        <v>6.3772181537500474</v>
      </c>
      <c r="Q322" s="4">
        <f t="shared" si="14"/>
        <v>22.851828350000002</v>
      </c>
    </row>
    <row r="323" spans="1:17" x14ac:dyDescent="0.4">
      <c r="A323">
        <v>20210807</v>
      </c>
      <c r="B323" s="1">
        <v>0.6875</v>
      </c>
      <c r="C323">
        <v>122348</v>
      </c>
      <c r="D323">
        <v>373630</v>
      </c>
      <c r="E323">
        <v>764511</v>
      </c>
      <c r="F323">
        <v>153288</v>
      </c>
      <c r="G323">
        <v>49400</v>
      </c>
      <c r="H323">
        <v>-49717</v>
      </c>
      <c r="I323">
        <v>464803</v>
      </c>
      <c r="J323">
        <v>-69057</v>
      </c>
      <c r="K323">
        <v>-329422</v>
      </c>
      <c r="L323">
        <v>3248</v>
      </c>
      <c r="M323">
        <v>10.28</v>
      </c>
      <c r="N323">
        <f t="shared" ref="N323:N386" si="15">C323+D323+E323+F323+G323+H323+I323+J323+K323+L323</f>
        <v>1483032</v>
      </c>
      <c r="O323">
        <v>22028100</v>
      </c>
      <c r="P323" s="2">
        <f t="shared" ref="P323:P386" si="16">((N323*100)/O323)</f>
        <v>6.7324553638307432</v>
      </c>
      <c r="Q323" s="4">
        <f t="shared" ref="Q323:Q386" si="17">(M323*O323)/10^7</f>
        <v>22.644886799999998</v>
      </c>
    </row>
    <row r="324" spans="1:17" x14ac:dyDescent="0.4">
      <c r="A324">
        <v>20210807</v>
      </c>
      <c r="B324" s="1">
        <v>0.70833333333333337</v>
      </c>
      <c r="C324">
        <v>153272</v>
      </c>
      <c r="D324">
        <v>303472</v>
      </c>
      <c r="E324">
        <v>752602</v>
      </c>
      <c r="F324">
        <v>131333</v>
      </c>
      <c r="G324">
        <v>45586</v>
      </c>
      <c r="H324">
        <v>-123184</v>
      </c>
      <c r="I324">
        <v>292010</v>
      </c>
      <c r="J324">
        <v>-105055</v>
      </c>
      <c r="K324">
        <v>-223363</v>
      </c>
      <c r="L324">
        <v>2807</v>
      </c>
      <c r="M324">
        <v>10.28</v>
      </c>
      <c r="N324">
        <f t="shared" si="15"/>
        <v>1229480</v>
      </c>
      <c r="O324">
        <v>21960450</v>
      </c>
      <c r="P324" s="2">
        <f t="shared" si="16"/>
        <v>5.5986102288432162</v>
      </c>
      <c r="Q324" s="4">
        <f t="shared" si="17"/>
        <v>22.575342599999999</v>
      </c>
    </row>
    <row r="325" spans="1:17" x14ac:dyDescent="0.4">
      <c r="A325">
        <v>20210807</v>
      </c>
      <c r="B325" s="1">
        <v>0.72916666666666663</v>
      </c>
      <c r="C325">
        <v>125273</v>
      </c>
      <c r="D325">
        <v>187063</v>
      </c>
      <c r="E325">
        <v>180462</v>
      </c>
      <c r="F325">
        <v>70886</v>
      </c>
      <c r="G325">
        <v>21053</v>
      </c>
      <c r="H325">
        <v>-201215</v>
      </c>
      <c r="I325">
        <v>182961</v>
      </c>
      <c r="J325">
        <v>-127144</v>
      </c>
      <c r="K325">
        <v>-151545</v>
      </c>
      <c r="L325">
        <v>2299</v>
      </c>
      <c r="M325">
        <v>10.28</v>
      </c>
      <c r="N325">
        <f t="shared" si="15"/>
        <v>290093</v>
      </c>
      <c r="O325">
        <v>21725050</v>
      </c>
      <c r="P325" s="2">
        <f t="shared" si="16"/>
        <v>1.3352926690617513</v>
      </c>
      <c r="Q325" s="4">
        <f t="shared" si="17"/>
        <v>22.333351400000002</v>
      </c>
    </row>
    <row r="326" spans="1:17" x14ac:dyDescent="0.4">
      <c r="A326">
        <v>20210807</v>
      </c>
      <c r="B326" s="1">
        <v>0.75</v>
      </c>
      <c r="C326">
        <v>121113</v>
      </c>
      <c r="D326">
        <v>55760</v>
      </c>
      <c r="E326">
        <v>77560</v>
      </c>
      <c r="F326">
        <v>-116872</v>
      </c>
      <c r="G326">
        <v>21824</v>
      </c>
      <c r="H326">
        <v>-206563</v>
      </c>
      <c r="I326">
        <v>85885</v>
      </c>
      <c r="J326">
        <v>-124716</v>
      </c>
      <c r="K326">
        <v>-43455</v>
      </c>
      <c r="L326">
        <v>-493</v>
      </c>
      <c r="M326">
        <v>10.28</v>
      </c>
      <c r="N326">
        <f t="shared" si="15"/>
        <v>-129957</v>
      </c>
      <c r="O326">
        <v>21534900</v>
      </c>
      <c r="P326" s="2">
        <f t="shared" si="16"/>
        <v>-0.60347157404956608</v>
      </c>
      <c r="Q326" s="4">
        <f t="shared" si="17"/>
        <v>22.137877199999998</v>
      </c>
    </row>
    <row r="327" spans="1:17" x14ac:dyDescent="0.4">
      <c r="A327">
        <v>20210807</v>
      </c>
      <c r="B327" s="1">
        <v>0.77083333333333337</v>
      </c>
      <c r="C327">
        <v>92585</v>
      </c>
      <c r="D327">
        <v>-17807</v>
      </c>
      <c r="E327">
        <v>-182750</v>
      </c>
      <c r="F327">
        <v>-225325</v>
      </c>
      <c r="G327">
        <v>-4467</v>
      </c>
      <c r="H327">
        <v>-255740</v>
      </c>
      <c r="I327">
        <v>-15958</v>
      </c>
      <c r="J327">
        <v>-94018</v>
      </c>
      <c r="K327">
        <v>177698</v>
      </c>
      <c r="L327">
        <v>-8424</v>
      </c>
      <c r="M327">
        <v>10.28</v>
      </c>
      <c r="N327">
        <f t="shared" si="15"/>
        <v>-534206</v>
      </c>
      <c r="O327">
        <v>21419800</v>
      </c>
      <c r="P327" s="2">
        <f t="shared" si="16"/>
        <v>-2.4939822033819175</v>
      </c>
      <c r="Q327" s="4">
        <f t="shared" si="17"/>
        <v>22.019554400000001</v>
      </c>
    </row>
    <row r="328" spans="1:17" x14ac:dyDescent="0.4">
      <c r="A328">
        <v>20210807</v>
      </c>
      <c r="B328" s="1">
        <v>0.79166666666666663</v>
      </c>
      <c r="C328">
        <v>56264</v>
      </c>
      <c r="D328">
        <v>7197</v>
      </c>
      <c r="E328">
        <v>-295440</v>
      </c>
      <c r="F328">
        <v>-234126</v>
      </c>
      <c r="G328">
        <v>21639</v>
      </c>
      <c r="H328">
        <v>-207378</v>
      </c>
      <c r="I328">
        <v>38271</v>
      </c>
      <c r="J328">
        <v>-43767</v>
      </c>
      <c r="K328">
        <v>265721</v>
      </c>
      <c r="L328">
        <v>-5925</v>
      </c>
      <c r="M328">
        <v>10.4</v>
      </c>
      <c r="N328">
        <f t="shared" si="15"/>
        <v>-397544</v>
      </c>
      <c r="O328">
        <v>21302800</v>
      </c>
      <c r="P328" s="2">
        <f t="shared" si="16"/>
        <v>-1.8661584392661998</v>
      </c>
      <c r="Q328" s="4">
        <f t="shared" si="17"/>
        <v>22.154911999999999</v>
      </c>
    </row>
    <row r="329" spans="1:17" x14ac:dyDescent="0.4">
      <c r="A329">
        <v>20210807</v>
      </c>
      <c r="B329" s="1">
        <v>0.8125</v>
      </c>
      <c r="C329">
        <v>137859</v>
      </c>
      <c r="D329">
        <v>-41883</v>
      </c>
      <c r="E329">
        <v>-208139</v>
      </c>
      <c r="F329">
        <v>-166282</v>
      </c>
      <c r="G329">
        <v>41698</v>
      </c>
      <c r="H329">
        <v>-161664</v>
      </c>
      <c r="I329">
        <v>76692</v>
      </c>
      <c r="J329">
        <v>-11665</v>
      </c>
      <c r="K329">
        <v>280816</v>
      </c>
      <c r="L329">
        <v>-2434</v>
      </c>
      <c r="M329">
        <v>10.28</v>
      </c>
      <c r="N329">
        <f t="shared" si="15"/>
        <v>-55002</v>
      </c>
      <c r="O329">
        <v>20989250</v>
      </c>
      <c r="P329" s="2">
        <f t="shared" si="16"/>
        <v>-0.26204842955322366</v>
      </c>
      <c r="Q329" s="4">
        <f t="shared" si="17"/>
        <v>21.576948999999999</v>
      </c>
    </row>
    <row r="330" spans="1:17" x14ac:dyDescent="0.4">
      <c r="A330">
        <v>20210807</v>
      </c>
      <c r="B330" s="1">
        <v>0.83333333333333337</v>
      </c>
      <c r="C330">
        <v>124494</v>
      </c>
      <c r="D330">
        <v>-22927</v>
      </c>
      <c r="E330">
        <v>-250575</v>
      </c>
      <c r="F330">
        <v>-185878</v>
      </c>
      <c r="G330">
        <v>38908</v>
      </c>
      <c r="H330">
        <v>34345</v>
      </c>
      <c r="I330">
        <v>172839</v>
      </c>
      <c r="J330">
        <v>-7229</v>
      </c>
      <c r="K330">
        <v>319686</v>
      </c>
      <c r="L330">
        <v>-7011</v>
      </c>
      <c r="M330">
        <v>10.25</v>
      </c>
      <c r="N330">
        <f t="shared" si="15"/>
        <v>216652</v>
      </c>
      <c r="O330">
        <v>20781100</v>
      </c>
      <c r="P330" s="2">
        <f t="shared" si="16"/>
        <v>1.0425434649753862</v>
      </c>
      <c r="Q330" s="4">
        <f t="shared" si="17"/>
        <v>21.300627500000001</v>
      </c>
    </row>
    <row r="331" spans="1:17" x14ac:dyDescent="0.4">
      <c r="A331">
        <v>20210807</v>
      </c>
      <c r="B331" s="1">
        <v>0.85416666666666663</v>
      </c>
      <c r="C331">
        <v>49865</v>
      </c>
      <c r="D331">
        <v>-71774</v>
      </c>
      <c r="E331">
        <v>-212649</v>
      </c>
      <c r="F331">
        <v>-167039</v>
      </c>
      <c r="G331">
        <v>23147</v>
      </c>
      <c r="H331">
        <v>103071</v>
      </c>
      <c r="I331">
        <v>177987</v>
      </c>
      <c r="J331">
        <v>-24176</v>
      </c>
      <c r="K331">
        <v>331696</v>
      </c>
      <c r="L331">
        <v>-2388</v>
      </c>
      <c r="M331">
        <v>9.92</v>
      </c>
      <c r="N331">
        <f t="shared" si="15"/>
        <v>207740</v>
      </c>
      <c r="O331">
        <v>20830750</v>
      </c>
      <c r="P331" s="2">
        <f t="shared" si="16"/>
        <v>0.99727566218211061</v>
      </c>
      <c r="Q331" s="4">
        <f t="shared" si="17"/>
        <v>20.664103999999998</v>
      </c>
    </row>
    <row r="332" spans="1:17" x14ac:dyDescent="0.4">
      <c r="A332">
        <v>20210807</v>
      </c>
      <c r="B332" s="1">
        <v>0.875</v>
      </c>
      <c r="C332">
        <v>96737</v>
      </c>
      <c r="D332">
        <v>-102137</v>
      </c>
      <c r="E332">
        <v>-278505</v>
      </c>
      <c r="F332">
        <v>-214867</v>
      </c>
      <c r="G332">
        <v>40282</v>
      </c>
      <c r="H332">
        <v>69688</v>
      </c>
      <c r="I332">
        <v>162067</v>
      </c>
      <c r="J332">
        <v>-19948</v>
      </c>
      <c r="K332">
        <v>337342</v>
      </c>
      <c r="L332">
        <v>-5826</v>
      </c>
      <c r="M332">
        <v>9.56</v>
      </c>
      <c r="N332">
        <f t="shared" si="15"/>
        <v>84833</v>
      </c>
      <c r="O332">
        <v>20839700</v>
      </c>
      <c r="P332" s="2">
        <f t="shared" si="16"/>
        <v>0.40707399818615431</v>
      </c>
      <c r="Q332" s="4">
        <f t="shared" si="17"/>
        <v>19.922753199999999</v>
      </c>
    </row>
    <row r="333" spans="1:17" x14ac:dyDescent="0.4">
      <c r="A333">
        <v>20210807</v>
      </c>
      <c r="B333" s="1">
        <v>0.89583333333333337</v>
      </c>
      <c r="C333">
        <v>63072</v>
      </c>
      <c r="D333">
        <v>-14616</v>
      </c>
      <c r="E333">
        <v>-200330</v>
      </c>
      <c r="F333">
        <v>-213595</v>
      </c>
      <c r="G333">
        <v>19709</v>
      </c>
      <c r="H333">
        <v>-98645</v>
      </c>
      <c r="I333">
        <v>142911</v>
      </c>
      <c r="J333">
        <v>-15807</v>
      </c>
      <c r="K333">
        <v>266519</v>
      </c>
      <c r="L333">
        <v>1001</v>
      </c>
      <c r="M333">
        <v>9.49</v>
      </c>
      <c r="N333">
        <f t="shared" si="15"/>
        <v>-49781</v>
      </c>
      <c r="O333">
        <v>20705700</v>
      </c>
      <c r="P333" s="2">
        <f t="shared" si="16"/>
        <v>-0.24042171962309897</v>
      </c>
      <c r="Q333" s="4">
        <f t="shared" si="17"/>
        <v>19.649709300000001</v>
      </c>
    </row>
    <row r="334" spans="1:17" x14ac:dyDescent="0.4">
      <c r="A334">
        <v>20210807</v>
      </c>
      <c r="B334" s="1">
        <v>0.91666666666666663</v>
      </c>
      <c r="C334">
        <v>118384</v>
      </c>
      <c r="D334">
        <v>-84114</v>
      </c>
      <c r="E334">
        <v>-229199</v>
      </c>
      <c r="F334">
        <v>-218089</v>
      </c>
      <c r="G334">
        <v>34795</v>
      </c>
      <c r="H334">
        <v>-93982</v>
      </c>
      <c r="I334">
        <v>53700</v>
      </c>
      <c r="J334">
        <v>12104</v>
      </c>
      <c r="K334">
        <v>274132</v>
      </c>
      <c r="L334">
        <v>1040</v>
      </c>
      <c r="M334">
        <v>8.9499999999999993</v>
      </c>
      <c r="N334">
        <f t="shared" si="15"/>
        <v>-131229</v>
      </c>
      <c r="O334">
        <v>20225950</v>
      </c>
      <c r="P334" s="2">
        <f t="shared" si="16"/>
        <v>-0.64881501239743988</v>
      </c>
      <c r="Q334" s="4">
        <f t="shared" si="17"/>
        <v>18.10222525</v>
      </c>
    </row>
    <row r="335" spans="1:17" x14ac:dyDescent="0.4">
      <c r="A335">
        <v>20210807</v>
      </c>
      <c r="B335" s="1">
        <v>0.9375</v>
      </c>
      <c r="C335">
        <v>44796</v>
      </c>
      <c r="D335">
        <v>-92528</v>
      </c>
      <c r="E335">
        <v>-274194</v>
      </c>
      <c r="F335">
        <v>-276069</v>
      </c>
      <c r="G335">
        <v>-937</v>
      </c>
      <c r="H335">
        <v>-187624</v>
      </c>
      <c r="I335">
        <v>44247</v>
      </c>
      <c r="J335">
        <v>979</v>
      </c>
      <c r="K335">
        <v>228023</v>
      </c>
      <c r="L335">
        <v>-681</v>
      </c>
      <c r="M335">
        <v>8.14</v>
      </c>
      <c r="N335">
        <f t="shared" si="15"/>
        <v>-513988</v>
      </c>
      <c r="O335">
        <v>19896100</v>
      </c>
      <c r="P335" s="2">
        <f t="shared" si="16"/>
        <v>-2.5833605580993262</v>
      </c>
      <c r="Q335" s="4">
        <f t="shared" si="17"/>
        <v>16.195425400000001</v>
      </c>
    </row>
    <row r="336" spans="1:17" x14ac:dyDescent="0.4">
      <c r="A336">
        <v>20210807</v>
      </c>
      <c r="B336" s="1">
        <v>0.95833333333333337</v>
      </c>
      <c r="C336">
        <v>80925</v>
      </c>
      <c r="D336">
        <v>-47728</v>
      </c>
      <c r="E336">
        <v>-413480</v>
      </c>
      <c r="F336">
        <v>-175344</v>
      </c>
      <c r="G336">
        <v>46392</v>
      </c>
      <c r="H336">
        <v>-147860</v>
      </c>
      <c r="I336">
        <v>83385</v>
      </c>
      <c r="J336">
        <v>-1747</v>
      </c>
      <c r="K336">
        <v>101466</v>
      </c>
      <c r="L336">
        <v>3645</v>
      </c>
      <c r="M336">
        <v>7.89</v>
      </c>
      <c r="N336">
        <f t="shared" si="15"/>
        <v>-470346</v>
      </c>
      <c r="O336">
        <v>19445150</v>
      </c>
      <c r="P336" s="2">
        <f t="shared" si="16"/>
        <v>-2.4188345165761129</v>
      </c>
      <c r="Q336" s="4">
        <f t="shared" si="17"/>
        <v>15.342223349999999</v>
      </c>
    </row>
    <row r="337" spans="1:17" x14ac:dyDescent="0.4">
      <c r="A337">
        <v>20210807</v>
      </c>
      <c r="B337" s="1">
        <v>0.97916666666666663</v>
      </c>
      <c r="C337">
        <v>120005</v>
      </c>
      <c r="D337">
        <v>-13602</v>
      </c>
      <c r="E337">
        <v>-424428</v>
      </c>
      <c r="F337">
        <v>-183658</v>
      </c>
      <c r="G337">
        <v>49849</v>
      </c>
      <c r="H337">
        <v>-115286</v>
      </c>
      <c r="I337">
        <v>40855</v>
      </c>
      <c r="J337">
        <v>11099</v>
      </c>
      <c r="K337">
        <v>108789</v>
      </c>
      <c r="L337">
        <v>9585</v>
      </c>
      <c r="M337">
        <v>7.6</v>
      </c>
      <c r="N337">
        <f t="shared" si="15"/>
        <v>-396792</v>
      </c>
      <c r="O337">
        <v>18489400</v>
      </c>
      <c r="P337" s="2">
        <f t="shared" si="16"/>
        <v>-2.146051250987052</v>
      </c>
      <c r="Q337" s="4">
        <f t="shared" si="17"/>
        <v>14.051944000000001</v>
      </c>
    </row>
    <row r="338" spans="1:17" x14ac:dyDescent="0.4">
      <c r="A338">
        <v>20210808</v>
      </c>
      <c r="B338" s="1">
        <v>0</v>
      </c>
      <c r="C338">
        <v>54229</v>
      </c>
      <c r="D338">
        <v>58903</v>
      </c>
      <c r="E338">
        <v>-236534</v>
      </c>
      <c r="F338">
        <v>-20506</v>
      </c>
      <c r="G338">
        <v>66138</v>
      </c>
      <c r="H338">
        <v>55083</v>
      </c>
      <c r="I338">
        <v>-8437</v>
      </c>
      <c r="J338">
        <v>33329</v>
      </c>
      <c r="K338">
        <v>136491</v>
      </c>
      <c r="L338">
        <v>-4634</v>
      </c>
      <c r="M338">
        <v>7.06</v>
      </c>
      <c r="N338">
        <f t="shared" si="15"/>
        <v>134062</v>
      </c>
      <c r="O338">
        <v>17645000</v>
      </c>
      <c r="P338" s="2">
        <f t="shared" si="16"/>
        <v>0.75977330688580336</v>
      </c>
      <c r="Q338" s="4">
        <f t="shared" si="17"/>
        <v>12.457369999999999</v>
      </c>
    </row>
    <row r="339" spans="1:17" x14ac:dyDescent="0.4">
      <c r="A339">
        <v>20210808</v>
      </c>
      <c r="B339" s="1">
        <v>2.0833333333333332E-2</v>
      </c>
      <c r="C339">
        <v>84659</v>
      </c>
      <c r="D339">
        <v>46883</v>
      </c>
      <c r="E339">
        <v>-226089</v>
      </c>
      <c r="F339">
        <v>-9188</v>
      </c>
      <c r="G339">
        <v>53155</v>
      </c>
      <c r="H339">
        <v>82302</v>
      </c>
      <c r="I339">
        <v>-5950</v>
      </c>
      <c r="J339">
        <v>24092</v>
      </c>
      <c r="K339">
        <v>149281</v>
      </c>
      <c r="L339">
        <v>1990</v>
      </c>
      <c r="M339">
        <v>6.96</v>
      </c>
      <c r="N339">
        <f t="shared" si="15"/>
        <v>201135</v>
      </c>
      <c r="O339">
        <v>18889950</v>
      </c>
      <c r="P339" s="2">
        <f t="shared" si="16"/>
        <v>1.0647725377780248</v>
      </c>
      <c r="Q339" s="4">
        <f t="shared" si="17"/>
        <v>13.1474052</v>
      </c>
    </row>
    <row r="340" spans="1:17" x14ac:dyDescent="0.4">
      <c r="A340">
        <v>20210808</v>
      </c>
      <c r="B340" s="1">
        <v>4.1666666666666664E-2</v>
      </c>
      <c r="C340">
        <v>77848</v>
      </c>
      <c r="D340">
        <v>60925</v>
      </c>
      <c r="E340">
        <v>-176887</v>
      </c>
      <c r="F340">
        <v>-1388</v>
      </c>
      <c r="G340">
        <v>31848</v>
      </c>
      <c r="H340">
        <v>120489</v>
      </c>
      <c r="I340">
        <v>-5469</v>
      </c>
      <c r="J340">
        <v>38755</v>
      </c>
      <c r="K340">
        <v>114785</v>
      </c>
      <c r="L340">
        <v>-2137</v>
      </c>
      <c r="M340">
        <v>7</v>
      </c>
      <c r="N340">
        <f t="shared" si="15"/>
        <v>258769</v>
      </c>
      <c r="O340">
        <v>19375700</v>
      </c>
      <c r="P340" s="2">
        <f t="shared" si="16"/>
        <v>1.3355336839443219</v>
      </c>
      <c r="Q340" s="4">
        <f t="shared" si="17"/>
        <v>13.562989999999999</v>
      </c>
    </row>
    <row r="341" spans="1:17" x14ac:dyDescent="0.4">
      <c r="A341">
        <v>20210808</v>
      </c>
      <c r="B341" s="1">
        <v>6.25E-2</v>
      </c>
      <c r="C341">
        <v>68455</v>
      </c>
      <c r="D341">
        <v>55356</v>
      </c>
      <c r="E341">
        <v>-150461</v>
      </c>
      <c r="F341">
        <v>82619</v>
      </c>
      <c r="G341">
        <v>56234</v>
      </c>
      <c r="H341">
        <v>42936</v>
      </c>
      <c r="I341">
        <v>-57658</v>
      </c>
      <c r="J341">
        <v>51307</v>
      </c>
      <c r="K341">
        <v>119910</v>
      </c>
      <c r="L341">
        <v>-1293</v>
      </c>
      <c r="M341">
        <v>7</v>
      </c>
      <c r="N341">
        <f t="shared" si="15"/>
        <v>267405</v>
      </c>
      <c r="O341">
        <v>19447250</v>
      </c>
      <c r="P341" s="2">
        <f t="shared" si="16"/>
        <v>1.3750273174870482</v>
      </c>
      <c r="Q341" s="4">
        <f t="shared" si="17"/>
        <v>13.613075</v>
      </c>
    </row>
    <row r="342" spans="1:17" x14ac:dyDescent="0.4">
      <c r="A342">
        <v>20210808</v>
      </c>
      <c r="B342" s="1">
        <v>8.3333333333333329E-2</v>
      </c>
      <c r="C342">
        <v>65264</v>
      </c>
      <c r="D342">
        <v>42781</v>
      </c>
      <c r="E342">
        <v>-118994</v>
      </c>
      <c r="F342">
        <v>45084</v>
      </c>
      <c r="G342">
        <v>28851</v>
      </c>
      <c r="H342">
        <v>93911</v>
      </c>
      <c r="I342">
        <v>52069</v>
      </c>
      <c r="J342">
        <v>67278</v>
      </c>
      <c r="K342">
        <v>88207</v>
      </c>
      <c r="L342">
        <v>977</v>
      </c>
      <c r="M342">
        <v>7.84</v>
      </c>
      <c r="N342">
        <f t="shared" si="15"/>
        <v>365428</v>
      </c>
      <c r="O342">
        <v>19513850</v>
      </c>
      <c r="P342" s="2">
        <f t="shared" si="16"/>
        <v>1.8726596750513098</v>
      </c>
      <c r="Q342" s="4">
        <f t="shared" si="17"/>
        <v>15.2988584</v>
      </c>
    </row>
    <row r="343" spans="1:17" x14ac:dyDescent="0.4">
      <c r="A343">
        <v>20210808</v>
      </c>
      <c r="B343" s="1">
        <v>0.10416666666666667</v>
      </c>
      <c r="C343">
        <v>118444</v>
      </c>
      <c r="D343">
        <v>59166</v>
      </c>
      <c r="E343">
        <v>-159251</v>
      </c>
      <c r="F343">
        <v>129963</v>
      </c>
      <c r="G343">
        <v>57464</v>
      </c>
      <c r="H343">
        <v>-19659</v>
      </c>
      <c r="I343">
        <v>-775</v>
      </c>
      <c r="J343">
        <v>56352</v>
      </c>
      <c r="K343">
        <v>88148</v>
      </c>
      <c r="L343">
        <v>-6497</v>
      </c>
      <c r="M343">
        <v>7.44</v>
      </c>
      <c r="N343">
        <f t="shared" si="15"/>
        <v>323355</v>
      </c>
      <c r="O343">
        <v>19505550</v>
      </c>
      <c r="P343" s="2">
        <f t="shared" si="16"/>
        <v>1.6577589455308874</v>
      </c>
      <c r="Q343" s="4">
        <f t="shared" si="17"/>
        <v>14.5121292</v>
      </c>
    </row>
    <row r="344" spans="1:17" x14ac:dyDescent="0.4">
      <c r="A344">
        <v>20210808</v>
      </c>
      <c r="B344" s="1">
        <v>0.125</v>
      </c>
      <c r="C344">
        <v>80868</v>
      </c>
      <c r="D344">
        <v>30329</v>
      </c>
      <c r="E344">
        <v>-148779</v>
      </c>
      <c r="F344">
        <v>116943</v>
      </c>
      <c r="G344">
        <v>23366</v>
      </c>
      <c r="H344">
        <v>107966</v>
      </c>
      <c r="I344">
        <v>-21903</v>
      </c>
      <c r="J344">
        <v>38836</v>
      </c>
      <c r="K344">
        <v>98759</v>
      </c>
      <c r="L344">
        <v>-3623</v>
      </c>
      <c r="M344">
        <v>6.94</v>
      </c>
      <c r="N344">
        <f t="shared" si="15"/>
        <v>322762</v>
      </c>
      <c r="O344">
        <v>19702200</v>
      </c>
      <c r="P344" s="2">
        <f t="shared" si="16"/>
        <v>1.6382028402919471</v>
      </c>
      <c r="Q344" s="4">
        <f t="shared" si="17"/>
        <v>13.6733268</v>
      </c>
    </row>
    <row r="345" spans="1:17" x14ac:dyDescent="0.4">
      <c r="A345">
        <v>20210808</v>
      </c>
      <c r="B345" s="1">
        <v>0.14583333333333334</v>
      </c>
      <c r="C345">
        <v>79820</v>
      </c>
      <c r="D345">
        <v>38839</v>
      </c>
      <c r="E345">
        <v>-119780</v>
      </c>
      <c r="F345">
        <v>195959</v>
      </c>
      <c r="G345">
        <v>29073</v>
      </c>
      <c r="H345">
        <v>81449</v>
      </c>
      <c r="I345">
        <v>12722</v>
      </c>
      <c r="J345">
        <v>39126</v>
      </c>
      <c r="K345">
        <v>78746</v>
      </c>
      <c r="L345">
        <v>5926</v>
      </c>
      <c r="M345">
        <v>6.94</v>
      </c>
      <c r="N345">
        <f t="shared" si="15"/>
        <v>441880</v>
      </c>
      <c r="O345">
        <v>19815100</v>
      </c>
      <c r="P345" s="2">
        <f t="shared" si="16"/>
        <v>2.2300165025662246</v>
      </c>
      <c r="Q345" s="4">
        <f t="shared" si="17"/>
        <v>13.7516794</v>
      </c>
    </row>
    <row r="346" spans="1:17" x14ac:dyDescent="0.4">
      <c r="A346">
        <v>20210808</v>
      </c>
      <c r="B346" s="1">
        <v>0.16666666666666666</v>
      </c>
      <c r="C346">
        <v>60289</v>
      </c>
      <c r="D346">
        <v>46403</v>
      </c>
      <c r="E346">
        <v>-64142</v>
      </c>
      <c r="F346">
        <v>125069</v>
      </c>
      <c r="G346">
        <v>18652</v>
      </c>
      <c r="H346">
        <v>194410</v>
      </c>
      <c r="I346">
        <v>33761</v>
      </c>
      <c r="J346">
        <v>56829</v>
      </c>
      <c r="K346">
        <v>41107</v>
      </c>
      <c r="L346">
        <v>15743</v>
      </c>
      <c r="M346">
        <v>6.87</v>
      </c>
      <c r="N346">
        <f t="shared" si="15"/>
        <v>528121</v>
      </c>
      <c r="O346">
        <v>19990900</v>
      </c>
      <c r="P346" s="2">
        <f t="shared" si="16"/>
        <v>2.6418070221950987</v>
      </c>
      <c r="Q346" s="4">
        <f t="shared" si="17"/>
        <v>13.7337483</v>
      </c>
    </row>
    <row r="347" spans="1:17" x14ac:dyDescent="0.4">
      <c r="A347">
        <v>20210808</v>
      </c>
      <c r="B347" s="1">
        <v>0.1875</v>
      </c>
      <c r="C347">
        <v>70110</v>
      </c>
      <c r="D347">
        <v>4034</v>
      </c>
      <c r="E347">
        <v>-17158</v>
      </c>
      <c r="F347">
        <v>140873</v>
      </c>
      <c r="G347">
        <v>37605</v>
      </c>
      <c r="H347">
        <v>101959</v>
      </c>
      <c r="I347">
        <v>75851</v>
      </c>
      <c r="J347">
        <v>59783</v>
      </c>
      <c r="K347">
        <v>-4830</v>
      </c>
      <c r="L347">
        <v>8171</v>
      </c>
      <c r="M347">
        <v>6.95</v>
      </c>
      <c r="N347">
        <f t="shared" si="15"/>
        <v>476398</v>
      </c>
      <c r="O347">
        <v>20039850</v>
      </c>
      <c r="P347" s="2">
        <f t="shared" si="16"/>
        <v>2.3772533227544117</v>
      </c>
      <c r="Q347" s="4">
        <f t="shared" si="17"/>
        <v>13.92769575</v>
      </c>
    </row>
    <row r="348" spans="1:17" x14ac:dyDescent="0.4">
      <c r="A348">
        <v>20210808</v>
      </c>
      <c r="B348" s="1">
        <v>0.20833333333333334</v>
      </c>
      <c r="C348">
        <v>64763</v>
      </c>
      <c r="D348">
        <v>-20967</v>
      </c>
      <c r="E348">
        <v>-21767</v>
      </c>
      <c r="F348">
        <v>130625</v>
      </c>
      <c r="G348">
        <v>42758</v>
      </c>
      <c r="H348">
        <v>108774</v>
      </c>
      <c r="I348">
        <v>48735</v>
      </c>
      <c r="J348">
        <v>63091</v>
      </c>
      <c r="K348">
        <v>-28884</v>
      </c>
      <c r="L348">
        <v>4469</v>
      </c>
      <c r="M348">
        <v>6.92</v>
      </c>
      <c r="N348">
        <f t="shared" si="15"/>
        <v>391597</v>
      </c>
      <c r="O348">
        <v>20022400</v>
      </c>
      <c r="P348" s="2">
        <f t="shared" si="16"/>
        <v>1.9557945101486336</v>
      </c>
      <c r="Q348" s="4">
        <f t="shared" si="17"/>
        <v>13.8555008</v>
      </c>
    </row>
    <row r="349" spans="1:17" x14ac:dyDescent="0.4">
      <c r="A349">
        <v>20210808</v>
      </c>
      <c r="B349" s="1">
        <v>0.22916666666666666</v>
      </c>
      <c r="C349">
        <v>8974</v>
      </c>
      <c r="D349">
        <v>78641</v>
      </c>
      <c r="E349">
        <v>113699</v>
      </c>
      <c r="F349">
        <v>173730</v>
      </c>
      <c r="G349">
        <v>22712</v>
      </c>
      <c r="H349">
        <v>103703</v>
      </c>
      <c r="I349">
        <v>61111</v>
      </c>
      <c r="J349">
        <v>56794</v>
      </c>
      <c r="K349">
        <v>-45323</v>
      </c>
      <c r="L349">
        <v>7937</v>
      </c>
      <c r="M349">
        <v>6.85</v>
      </c>
      <c r="N349">
        <f t="shared" si="15"/>
        <v>581978</v>
      </c>
      <c r="O349">
        <v>20139150</v>
      </c>
      <c r="P349" s="2">
        <f t="shared" si="16"/>
        <v>2.8897843255549516</v>
      </c>
      <c r="Q349" s="4">
        <f t="shared" si="17"/>
        <v>13.795317750000001</v>
      </c>
    </row>
    <row r="350" spans="1:17" x14ac:dyDescent="0.4">
      <c r="A350">
        <v>20210808</v>
      </c>
      <c r="B350" s="1">
        <v>0.25</v>
      </c>
      <c r="C350">
        <v>70948</v>
      </c>
      <c r="D350">
        <v>59556</v>
      </c>
      <c r="E350">
        <v>215590</v>
      </c>
      <c r="F350">
        <v>-6013</v>
      </c>
      <c r="G350">
        <v>53088</v>
      </c>
      <c r="H350">
        <v>78955</v>
      </c>
      <c r="I350">
        <v>-44398</v>
      </c>
      <c r="J350">
        <v>67996</v>
      </c>
      <c r="K350">
        <v>-112991</v>
      </c>
      <c r="L350">
        <v>-6272</v>
      </c>
      <c r="M350">
        <v>6.95</v>
      </c>
      <c r="N350">
        <f t="shared" si="15"/>
        <v>376459</v>
      </c>
      <c r="O350">
        <v>20612950</v>
      </c>
      <c r="P350" s="2">
        <f t="shared" si="16"/>
        <v>1.8263227728199991</v>
      </c>
      <c r="Q350" s="4">
        <f t="shared" si="17"/>
        <v>14.32600025</v>
      </c>
    </row>
    <row r="351" spans="1:17" x14ac:dyDescent="0.4">
      <c r="A351">
        <v>20210808</v>
      </c>
      <c r="B351" s="1">
        <v>0.27083333333333331</v>
      </c>
      <c r="C351">
        <v>47851</v>
      </c>
      <c r="D351">
        <v>49214</v>
      </c>
      <c r="E351">
        <v>383016</v>
      </c>
      <c r="F351">
        <v>-181582</v>
      </c>
      <c r="G351">
        <v>55762</v>
      </c>
      <c r="H351">
        <v>67314</v>
      </c>
      <c r="I351">
        <v>193975</v>
      </c>
      <c r="J351">
        <v>82426</v>
      </c>
      <c r="K351">
        <v>-93035</v>
      </c>
      <c r="L351">
        <v>-10225</v>
      </c>
      <c r="M351">
        <v>6.95</v>
      </c>
      <c r="N351">
        <f t="shared" si="15"/>
        <v>594716</v>
      </c>
      <c r="O351">
        <v>20923700</v>
      </c>
      <c r="P351" s="2">
        <f t="shared" si="16"/>
        <v>2.8423080047983866</v>
      </c>
      <c r="Q351" s="4">
        <f t="shared" si="17"/>
        <v>14.541971500000001</v>
      </c>
    </row>
    <row r="352" spans="1:17" x14ac:dyDescent="0.4">
      <c r="A352">
        <v>20210808</v>
      </c>
      <c r="B352" s="1">
        <v>0.29166666666666669</v>
      </c>
      <c r="C352">
        <v>125240</v>
      </c>
      <c r="D352">
        <v>121973</v>
      </c>
      <c r="E352">
        <v>655072</v>
      </c>
      <c r="F352">
        <v>-108237</v>
      </c>
      <c r="G352">
        <v>67013</v>
      </c>
      <c r="H352">
        <v>-160527</v>
      </c>
      <c r="I352">
        <v>310097</v>
      </c>
      <c r="J352">
        <v>74451</v>
      </c>
      <c r="K352">
        <v>-33750</v>
      </c>
      <c r="L352">
        <v>-14164</v>
      </c>
      <c r="M352">
        <v>6.92</v>
      </c>
      <c r="N352">
        <f t="shared" si="15"/>
        <v>1037168</v>
      </c>
      <c r="O352">
        <v>21295200</v>
      </c>
      <c r="P352" s="2">
        <f t="shared" si="16"/>
        <v>4.8704308952252147</v>
      </c>
      <c r="Q352" s="4">
        <f t="shared" si="17"/>
        <v>14.7362784</v>
      </c>
    </row>
    <row r="353" spans="1:17" x14ac:dyDescent="0.4">
      <c r="A353">
        <v>20210808</v>
      </c>
      <c r="B353" s="1">
        <v>0.3125</v>
      </c>
      <c r="C353">
        <v>152469</v>
      </c>
      <c r="D353">
        <v>100504</v>
      </c>
      <c r="E353">
        <v>798295</v>
      </c>
      <c r="F353">
        <v>-181684</v>
      </c>
      <c r="G353">
        <v>54331</v>
      </c>
      <c r="H353">
        <v>-14964</v>
      </c>
      <c r="I353">
        <v>497572</v>
      </c>
      <c r="J353">
        <v>151026</v>
      </c>
      <c r="K353">
        <v>113074</v>
      </c>
      <c r="L353">
        <v>-25051</v>
      </c>
      <c r="M353">
        <v>6.92</v>
      </c>
      <c r="N353">
        <f t="shared" si="15"/>
        <v>1645572</v>
      </c>
      <c r="O353">
        <v>21662850</v>
      </c>
      <c r="P353" s="2">
        <f t="shared" si="16"/>
        <v>7.5962858072691271</v>
      </c>
      <c r="Q353" s="4">
        <f t="shared" si="17"/>
        <v>14.9906922</v>
      </c>
    </row>
    <row r="354" spans="1:17" x14ac:dyDescent="0.4">
      <c r="A354">
        <v>20210808</v>
      </c>
      <c r="B354" s="1">
        <v>0.33333333333333331</v>
      </c>
      <c r="C354">
        <v>159078</v>
      </c>
      <c r="D354">
        <v>176340</v>
      </c>
      <c r="E354">
        <v>1144746</v>
      </c>
      <c r="F354">
        <v>-208706</v>
      </c>
      <c r="G354">
        <v>64206</v>
      </c>
      <c r="H354">
        <v>7097</v>
      </c>
      <c r="I354">
        <v>152561</v>
      </c>
      <c r="J354">
        <v>188064</v>
      </c>
      <c r="K354">
        <v>189589</v>
      </c>
      <c r="L354">
        <v>-30705</v>
      </c>
      <c r="M354">
        <v>7.14</v>
      </c>
      <c r="N354">
        <f t="shared" si="15"/>
        <v>1842270</v>
      </c>
      <c r="O354">
        <v>22330900</v>
      </c>
      <c r="P354" s="2">
        <f t="shared" si="16"/>
        <v>8.2498690155793089</v>
      </c>
      <c r="Q354" s="4">
        <f t="shared" si="17"/>
        <v>15.9442626</v>
      </c>
    </row>
    <row r="355" spans="1:17" x14ac:dyDescent="0.4">
      <c r="A355">
        <v>20210808</v>
      </c>
      <c r="B355" s="1">
        <v>0.35416666666666669</v>
      </c>
      <c r="C355">
        <v>216058</v>
      </c>
      <c r="D355">
        <v>253266</v>
      </c>
      <c r="E355">
        <v>1287225</v>
      </c>
      <c r="F355">
        <v>-165340</v>
      </c>
      <c r="G355">
        <v>116439</v>
      </c>
      <c r="H355">
        <v>31190</v>
      </c>
      <c r="I355">
        <v>99778</v>
      </c>
      <c r="J355">
        <v>206980</v>
      </c>
      <c r="K355">
        <v>309592</v>
      </c>
      <c r="L355">
        <v>-41067</v>
      </c>
      <c r="M355">
        <v>7.17</v>
      </c>
      <c r="N355">
        <f t="shared" si="15"/>
        <v>2314121</v>
      </c>
      <c r="O355">
        <v>22274050</v>
      </c>
      <c r="P355" s="2">
        <f t="shared" si="16"/>
        <v>10.389314022371325</v>
      </c>
      <c r="Q355" s="4">
        <f t="shared" si="17"/>
        <v>15.97049385</v>
      </c>
    </row>
    <row r="356" spans="1:17" x14ac:dyDescent="0.4">
      <c r="A356">
        <v>20210808</v>
      </c>
      <c r="B356" s="1">
        <v>0.375</v>
      </c>
      <c r="C356">
        <v>227502</v>
      </c>
      <c r="D356">
        <v>388893</v>
      </c>
      <c r="E356">
        <v>1540519</v>
      </c>
      <c r="F356">
        <v>42312</v>
      </c>
      <c r="G356">
        <v>177878</v>
      </c>
      <c r="H356">
        <v>62281</v>
      </c>
      <c r="I356">
        <v>347</v>
      </c>
      <c r="J356">
        <v>214518</v>
      </c>
      <c r="K356">
        <v>327216</v>
      </c>
      <c r="L356">
        <v>-24275</v>
      </c>
      <c r="M356">
        <v>7.89</v>
      </c>
      <c r="N356">
        <f t="shared" si="15"/>
        <v>2957191</v>
      </c>
      <c r="O356">
        <v>22277300</v>
      </c>
      <c r="P356" s="2">
        <f t="shared" si="16"/>
        <v>13.274458753978266</v>
      </c>
      <c r="Q356" s="4">
        <f t="shared" si="17"/>
        <v>17.576789699999999</v>
      </c>
    </row>
    <row r="357" spans="1:17" x14ac:dyDescent="0.4">
      <c r="A357">
        <v>20210808</v>
      </c>
      <c r="B357" s="1">
        <v>0.39583333333333331</v>
      </c>
      <c r="C357">
        <v>278391</v>
      </c>
      <c r="D357">
        <v>438295</v>
      </c>
      <c r="E357">
        <v>1332432</v>
      </c>
      <c r="F357">
        <v>54662</v>
      </c>
      <c r="G357">
        <v>191678</v>
      </c>
      <c r="H357">
        <v>116951</v>
      </c>
      <c r="I357">
        <v>-1948</v>
      </c>
      <c r="J357">
        <v>196931</v>
      </c>
      <c r="K357">
        <v>196014</v>
      </c>
      <c r="L357">
        <v>-13176</v>
      </c>
      <c r="M357">
        <v>7.88</v>
      </c>
      <c r="N357">
        <f t="shared" si="15"/>
        <v>2790230</v>
      </c>
      <c r="O357">
        <v>22331300</v>
      </c>
      <c r="P357" s="2">
        <f t="shared" si="16"/>
        <v>12.494704741774997</v>
      </c>
      <c r="Q357" s="4">
        <f t="shared" si="17"/>
        <v>17.597064400000001</v>
      </c>
    </row>
    <row r="358" spans="1:17" x14ac:dyDescent="0.4">
      <c r="A358">
        <v>20210808</v>
      </c>
      <c r="B358" s="1">
        <v>0.41666666666666669</v>
      </c>
      <c r="C358">
        <v>281746</v>
      </c>
      <c r="D358">
        <v>466429</v>
      </c>
      <c r="E358">
        <v>1448572</v>
      </c>
      <c r="F358">
        <v>193578</v>
      </c>
      <c r="G358">
        <v>224651</v>
      </c>
      <c r="H358">
        <v>338633</v>
      </c>
      <c r="I358">
        <v>137108</v>
      </c>
      <c r="J358">
        <v>210449</v>
      </c>
      <c r="K358">
        <v>87777</v>
      </c>
      <c r="L358">
        <v>-20152</v>
      </c>
      <c r="M358">
        <v>7.89</v>
      </c>
      <c r="N358">
        <f t="shared" si="15"/>
        <v>3368791</v>
      </c>
      <c r="O358">
        <v>22522350</v>
      </c>
      <c r="P358" s="2">
        <f t="shared" si="16"/>
        <v>14.95754661480707</v>
      </c>
      <c r="Q358" s="4">
        <f t="shared" si="17"/>
        <v>17.770134150000001</v>
      </c>
    </row>
    <row r="359" spans="1:17" x14ac:dyDescent="0.4">
      <c r="A359">
        <v>20210808</v>
      </c>
      <c r="B359" s="1">
        <v>0.4375</v>
      </c>
      <c r="C359">
        <v>357409</v>
      </c>
      <c r="D359">
        <v>492776</v>
      </c>
      <c r="E359">
        <v>1432045</v>
      </c>
      <c r="F359">
        <v>206774</v>
      </c>
      <c r="G359">
        <v>158242</v>
      </c>
      <c r="H359">
        <v>462544</v>
      </c>
      <c r="I359">
        <v>200273</v>
      </c>
      <c r="J359">
        <v>206911</v>
      </c>
      <c r="K359">
        <v>52203</v>
      </c>
      <c r="L359">
        <v>1330</v>
      </c>
      <c r="M359">
        <v>7.89</v>
      </c>
      <c r="N359">
        <f t="shared" si="15"/>
        <v>3570507</v>
      </c>
      <c r="O359">
        <v>22593700</v>
      </c>
      <c r="P359" s="2">
        <f t="shared" si="16"/>
        <v>15.803108831222863</v>
      </c>
      <c r="Q359" s="4">
        <f t="shared" si="17"/>
        <v>17.826429300000001</v>
      </c>
    </row>
    <row r="360" spans="1:17" x14ac:dyDescent="0.4">
      <c r="A360">
        <v>20210808</v>
      </c>
      <c r="B360" s="1">
        <v>0.45833333333333331</v>
      </c>
      <c r="C360">
        <v>325839</v>
      </c>
      <c r="D360">
        <v>546336</v>
      </c>
      <c r="E360">
        <v>1033379</v>
      </c>
      <c r="F360">
        <v>234636</v>
      </c>
      <c r="G360">
        <v>135649</v>
      </c>
      <c r="H360">
        <v>542100</v>
      </c>
      <c r="I360">
        <v>278475</v>
      </c>
      <c r="J360">
        <v>204809</v>
      </c>
      <c r="K360">
        <v>98699</v>
      </c>
      <c r="L360">
        <v>-18993</v>
      </c>
      <c r="M360">
        <v>8.86</v>
      </c>
      <c r="N360">
        <f t="shared" si="15"/>
        <v>3380929</v>
      </c>
      <c r="O360">
        <v>22791500</v>
      </c>
      <c r="P360" s="2">
        <f t="shared" si="16"/>
        <v>14.834166246188271</v>
      </c>
      <c r="Q360" s="4">
        <f t="shared" si="17"/>
        <v>20.193269000000001</v>
      </c>
    </row>
    <row r="361" spans="1:17" x14ac:dyDescent="0.4">
      <c r="A361">
        <v>20210808</v>
      </c>
      <c r="B361" s="1">
        <v>0.47916666666666669</v>
      </c>
      <c r="C361">
        <v>366487</v>
      </c>
      <c r="D361">
        <v>596466</v>
      </c>
      <c r="E361">
        <v>599381</v>
      </c>
      <c r="F361">
        <v>89554</v>
      </c>
      <c r="G361">
        <v>128792</v>
      </c>
      <c r="H361">
        <v>386752</v>
      </c>
      <c r="I361">
        <v>270104</v>
      </c>
      <c r="J361">
        <v>196728</v>
      </c>
      <c r="K361">
        <v>-257067</v>
      </c>
      <c r="L361">
        <v>-15946</v>
      </c>
      <c r="M361">
        <v>8.86</v>
      </c>
      <c r="N361">
        <f t="shared" si="15"/>
        <v>2361251</v>
      </c>
      <c r="O361">
        <v>23309600</v>
      </c>
      <c r="P361" s="2">
        <f t="shared" si="16"/>
        <v>10.129950749905618</v>
      </c>
      <c r="Q361" s="4">
        <f t="shared" si="17"/>
        <v>20.652305599999998</v>
      </c>
    </row>
    <row r="362" spans="1:17" x14ac:dyDescent="0.4">
      <c r="A362">
        <v>20210808</v>
      </c>
      <c r="B362" s="1">
        <v>0.5</v>
      </c>
      <c r="C362">
        <v>308479</v>
      </c>
      <c r="D362">
        <v>563289</v>
      </c>
      <c r="E362">
        <v>336776</v>
      </c>
      <c r="F362">
        <v>112074</v>
      </c>
      <c r="G362">
        <v>97869</v>
      </c>
      <c r="H362">
        <v>362947</v>
      </c>
      <c r="I362">
        <v>282545</v>
      </c>
      <c r="J362">
        <v>147050</v>
      </c>
      <c r="K362">
        <v>-409302</v>
      </c>
      <c r="L362">
        <v>-3482</v>
      </c>
      <c r="M362">
        <v>8.86</v>
      </c>
      <c r="N362">
        <f t="shared" si="15"/>
        <v>1798245</v>
      </c>
      <c r="O362">
        <v>23480600</v>
      </c>
      <c r="P362" s="2">
        <f t="shared" si="16"/>
        <v>7.6584286602557006</v>
      </c>
      <c r="Q362" s="4">
        <f t="shared" si="17"/>
        <v>20.8038116</v>
      </c>
    </row>
    <row r="363" spans="1:17" x14ac:dyDescent="0.4">
      <c r="A363">
        <v>20210808</v>
      </c>
      <c r="B363" s="1">
        <v>0.52083333333333337</v>
      </c>
      <c r="C363">
        <v>306680</v>
      </c>
      <c r="D363">
        <v>625405</v>
      </c>
      <c r="E363">
        <v>473338</v>
      </c>
      <c r="F363">
        <v>220175</v>
      </c>
      <c r="G363">
        <v>93914</v>
      </c>
      <c r="H363">
        <v>427838</v>
      </c>
      <c r="I363">
        <v>231938</v>
      </c>
      <c r="J363">
        <v>174276</v>
      </c>
      <c r="K363">
        <v>-618892</v>
      </c>
      <c r="L363">
        <v>-3180</v>
      </c>
      <c r="M363">
        <v>8.86</v>
      </c>
      <c r="N363">
        <f t="shared" si="15"/>
        <v>1931492</v>
      </c>
      <c r="O363">
        <v>23530750</v>
      </c>
      <c r="P363" s="2">
        <f t="shared" si="16"/>
        <v>8.2083741487202921</v>
      </c>
      <c r="Q363" s="4">
        <f t="shared" si="17"/>
        <v>20.8482445</v>
      </c>
    </row>
    <row r="364" spans="1:17" x14ac:dyDescent="0.4">
      <c r="A364">
        <v>20210808</v>
      </c>
      <c r="B364" s="1">
        <v>0.54166666666666663</v>
      </c>
      <c r="C364">
        <v>225062</v>
      </c>
      <c r="D364">
        <v>674503</v>
      </c>
      <c r="E364">
        <v>247097</v>
      </c>
      <c r="F364">
        <v>293671</v>
      </c>
      <c r="G364">
        <v>65645</v>
      </c>
      <c r="H364">
        <v>347780</v>
      </c>
      <c r="I364">
        <v>349224</v>
      </c>
      <c r="J364">
        <v>105314</v>
      </c>
      <c r="K364">
        <v>-767606</v>
      </c>
      <c r="L364">
        <v>-13621</v>
      </c>
      <c r="M364">
        <v>8.86</v>
      </c>
      <c r="N364">
        <f t="shared" si="15"/>
        <v>1527069</v>
      </c>
      <c r="O364">
        <v>23363100</v>
      </c>
      <c r="P364" s="2">
        <f t="shared" si="16"/>
        <v>6.5362430499377222</v>
      </c>
      <c r="Q364" s="4">
        <f t="shared" si="17"/>
        <v>20.699706599999999</v>
      </c>
    </row>
    <row r="365" spans="1:17" x14ac:dyDescent="0.4">
      <c r="A365">
        <v>20210808</v>
      </c>
      <c r="B365" s="1">
        <v>0.5625</v>
      </c>
      <c r="C365">
        <v>193529</v>
      </c>
      <c r="D365">
        <v>586200</v>
      </c>
      <c r="E365">
        <v>97321</v>
      </c>
      <c r="F365">
        <v>270610</v>
      </c>
      <c r="G365">
        <v>63273</v>
      </c>
      <c r="H365">
        <v>418154</v>
      </c>
      <c r="I365">
        <v>220009</v>
      </c>
      <c r="J365">
        <v>86049</v>
      </c>
      <c r="K365">
        <v>-726248</v>
      </c>
      <c r="L365">
        <v>-13071</v>
      </c>
      <c r="M365">
        <v>8.86</v>
      </c>
      <c r="N365">
        <f t="shared" si="15"/>
        <v>1195826</v>
      </c>
      <c r="O365">
        <v>23289000</v>
      </c>
      <c r="P365" s="2">
        <f t="shared" si="16"/>
        <v>5.1347245480699044</v>
      </c>
      <c r="Q365" s="4">
        <f t="shared" si="17"/>
        <v>20.634053999999999</v>
      </c>
    </row>
    <row r="366" spans="1:17" x14ac:dyDescent="0.4">
      <c r="A366">
        <v>20210808</v>
      </c>
      <c r="B366" s="1">
        <v>0.58333333333333337</v>
      </c>
      <c r="C366">
        <v>187012</v>
      </c>
      <c r="D366">
        <v>669353</v>
      </c>
      <c r="E366">
        <v>-236671</v>
      </c>
      <c r="F366">
        <v>331770</v>
      </c>
      <c r="G366">
        <v>24152</v>
      </c>
      <c r="H366">
        <v>407907</v>
      </c>
      <c r="I366">
        <v>37672</v>
      </c>
      <c r="J366">
        <v>37852</v>
      </c>
      <c r="K366">
        <v>-584020</v>
      </c>
      <c r="L366">
        <v>-28418</v>
      </c>
      <c r="M366">
        <v>9.5500000000000007</v>
      </c>
      <c r="N366">
        <f t="shared" si="15"/>
        <v>846609</v>
      </c>
      <c r="O366">
        <v>22951050</v>
      </c>
      <c r="P366" s="2">
        <f t="shared" si="16"/>
        <v>3.6887593378080741</v>
      </c>
      <c r="Q366" s="4">
        <f t="shared" si="17"/>
        <v>21.918252750000004</v>
      </c>
    </row>
    <row r="367" spans="1:17" x14ac:dyDescent="0.4">
      <c r="A367">
        <v>20210808</v>
      </c>
      <c r="B367" s="1">
        <v>0.60416666666666663</v>
      </c>
      <c r="C367">
        <v>192541</v>
      </c>
      <c r="D367">
        <v>506222</v>
      </c>
      <c r="E367">
        <v>-152568</v>
      </c>
      <c r="F367">
        <v>276070</v>
      </c>
      <c r="G367">
        <v>73489</v>
      </c>
      <c r="H367">
        <v>315091</v>
      </c>
      <c r="I367">
        <v>33751</v>
      </c>
      <c r="J367">
        <v>14318</v>
      </c>
      <c r="K367">
        <v>-397928</v>
      </c>
      <c r="L367">
        <v>-27222</v>
      </c>
      <c r="M367">
        <v>9.56</v>
      </c>
      <c r="N367">
        <f t="shared" si="15"/>
        <v>833764</v>
      </c>
      <c r="O367">
        <v>22702550</v>
      </c>
      <c r="P367" s="2">
        <f t="shared" si="16"/>
        <v>3.6725566070771785</v>
      </c>
      <c r="Q367" s="4">
        <f t="shared" si="17"/>
        <v>21.703637799999999</v>
      </c>
    </row>
    <row r="368" spans="1:17" x14ac:dyDescent="0.4">
      <c r="A368">
        <v>20210808</v>
      </c>
      <c r="B368" s="1">
        <v>0.625</v>
      </c>
      <c r="C368">
        <v>148125</v>
      </c>
      <c r="D368">
        <v>398289</v>
      </c>
      <c r="E368">
        <v>94817</v>
      </c>
      <c r="F368">
        <v>279765</v>
      </c>
      <c r="G368">
        <v>46058</v>
      </c>
      <c r="H368">
        <v>228514</v>
      </c>
      <c r="I368">
        <v>-128077</v>
      </c>
      <c r="J368">
        <v>-6434</v>
      </c>
      <c r="K368">
        <v>-132840</v>
      </c>
      <c r="L368">
        <v>-21044</v>
      </c>
      <c r="M368">
        <v>10.01</v>
      </c>
      <c r="N368">
        <f t="shared" si="15"/>
        <v>907173</v>
      </c>
      <c r="O368">
        <v>22316000</v>
      </c>
      <c r="P368" s="2">
        <f t="shared" si="16"/>
        <v>4.0651236780785087</v>
      </c>
      <c r="Q368" s="4">
        <f t="shared" si="17"/>
        <v>22.338315999999999</v>
      </c>
    </row>
    <row r="369" spans="1:17" x14ac:dyDescent="0.4">
      <c r="A369">
        <v>20210808</v>
      </c>
      <c r="B369" s="1">
        <v>0.64583333333333337</v>
      </c>
      <c r="C369">
        <v>186740</v>
      </c>
      <c r="D369">
        <v>364665</v>
      </c>
      <c r="E369">
        <v>562811</v>
      </c>
      <c r="F369">
        <v>57765</v>
      </c>
      <c r="G369">
        <v>47238</v>
      </c>
      <c r="H369">
        <v>15723</v>
      </c>
      <c r="I369">
        <v>-158680</v>
      </c>
      <c r="J369">
        <v>4669</v>
      </c>
      <c r="K369">
        <v>5831</v>
      </c>
      <c r="L369">
        <v>-25151</v>
      </c>
      <c r="M369">
        <v>10.01</v>
      </c>
      <c r="N369">
        <f t="shared" si="15"/>
        <v>1061611</v>
      </c>
      <c r="O369">
        <v>21905600</v>
      </c>
      <c r="P369" s="2">
        <f t="shared" si="16"/>
        <v>4.8462995763640349</v>
      </c>
      <c r="Q369" s="4">
        <f t="shared" si="17"/>
        <v>21.9275056</v>
      </c>
    </row>
    <row r="370" spans="1:17" x14ac:dyDescent="0.4">
      <c r="A370">
        <v>20210808</v>
      </c>
      <c r="B370" s="1">
        <v>0.66666666666666663</v>
      </c>
      <c r="C370">
        <v>144007</v>
      </c>
      <c r="D370">
        <v>308005</v>
      </c>
      <c r="E370">
        <v>712542</v>
      </c>
      <c r="F370">
        <v>-92786</v>
      </c>
      <c r="G370">
        <v>32723</v>
      </c>
      <c r="H370">
        <v>-31716</v>
      </c>
      <c r="I370">
        <v>-141196</v>
      </c>
      <c r="J370">
        <v>37786</v>
      </c>
      <c r="K370">
        <v>57643</v>
      </c>
      <c r="L370">
        <v>-23248</v>
      </c>
      <c r="M370">
        <v>10.27</v>
      </c>
      <c r="N370">
        <f t="shared" si="15"/>
        <v>1003760</v>
      </c>
      <c r="O370">
        <v>22328100</v>
      </c>
      <c r="P370" s="2">
        <f t="shared" si="16"/>
        <v>4.4955011846059447</v>
      </c>
      <c r="Q370" s="4">
        <f t="shared" si="17"/>
        <v>22.930958700000001</v>
      </c>
    </row>
    <row r="371" spans="1:17" x14ac:dyDescent="0.4">
      <c r="A371">
        <v>20210808</v>
      </c>
      <c r="B371" s="1">
        <v>0.6875</v>
      </c>
      <c r="C371">
        <v>186153</v>
      </c>
      <c r="D371">
        <v>269322</v>
      </c>
      <c r="E371">
        <v>1015206</v>
      </c>
      <c r="F371">
        <v>-244248</v>
      </c>
      <c r="G371">
        <v>-2896</v>
      </c>
      <c r="H371">
        <v>171179</v>
      </c>
      <c r="I371">
        <v>-134763</v>
      </c>
      <c r="J371">
        <v>32119</v>
      </c>
      <c r="K371">
        <v>95392</v>
      </c>
      <c r="L371">
        <v>-15644</v>
      </c>
      <c r="M371">
        <v>10.44</v>
      </c>
      <c r="N371">
        <f t="shared" si="15"/>
        <v>1371820</v>
      </c>
      <c r="O371">
        <v>21731650</v>
      </c>
      <c r="P371" s="2">
        <f t="shared" si="16"/>
        <v>6.3125441464407901</v>
      </c>
      <c r="Q371" s="4">
        <f t="shared" si="17"/>
        <v>22.6878426</v>
      </c>
    </row>
    <row r="372" spans="1:17" x14ac:dyDescent="0.4">
      <c r="A372">
        <v>20210808</v>
      </c>
      <c r="B372" s="1">
        <v>0.70833333333333337</v>
      </c>
      <c r="C372">
        <v>129090</v>
      </c>
      <c r="D372">
        <v>187360</v>
      </c>
      <c r="E372">
        <v>1145614</v>
      </c>
      <c r="F372">
        <v>-371611</v>
      </c>
      <c r="G372">
        <v>-10113</v>
      </c>
      <c r="H372">
        <v>153468</v>
      </c>
      <c r="I372">
        <v>-105607</v>
      </c>
      <c r="J372">
        <v>35086</v>
      </c>
      <c r="K372">
        <v>161299</v>
      </c>
      <c r="L372">
        <v>-38088</v>
      </c>
      <c r="M372">
        <v>10.220000000000001</v>
      </c>
      <c r="N372">
        <f t="shared" si="15"/>
        <v>1286498</v>
      </c>
      <c r="O372">
        <v>21642600</v>
      </c>
      <c r="P372" s="2">
        <f t="shared" si="16"/>
        <v>5.9442858066960529</v>
      </c>
      <c r="Q372" s="4">
        <f t="shared" si="17"/>
        <v>22.118737200000002</v>
      </c>
    </row>
    <row r="373" spans="1:17" x14ac:dyDescent="0.4">
      <c r="A373">
        <v>20210808</v>
      </c>
      <c r="B373" s="1">
        <v>0.72916666666666663</v>
      </c>
      <c r="C373">
        <v>125905</v>
      </c>
      <c r="D373">
        <v>251966</v>
      </c>
      <c r="E373">
        <v>1123502</v>
      </c>
      <c r="F373">
        <v>-273668</v>
      </c>
      <c r="G373">
        <v>2039</v>
      </c>
      <c r="H373">
        <v>222329</v>
      </c>
      <c r="I373">
        <v>110089</v>
      </c>
      <c r="J373">
        <v>11026</v>
      </c>
      <c r="K373">
        <v>173694</v>
      </c>
      <c r="L373">
        <v>-32354</v>
      </c>
      <c r="M373">
        <v>10.4</v>
      </c>
      <c r="N373">
        <f t="shared" si="15"/>
        <v>1714528</v>
      </c>
      <c r="O373">
        <v>21433500</v>
      </c>
      <c r="P373" s="2">
        <f t="shared" si="16"/>
        <v>7.9992908297758181</v>
      </c>
      <c r="Q373" s="4">
        <f t="shared" si="17"/>
        <v>22.290839999999999</v>
      </c>
    </row>
    <row r="374" spans="1:17" x14ac:dyDescent="0.4">
      <c r="A374">
        <v>20210808</v>
      </c>
      <c r="B374" s="1">
        <v>0.75</v>
      </c>
      <c r="C374">
        <v>132937</v>
      </c>
      <c r="D374">
        <v>203470</v>
      </c>
      <c r="E374">
        <v>1163201</v>
      </c>
      <c r="F374">
        <v>-198983</v>
      </c>
      <c r="G374">
        <v>-28308</v>
      </c>
      <c r="H374">
        <v>308135</v>
      </c>
      <c r="I374">
        <v>157669</v>
      </c>
      <c r="J374">
        <v>2226</v>
      </c>
      <c r="K374">
        <v>294517</v>
      </c>
      <c r="L374">
        <v>-23606</v>
      </c>
      <c r="M374">
        <v>10.71</v>
      </c>
      <c r="N374">
        <f t="shared" si="15"/>
        <v>2011258</v>
      </c>
      <c r="O374">
        <v>21374200</v>
      </c>
      <c r="P374" s="2">
        <f t="shared" si="16"/>
        <v>9.4097463296871933</v>
      </c>
      <c r="Q374" s="4">
        <f t="shared" si="17"/>
        <v>22.891768200000001</v>
      </c>
    </row>
    <row r="375" spans="1:17" x14ac:dyDescent="0.4">
      <c r="A375">
        <v>20210808</v>
      </c>
      <c r="B375" s="1">
        <v>0.77083333333333337</v>
      </c>
      <c r="C375">
        <v>122664</v>
      </c>
      <c r="D375">
        <v>91938</v>
      </c>
      <c r="E375">
        <v>912791</v>
      </c>
      <c r="F375">
        <v>-141345</v>
      </c>
      <c r="G375">
        <v>-7940</v>
      </c>
      <c r="H375">
        <v>307530</v>
      </c>
      <c r="I375">
        <v>147958</v>
      </c>
      <c r="J375">
        <v>-32482</v>
      </c>
      <c r="K375">
        <v>461177</v>
      </c>
      <c r="L375">
        <v>-22648</v>
      </c>
      <c r="M375">
        <v>11.94</v>
      </c>
      <c r="N375">
        <f t="shared" si="15"/>
        <v>1839643</v>
      </c>
      <c r="O375">
        <v>21215300</v>
      </c>
      <c r="P375" s="2">
        <f t="shared" si="16"/>
        <v>8.6713032575546887</v>
      </c>
      <c r="Q375" s="4">
        <f t="shared" si="17"/>
        <v>25.331068200000001</v>
      </c>
    </row>
    <row r="376" spans="1:17" x14ac:dyDescent="0.4">
      <c r="A376">
        <v>20210808</v>
      </c>
      <c r="B376" s="1">
        <v>0.79166666666666663</v>
      </c>
      <c r="C376">
        <v>110591</v>
      </c>
      <c r="D376">
        <v>138780</v>
      </c>
      <c r="E376">
        <v>552265</v>
      </c>
      <c r="F376">
        <v>-247105</v>
      </c>
      <c r="G376">
        <v>7977</v>
      </c>
      <c r="H376">
        <v>234191</v>
      </c>
      <c r="I376">
        <v>126516</v>
      </c>
      <c r="J376">
        <v>3882</v>
      </c>
      <c r="K376">
        <v>537811</v>
      </c>
      <c r="L376">
        <v>-24840</v>
      </c>
      <c r="M376">
        <v>11.94</v>
      </c>
      <c r="N376">
        <f t="shared" si="15"/>
        <v>1440068</v>
      </c>
      <c r="O376">
        <v>21175550</v>
      </c>
      <c r="P376" s="2">
        <f t="shared" si="16"/>
        <v>6.8006167490336731</v>
      </c>
      <c r="Q376" s="4">
        <f t="shared" si="17"/>
        <v>25.2836067</v>
      </c>
    </row>
    <row r="377" spans="1:17" x14ac:dyDescent="0.4">
      <c r="A377">
        <v>20210808</v>
      </c>
      <c r="B377" s="1">
        <v>0.8125</v>
      </c>
      <c r="C377">
        <v>130265</v>
      </c>
      <c r="D377">
        <v>123733</v>
      </c>
      <c r="E377">
        <v>410477</v>
      </c>
      <c r="F377">
        <v>-176964</v>
      </c>
      <c r="G377">
        <v>-4761</v>
      </c>
      <c r="H377">
        <v>199422</v>
      </c>
      <c r="I377">
        <v>117210</v>
      </c>
      <c r="J377">
        <v>23368</v>
      </c>
      <c r="K377">
        <v>580688</v>
      </c>
      <c r="L377">
        <v>-19902</v>
      </c>
      <c r="M377">
        <v>10.4</v>
      </c>
      <c r="N377">
        <f t="shared" si="15"/>
        <v>1383536</v>
      </c>
      <c r="O377">
        <v>21157300</v>
      </c>
      <c r="P377" s="2">
        <f t="shared" si="16"/>
        <v>6.5392843132157692</v>
      </c>
      <c r="Q377" s="4">
        <f t="shared" si="17"/>
        <v>22.003592000000001</v>
      </c>
    </row>
    <row r="378" spans="1:17" x14ac:dyDescent="0.4">
      <c r="A378">
        <v>20210808</v>
      </c>
      <c r="B378" s="1">
        <v>0.83333333333333337</v>
      </c>
      <c r="C378">
        <v>154963</v>
      </c>
      <c r="D378">
        <v>218448</v>
      </c>
      <c r="E378">
        <v>384292</v>
      </c>
      <c r="F378">
        <v>-200017</v>
      </c>
      <c r="G378">
        <v>-1488</v>
      </c>
      <c r="H378">
        <v>206917</v>
      </c>
      <c r="I378">
        <v>212638</v>
      </c>
      <c r="J378">
        <v>24474</v>
      </c>
      <c r="K378">
        <v>629551</v>
      </c>
      <c r="L378">
        <v>-34799</v>
      </c>
      <c r="M378">
        <v>10.27</v>
      </c>
      <c r="N378">
        <f t="shared" si="15"/>
        <v>1594979</v>
      </c>
      <c r="O378">
        <v>21131900</v>
      </c>
      <c r="P378" s="2">
        <f t="shared" si="16"/>
        <v>7.5477311552676287</v>
      </c>
      <c r="Q378" s="4">
        <f t="shared" si="17"/>
        <v>21.7024613</v>
      </c>
    </row>
    <row r="379" spans="1:17" x14ac:dyDescent="0.4">
      <c r="A379">
        <v>20210808</v>
      </c>
      <c r="B379" s="1">
        <v>0.85416666666666663</v>
      </c>
      <c r="C379">
        <v>116979</v>
      </c>
      <c r="D379">
        <v>199443</v>
      </c>
      <c r="E379">
        <v>416294</v>
      </c>
      <c r="F379">
        <v>-124707</v>
      </c>
      <c r="G379">
        <v>-60229</v>
      </c>
      <c r="H379">
        <v>115081</v>
      </c>
      <c r="I379">
        <v>165061</v>
      </c>
      <c r="J379">
        <v>25063</v>
      </c>
      <c r="K379">
        <v>672026</v>
      </c>
      <c r="L379">
        <v>-18734</v>
      </c>
      <c r="M379">
        <v>10.27</v>
      </c>
      <c r="N379">
        <f t="shared" si="15"/>
        <v>1506277</v>
      </c>
      <c r="O379">
        <v>21041850</v>
      </c>
      <c r="P379" s="2">
        <f t="shared" si="16"/>
        <v>7.1584817874854156</v>
      </c>
      <c r="Q379" s="4">
        <f t="shared" si="17"/>
        <v>21.60997995</v>
      </c>
    </row>
    <row r="380" spans="1:17" x14ac:dyDescent="0.4">
      <c r="A380">
        <v>20210808</v>
      </c>
      <c r="B380" s="1">
        <v>0.875</v>
      </c>
      <c r="C380">
        <v>192652</v>
      </c>
      <c r="D380">
        <v>232840</v>
      </c>
      <c r="E380">
        <v>430562</v>
      </c>
      <c r="F380">
        <v>-134774</v>
      </c>
      <c r="G380">
        <v>16596</v>
      </c>
      <c r="H380">
        <v>108893</v>
      </c>
      <c r="I380">
        <v>144695</v>
      </c>
      <c r="J380">
        <v>23880</v>
      </c>
      <c r="K380">
        <v>587636</v>
      </c>
      <c r="L380">
        <v>-31143</v>
      </c>
      <c r="M380">
        <v>10.01</v>
      </c>
      <c r="N380">
        <f t="shared" si="15"/>
        <v>1571837</v>
      </c>
      <c r="O380">
        <v>20448400</v>
      </c>
      <c r="P380" s="2">
        <f t="shared" si="16"/>
        <v>7.6868459145947847</v>
      </c>
      <c r="Q380" s="4">
        <f t="shared" si="17"/>
        <v>20.468848399999999</v>
      </c>
    </row>
    <row r="381" spans="1:17" x14ac:dyDescent="0.4">
      <c r="A381">
        <v>20210808</v>
      </c>
      <c r="B381" s="1">
        <v>0.89583333333333337</v>
      </c>
      <c r="C381">
        <v>165686</v>
      </c>
      <c r="D381">
        <v>253293</v>
      </c>
      <c r="E381">
        <v>415522</v>
      </c>
      <c r="F381">
        <v>-204215</v>
      </c>
      <c r="G381">
        <v>-6958</v>
      </c>
      <c r="H381">
        <v>7333</v>
      </c>
      <c r="I381">
        <v>135408</v>
      </c>
      <c r="J381">
        <v>14935</v>
      </c>
      <c r="K381">
        <v>525466</v>
      </c>
      <c r="L381">
        <v>-18322</v>
      </c>
      <c r="M381">
        <v>9.9600000000000009</v>
      </c>
      <c r="N381">
        <f t="shared" si="15"/>
        <v>1288148</v>
      </c>
      <c r="O381">
        <v>20319300</v>
      </c>
      <c r="P381" s="2">
        <f t="shared" si="16"/>
        <v>6.3395294129226896</v>
      </c>
      <c r="Q381" s="4">
        <f t="shared" si="17"/>
        <v>20.238022800000003</v>
      </c>
    </row>
    <row r="382" spans="1:17" x14ac:dyDescent="0.4">
      <c r="A382">
        <v>20210808</v>
      </c>
      <c r="B382" s="1">
        <v>0.91666666666666663</v>
      </c>
      <c r="C382">
        <v>183690</v>
      </c>
      <c r="D382">
        <v>223383</v>
      </c>
      <c r="E382">
        <v>417697</v>
      </c>
      <c r="F382">
        <v>-118362</v>
      </c>
      <c r="G382">
        <v>18465</v>
      </c>
      <c r="H382">
        <v>100789</v>
      </c>
      <c r="I382">
        <v>114011</v>
      </c>
      <c r="J382">
        <v>13560</v>
      </c>
      <c r="K382">
        <v>470362</v>
      </c>
      <c r="L382">
        <v>-31084</v>
      </c>
      <c r="M382">
        <v>9.6</v>
      </c>
      <c r="N382">
        <f t="shared" si="15"/>
        <v>1392511</v>
      </c>
      <c r="O382">
        <v>19929650</v>
      </c>
      <c r="P382" s="2">
        <f t="shared" si="16"/>
        <v>6.9871322376459197</v>
      </c>
      <c r="Q382" s="4">
        <f t="shared" si="17"/>
        <v>19.132463999999999</v>
      </c>
    </row>
    <row r="383" spans="1:17" x14ac:dyDescent="0.4">
      <c r="A383">
        <v>20210808</v>
      </c>
      <c r="B383" s="1">
        <v>0.9375</v>
      </c>
      <c r="C383">
        <v>141944</v>
      </c>
      <c r="D383">
        <v>230447</v>
      </c>
      <c r="E383">
        <v>276550</v>
      </c>
      <c r="F383">
        <v>-148405</v>
      </c>
      <c r="G383">
        <v>11387</v>
      </c>
      <c r="H383">
        <v>-33188</v>
      </c>
      <c r="I383">
        <v>181491</v>
      </c>
      <c r="J383">
        <v>18298</v>
      </c>
      <c r="K383">
        <v>458358</v>
      </c>
      <c r="L383">
        <v>-15522</v>
      </c>
      <c r="M383">
        <v>9.5500000000000007</v>
      </c>
      <c r="N383">
        <f t="shared" si="15"/>
        <v>1121360</v>
      </c>
      <c r="O383">
        <v>19679000</v>
      </c>
      <c r="P383" s="2">
        <f t="shared" si="16"/>
        <v>5.6982570252553479</v>
      </c>
      <c r="Q383" s="4">
        <f t="shared" si="17"/>
        <v>18.793444999999998</v>
      </c>
    </row>
    <row r="384" spans="1:17" x14ac:dyDescent="0.4">
      <c r="A384">
        <v>20210808</v>
      </c>
      <c r="B384" s="1">
        <v>0.95833333333333337</v>
      </c>
      <c r="C384">
        <v>166197</v>
      </c>
      <c r="D384">
        <v>159705</v>
      </c>
      <c r="E384">
        <v>344733</v>
      </c>
      <c r="F384">
        <v>-204915</v>
      </c>
      <c r="G384">
        <v>10032</v>
      </c>
      <c r="H384">
        <v>-72403</v>
      </c>
      <c r="I384">
        <v>209716</v>
      </c>
      <c r="J384">
        <v>35281</v>
      </c>
      <c r="K384">
        <v>346152</v>
      </c>
      <c r="L384">
        <v>-27159</v>
      </c>
      <c r="M384">
        <v>7.89</v>
      </c>
      <c r="N384">
        <f t="shared" si="15"/>
        <v>967339</v>
      </c>
      <c r="O384">
        <v>19169200</v>
      </c>
      <c r="P384" s="2">
        <f t="shared" si="16"/>
        <v>5.0463190952152415</v>
      </c>
      <c r="Q384" s="4">
        <f t="shared" si="17"/>
        <v>15.1244988</v>
      </c>
    </row>
    <row r="385" spans="1:17" x14ac:dyDescent="0.4">
      <c r="A385">
        <v>20210808</v>
      </c>
      <c r="B385" s="1">
        <v>0.97916666666666663</v>
      </c>
      <c r="C385">
        <v>186422</v>
      </c>
      <c r="D385">
        <v>169296</v>
      </c>
      <c r="E385">
        <v>280735</v>
      </c>
      <c r="F385">
        <v>-157004</v>
      </c>
      <c r="G385">
        <v>-13862</v>
      </c>
      <c r="H385">
        <v>-111969</v>
      </c>
      <c r="I385">
        <v>215983</v>
      </c>
      <c r="J385">
        <v>22447</v>
      </c>
      <c r="K385">
        <v>460253</v>
      </c>
      <c r="L385">
        <v>-8094</v>
      </c>
      <c r="M385">
        <v>7.44</v>
      </c>
      <c r="N385">
        <f t="shared" si="15"/>
        <v>1044207</v>
      </c>
      <c r="O385">
        <v>18127700</v>
      </c>
      <c r="P385" s="2">
        <f t="shared" si="16"/>
        <v>5.7602839852821921</v>
      </c>
      <c r="Q385" s="4">
        <f t="shared" si="17"/>
        <v>13.4870088</v>
      </c>
    </row>
    <row r="386" spans="1:17" x14ac:dyDescent="0.4">
      <c r="A386">
        <v>20210809</v>
      </c>
      <c r="B386" s="1">
        <v>0</v>
      </c>
      <c r="C386">
        <v>168407</v>
      </c>
      <c r="D386">
        <v>265083</v>
      </c>
      <c r="E386">
        <v>215417</v>
      </c>
      <c r="F386">
        <v>-133492</v>
      </c>
      <c r="G386">
        <v>13250</v>
      </c>
      <c r="H386">
        <v>-80713</v>
      </c>
      <c r="I386">
        <v>184494</v>
      </c>
      <c r="J386">
        <v>-20127</v>
      </c>
      <c r="K386">
        <v>375447</v>
      </c>
      <c r="L386">
        <v>-10883</v>
      </c>
      <c r="M386">
        <v>7.11</v>
      </c>
      <c r="N386">
        <f t="shared" si="15"/>
        <v>976883</v>
      </c>
      <c r="O386">
        <v>17704200</v>
      </c>
      <c r="P386" s="2">
        <f t="shared" si="16"/>
        <v>5.517803685001299</v>
      </c>
      <c r="Q386" s="4">
        <f t="shared" si="17"/>
        <v>12.5876862</v>
      </c>
    </row>
    <row r="387" spans="1:17" x14ac:dyDescent="0.4">
      <c r="A387">
        <v>20210809</v>
      </c>
      <c r="B387" s="1">
        <v>2.0833333333333332E-2</v>
      </c>
      <c r="C387">
        <v>149436</v>
      </c>
      <c r="D387">
        <v>272159</v>
      </c>
      <c r="E387">
        <v>338632</v>
      </c>
      <c r="F387">
        <v>-90221</v>
      </c>
      <c r="G387">
        <v>19442</v>
      </c>
      <c r="H387">
        <v>-196659</v>
      </c>
      <c r="I387">
        <v>235506</v>
      </c>
      <c r="J387">
        <v>-24041</v>
      </c>
      <c r="K387">
        <v>315983</v>
      </c>
      <c r="L387">
        <v>4590</v>
      </c>
      <c r="M387">
        <v>6.99</v>
      </c>
      <c r="N387">
        <f t="shared" ref="N387:N450" si="18">C387+D387+E387+F387+G387+H387+I387+J387+K387+L387</f>
        <v>1024827</v>
      </c>
      <c r="O387">
        <v>18817900</v>
      </c>
      <c r="P387" s="2">
        <f t="shared" ref="P387:P450" si="19">((N387*100)/O387)</f>
        <v>5.4460221384957936</v>
      </c>
      <c r="Q387" s="4">
        <f t="shared" ref="Q387:Q450" si="20">(M387*O387)/10^7</f>
        <v>13.1537121</v>
      </c>
    </row>
    <row r="388" spans="1:17" x14ac:dyDescent="0.4">
      <c r="A388">
        <v>20210809</v>
      </c>
      <c r="B388" s="1">
        <v>4.1666666666666664E-2</v>
      </c>
      <c r="C388">
        <v>121258</v>
      </c>
      <c r="D388">
        <v>244032</v>
      </c>
      <c r="E388">
        <v>290166</v>
      </c>
      <c r="F388">
        <v>-121296</v>
      </c>
      <c r="G388">
        <v>37801</v>
      </c>
      <c r="H388">
        <v>-48060</v>
      </c>
      <c r="I388">
        <v>243665</v>
      </c>
      <c r="J388">
        <v>-10490</v>
      </c>
      <c r="K388">
        <v>222185</v>
      </c>
      <c r="L388">
        <v>-6093</v>
      </c>
      <c r="M388">
        <v>6.99</v>
      </c>
      <c r="N388">
        <f t="shared" si="18"/>
        <v>973168</v>
      </c>
      <c r="O388">
        <v>19280350</v>
      </c>
      <c r="P388" s="2">
        <f t="shared" si="19"/>
        <v>5.0474602380143514</v>
      </c>
      <c r="Q388" s="4">
        <f t="shared" si="20"/>
        <v>13.476964649999999</v>
      </c>
    </row>
    <row r="389" spans="1:17" x14ac:dyDescent="0.4">
      <c r="A389">
        <v>20210809</v>
      </c>
      <c r="B389" s="1">
        <v>6.25E-2</v>
      </c>
      <c r="C389">
        <v>111951</v>
      </c>
      <c r="D389">
        <v>225542</v>
      </c>
      <c r="E389">
        <v>355736</v>
      </c>
      <c r="F389">
        <v>-30483</v>
      </c>
      <c r="G389">
        <v>38224</v>
      </c>
      <c r="H389">
        <v>-101582</v>
      </c>
      <c r="I389">
        <v>218447</v>
      </c>
      <c r="J389">
        <v>-7756</v>
      </c>
      <c r="K389">
        <v>266596</v>
      </c>
      <c r="L389">
        <v>6140</v>
      </c>
      <c r="M389">
        <v>6.92</v>
      </c>
      <c r="N389">
        <f t="shared" si="18"/>
        <v>1082815</v>
      </c>
      <c r="O389">
        <v>19425750</v>
      </c>
      <c r="P389" s="2">
        <f t="shared" si="19"/>
        <v>5.5741219772724344</v>
      </c>
      <c r="Q389" s="4">
        <f t="shared" si="20"/>
        <v>13.442619000000001</v>
      </c>
    </row>
    <row r="390" spans="1:17" x14ac:dyDescent="0.4">
      <c r="A390">
        <v>20210809</v>
      </c>
      <c r="B390" s="1">
        <v>8.3333333333333329E-2</v>
      </c>
      <c r="C390">
        <v>75529</v>
      </c>
      <c r="D390">
        <v>284092</v>
      </c>
      <c r="E390">
        <v>260248</v>
      </c>
      <c r="F390">
        <v>-37968</v>
      </c>
      <c r="G390">
        <v>21950</v>
      </c>
      <c r="H390">
        <v>-42892</v>
      </c>
      <c r="I390">
        <v>295260</v>
      </c>
      <c r="J390">
        <v>-87</v>
      </c>
      <c r="K390">
        <v>173604</v>
      </c>
      <c r="L390">
        <v>1945</v>
      </c>
      <c r="M390">
        <v>6.99</v>
      </c>
      <c r="N390">
        <f t="shared" si="18"/>
        <v>1031681</v>
      </c>
      <c r="O390">
        <v>19490400</v>
      </c>
      <c r="P390" s="2">
        <f t="shared" si="19"/>
        <v>5.2932777162090057</v>
      </c>
      <c r="Q390" s="4">
        <f t="shared" si="20"/>
        <v>13.6237896</v>
      </c>
    </row>
    <row r="391" spans="1:17" x14ac:dyDescent="0.4">
      <c r="A391">
        <v>20210809</v>
      </c>
      <c r="B391" s="1">
        <v>0.10416666666666667</v>
      </c>
      <c r="C391">
        <v>142276</v>
      </c>
      <c r="D391">
        <v>282133</v>
      </c>
      <c r="E391">
        <v>246136</v>
      </c>
      <c r="F391">
        <v>-26624</v>
      </c>
      <c r="G391">
        <v>5629</v>
      </c>
      <c r="H391">
        <v>-38638</v>
      </c>
      <c r="I391">
        <v>285079</v>
      </c>
      <c r="J391">
        <v>-40291</v>
      </c>
      <c r="K391">
        <v>75296</v>
      </c>
      <c r="L391">
        <v>1056</v>
      </c>
      <c r="M391">
        <v>6.99</v>
      </c>
      <c r="N391">
        <f t="shared" si="18"/>
        <v>932052</v>
      </c>
      <c r="O391">
        <v>19515650</v>
      </c>
      <c r="P391" s="2">
        <f t="shared" si="19"/>
        <v>4.7759208635121047</v>
      </c>
      <c r="Q391" s="4">
        <f t="shared" si="20"/>
        <v>13.641439350000001</v>
      </c>
    </row>
    <row r="392" spans="1:17" x14ac:dyDescent="0.4">
      <c r="A392">
        <v>20210809</v>
      </c>
      <c r="B392" s="1">
        <v>0.125</v>
      </c>
      <c r="C392">
        <v>124986</v>
      </c>
      <c r="D392">
        <v>271334</v>
      </c>
      <c r="E392">
        <v>1003680</v>
      </c>
      <c r="F392">
        <v>-105025</v>
      </c>
      <c r="G392">
        <v>16695</v>
      </c>
      <c r="H392">
        <v>-28298</v>
      </c>
      <c r="I392">
        <v>173294</v>
      </c>
      <c r="J392">
        <v>-13825</v>
      </c>
      <c r="K392">
        <v>133609</v>
      </c>
      <c r="L392">
        <v>-11596</v>
      </c>
      <c r="M392">
        <v>6.99</v>
      </c>
      <c r="N392">
        <f t="shared" si="18"/>
        <v>1564854</v>
      </c>
      <c r="O392">
        <v>19607750</v>
      </c>
      <c r="P392" s="2">
        <f t="shared" si="19"/>
        <v>7.9807933087682166</v>
      </c>
      <c r="Q392" s="4">
        <f t="shared" si="20"/>
        <v>13.705817250000001</v>
      </c>
    </row>
    <row r="393" spans="1:17" x14ac:dyDescent="0.4">
      <c r="A393">
        <v>20210809</v>
      </c>
      <c r="B393" s="1">
        <v>0.14583333333333334</v>
      </c>
      <c r="C393">
        <v>100823</v>
      </c>
      <c r="D393">
        <v>289872</v>
      </c>
      <c r="E393">
        <v>950721</v>
      </c>
      <c r="F393">
        <v>-96072</v>
      </c>
      <c r="G393">
        <v>27940</v>
      </c>
      <c r="H393">
        <v>18057</v>
      </c>
      <c r="I393">
        <v>100451</v>
      </c>
      <c r="J393">
        <v>-7621</v>
      </c>
      <c r="K393">
        <v>114071</v>
      </c>
      <c r="L393">
        <v>-4437</v>
      </c>
      <c r="M393">
        <v>7.03</v>
      </c>
      <c r="N393">
        <f t="shared" si="18"/>
        <v>1493805</v>
      </c>
      <c r="O393">
        <v>19671100</v>
      </c>
      <c r="P393" s="2">
        <f t="shared" si="19"/>
        <v>7.5939067972812913</v>
      </c>
      <c r="Q393" s="4">
        <f t="shared" si="20"/>
        <v>13.8287833</v>
      </c>
    </row>
    <row r="394" spans="1:17" x14ac:dyDescent="0.4">
      <c r="A394">
        <v>20210809</v>
      </c>
      <c r="B394" s="1">
        <v>0.16666666666666666</v>
      </c>
      <c r="C394">
        <v>52491</v>
      </c>
      <c r="D394">
        <v>270808</v>
      </c>
      <c r="E394">
        <v>937624</v>
      </c>
      <c r="F394">
        <v>-156639</v>
      </c>
      <c r="G394">
        <v>28345</v>
      </c>
      <c r="H394">
        <v>87325</v>
      </c>
      <c r="I394">
        <v>95787</v>
      </c>
      <c r="J394">
        <v>6484</v>
      </c>
      <c r="K394">
        <v>102579</v>
      </c>
      <c r="L394">
        <v>-12121</v>
      </c>
      <c r="M394">
        <v>7.01</v>
      </c>
      <c r="N394">
        <f t="shared" si="18"/>
        <v>1412683</v>
      </c>
      <c r="O394">
        <v>19708350</v>
      </c>
      <c r="P394" s="2">
        <f t="shared" si="19"/>
        <v>7.1679415070262094</v>
      </c>
      <c r="Q394" s="4">
        <f t="shared" si="20"/>
        <v>13.81555335</v>
      </c>
    </row>
    <row r="395" spans="1:17" x14ac:dyDescent="0.4">
      <c r="A395">
        <v>20210809</v>
      </c>
      <c r="B395" s="1">
        <v>0.1875</v>
      </c>
      <c r="C395">
        <v>105812</v>
      </c>
      <c r="D395">
        <v>252120</v>
      </c>
      <c r="E395">
        <v>177231</v>
      </c>
      <c r="F395">
        <v>-138224</v>
      </c>
      <c r="G395">
        <v>-14478</v>
      </c>
      <c r="H395">
        <v>-111553</v>
      </c>
      <c r="I395">
        <v>153072</v>
      </c>
      <c r="J395">
        <v>-9110</v>
      </c>
      <c r="K395">
        <v>84375</v>
      </c>
      <c r="L395">
        <v>-7935</v>
      </c>
      <c r="M395">
        <v>7.01</v>
      </c>
      <c r="N395">
        <f t="shared" si="18"/>
        <v>491310</v>
      </c>
      <c r="O395">
        <v>19739450</v>
      </c>
      <c r="P395" s="2">
        <f t="shared" si="19"/>
        <v>2.4889751234203588</v>
      </c>
      <c r="Q395" s="4">
        <f t="shared" si="20"/>
        <v>13.837354449999999</v>
      </c>
    </row>
    <row r="396" spans="1:17" x14ac:dyDescent="0.4">
      <c r="A396">
        <v>20210809</v>
      </c>
      <c r="B396" s="1">
        <v>0.20833333333333334</v>
      </c>
      <c r="C396">
        <v>75535</v>
      </c>
      <c r="D396">
        <v>213509</v>
      </c>
      <c r="E396">
        <v>309039</v>
      </c>
      <c r="F396">
        <v>-284827</v>
      </c>
      <c r="G396">
        <v>-17100</v>
      </c>
      <c r="H396">
        <v>-223168</v>
      </c>
      <c r="I396">
        <v>125451</v>
      </c>
      <c r="J396">
        <v>-49689</v>
      </c>
      <c r="K396">
        <v>108670</v>
      </c>
      <c r="L396">
        <v>-17295</v>
      </c>
      <c r="M396">
        <v>7.08</v>
      </c>
      <c r="N396">
        <f t="shared" si="18"/>
        <v>240125</v>
      </c>
      <c r="O396">
        <v>19724900</v>
      </c>
      <c r="P396" s="2">
        <f t="shared" si="19"/>
        <v>1.2173699232949216</v>
      </c>
      <c r="Q396" s="4">
        <f t="shared" si="20"/>
        <v>13.9652292</v>
      </c>
    </row>
    <row r="397" spans="1:17" x14ac:dyDescent="0.4">
      <c r="A397">
        <v>20210809</v>
      </c>
      <c r="B397" s="1">
        <v>0.22916666666666666</v>
      </c>
      <c r="C397">
        <v>48791</v>
      </c>
      <c r="D397">
        <v>260899</v>
      </c>
      <c r="E397">
        <v>523335</v>
      </c>
      <c r="F397">
        <v>-298666</v>
      </c>
      <c r="G397">
        <v>-10068</v>
      </c>
      <c r="H397">
        <v>-213175</v>
      </c>
      <c r="I397">
        <v>208583</v>
      </c>
      <c r="J397">
        <v>-38049</v>
      </c>
      <c r="K397">
        <v>77373</v>
      </c>
      <c r="L397">
        <v>-8319</v>
      </c>
      <c r="M397">
        <v>7.01</v>
      </c>
      <c r="N397">
        <f t="shared" si="18"/>
        <v>550704</v>
      </c>
      <c r="O397">
        <v>19951700</v>
      </c>
      <c r="P397" s="2">
        <f t="shared" si="19"/>
        <v>2.760185848824912</v>
      </c>
      <c r="Q397" s="4">
        <f t="shared" si="20"/>
        <v>13.986141699999999</v>
      </c>
    </row>
    <row r="398" spans="1:17" x14ac:dyDescent="0.4">
      <c r="A398">
        <v>20210809</v>
      </c>
      <c r="B398" s="1">
        <v>0.25</v>
      </c>
      <c r="C398">
        <v>106149</v>
      </c>
      <c r="D398">
        <v>279344</v>
      </c>
      <c r="E398">
        <v>399259</v>
      </c>
      <c r="F398">
        <v>-293333</v>
      </c>
      <c r="G398">
        <v>-7876</v>
      </c>
      <c r="H398">
        <v>-296046</v>
      </c>
      <c r="I398">
        <v>186219</v>
      </c>
      <c r="J398">
        <v>5596</v>
      </c>
      <c r="K398">
        <v>-23148</v>
      </c>
      <c r="L398">
        <v>-15624</v>
      </c>
      <c r="M398">
        <v>6.99</v>
      </c>
      <c r="N398">
        <f t="shared" si="18"/>
        <v>340540</v>
      </c>
      <c r="O398">
        <v>20327300</v>
      </c>
      <c r="P398" s="2">
        <f t="shared" si="19"/>
        <v>1.67528397770486</v>
      </c>
      <c r="Q398" s="4">
        <f t="shared" si="20"/>
        <v>14.2087827</v>
      </c>
    </row>
    <row r="399" spans="1:17" x14ac:dyDescent="0.4">
      <c r="A399">
        <v>20210809</v>
      </c>
      <c r="B399" s="1">
        <v>0.27083333333333331</v>
      </c>
      <c r="C399">
        <v>108698</v>
      </c>
      <c r="D399">
        <v>315071</v>
      </c>
      <c r="E399">
        <v>291594</v>
      </c>
      <c r="F399">
        <v>-156863</v>
      </c>
      <c r="G399">
        <v>-14966</v>
      </c>
      <c r="H399">
        <v>-199963</v>
      </c>
      <c r="I399">
        <v>299214</v>
      </c>
      <c r="J399">
        <v>60129</v>
      </c>
      <c r="K399">
        <v>-81469</v>
      </c>
      <c r="L399">
        <v>-10542</v>
      </c>
      <c r="M399">
        <v>6.99</v>
      </c>
      <c r="N399">
        <f t="shared" si="18"/>
        <v>610903</v>
      </c>
      <c r="O399">
        <v>20681950</v>
      </c>
      <c r="P399" s="2">
        <f t="shared" si="19"/>
        <v>2.9537978768926529</v>
      </c>
      <c r="Q399" s="4">
        <f t="shared" si="20"/>
        <v>14.456683050000001</v>
      </c>
    </row>
    <row r="400" spans="1:17" x14ac:dyDescent="0.4">
      <c r="A400">
        <v>20210809</v>
      </c>
      <c r="B400" s="1">
        <v>0.29166666666666669</v>
      </c>
      <c r="C400">
        <v>150917</v>
      </c>
      <c r="D400">
        <v>325085</v>
      </c>
      <c r="E400">
        <v>238538</v>
      </c>
      <c r="F400">
        <v>48488</v>
      </c>
      <c r="G400">
        <v>42600</v>
      </c>
      <c r="H400">
        <v>-227471</v>
      </c>
      <c r="I400">
        <v>296926</v>
      </c>
      <c r="J400">
        <v>51510</v>
      </c>
      <c r="K400">
        <v>-133766</v>
      </c>
      <c r="L400">
        <v>-5279</v>
      </c>
      <c r="M400">
        <v>6.99</v>
      </c>
      <c r="N400">
        <f t="shared" si="18"/>
        <v>787548</v>
      </c>
      <c r="O400">
        <v>21160500</v>
      </c>
      <c r="P400" s="2">
        <f t="shared" si="19"/>
        <v>3.7217835117317644</v>
      </c>
      <c r="Q400" s="4">
        <f t="shared" si="20"/>
        <v>14.7911895</v>
      </c>
    </row>
    <row r="401" spans="1:17" x14ac:dyDescent="0.4">
      <c r="A401">
        <v>20210809</v>
      </c>
      <c r="B401" s="1">
        <v>0.3125</v>
      </c>
      <c r="C401">
        <v>215648</v>
      </c>
      <c r="D401">
        <v>411920</v>
      </c>
      <c r="E401">
        <v>454084</v>
      </c>
      <c r="F401">
        <v>214906</v>
      </c>
      <c r="G401">
        <v>87480</v>
      </c>
      <c r="H401">
        <v>-259159</v>
      </c>
      <c r="I401">
        <v>400006</v>
      </c>
      <c r="J401">
        <v>51598</v>
      </c>
      <c r="K401">
        <v>-97469</v>
      </c>
      <c r="L401">
        <v>-4200</v>
      </c>
      <c r="M401">
        <v>7.17</v>
      </c>
      <c r="N401">
        <f t="shared" si="18"/>
        <v>1474814</v>
      </c>
      <c r="O401">
        <v>21250150</v>
      </c>
      <c r="P401" s="2">
        <f t="shared" si="19"/>
        <v>6.9402521864551545</v>
      </c>
      <c r="Q401" s="4">
        <f t="shared" si="20"/>
        <v>15.236357549999999</v>
      </c>
    </row>
    <row r="402" spans="1:17" x14ac:dyDescent="0.4">
      <c r="A402">
        <v>20210809</v>
      </c>
      <c r="B402" s="1">
        <v>0.33333333333333331</v>
      </c>
      <c r="C402">
        <v>135460</v>
      </c>
      <c r="D402">
        <v>310576</v>
      </c>
      <c r="E402">
        <v>368248</v>
      </c>
      <c r="F402">
        <v>352096</v>
      </c>
      <c r="G402">
        <v>170026</v>
      </c>
      <c r="H402">
        <v>-326032</v>
      </c>
      <c r="I402">
        <v>-82699</v>
      </c>
      <c r="J402">
        <v>-74427</v>
      </c>
      <c r="K402">
        <v>-115724</v>
      </c>
      <c r="L402">
        <v>-6485</v>
      </c>
      <c r="M402">
        <v>7.91</v>
      </c>
      <c r="N402">
        <f t="shared" si="18"/>
        <v>731039</v>
      </c>
      <c r="O402">
        <v>22050950</v>
      </c>
      <c r="P402" s="2">
        <f t="shared" si="19"/>
        <v>3.3152267816125836</v>
      </c>
      <c r="Q402" s="4">
        <f t="shared" si="20"/>
        <v>17.442301449999999</v>
      </c>
    </row>
    <row r="403" spans="1:17" x14ac:dyDescent="0.4">
      <c r="A403">
        <v>20210809</v>
      </c>
      <c r="B403" s="1">
        <v>0.35416666666666669</v>
      </c>
      <c r="C403">
        <v>191777</v>
      </c>
      <c r="D403">
        <v>319446</v>
      </c>
      <c r="E403">
        <v>239712</v>
      </c>
      <c r="F403">
        <v>206731</v>
      </c>
      <c r="G403">
        <v>194768</v>
      </c>
      <c r="H403">
        <v>-385502</v>
      </c>
      <c r="I403">
        <v>-122765</v>
      </c>
      <c r="J403">
        <v>-92180</v>
      </c>
      <c r="K403">
        <v>-85833</v>
      </c>
      <c r="L403">
        <v>-17887</v>
      </c>
      <c r="M403">
        <v>8.11</v>
      </c>
      <c r="N403">
        <f t="shared" si="18"/>
        <v>448267</v>
      </c>
      <c r="O403">
        <v>22305550</v>
      </c>
      <c r="P403" s="2">
        <f t="shared" si="19"/>
        <v>2.0096657558320685</v>
      </c>
      <c r="Q403" s="4">
        <f t="shared" si="20"/>
        <v>18.089801049999998</v>
      </c>
    </row>
    <row r="404" spans="1:17" x14ac:dyDescent="0.4">
      <c r="A404">
        <v>20210809</v>
      </c>
      <c r="B404" s="1">
        <v>0.375</v>
      </c>
      <c r="C404">
        <v>124358</v>
      </c>
      <c r="D404">
        <v>307309</v>
      </c>
      <c r="E404">
        <v>80896</v>
      </c>
      <c r="F404">
        <v>141051</v>
      </c>
      <c r="G404">
        <v>182203</v>
      </c>
      <c r="H404">
        <v>-353147</v>
      </c>
      <c r="I404">
        <v>-77256</v>
      </c>
      <c r="J404">
        <v>-50025</v>
      </c>
      <c r="K404">
        <v>-82712</v>
      </c>
      <c r="L404">
        <v>7321</v>
      </c>
      <c r="M404">
        <v>8.86</v>
      </c>
      <c r="N404">
        <f t="shared" si="18"/>
        <v>279998</v>
      </c>
      <c r="O404">
        <v>22504000</v>
      </c>
      <c r="P404" s="2">
        <f t="shared" si="19"/>
        <v>1.2442143618912194</v>
      </c>
      <c r="Q404" s="4">
        <f t="shared" si="20"/>
        <v>19.938544</v>
      </c>
    </row>
    <row r="405" spans="1:17" x14ac:dyDescent="0.4">
      <c r="A405">
        <v>20210809</v>
      </c>
      <c r="B405" s="1">
        <v>0.39583333333333331</v>
      </c>
      <c r="C405">
        <v>146922</v>
      </c>
      <c r="D405">
        <v>256565</v>
      </c>
      <c r="E405">
        <v>-148051</v>
      </c>
      <c r="F405">
        <v>6804</v>
      </c>
      <c r="G405">
        <v>151854</v>
      </c>
      <c r="H405">
        <v>-5466</v>
      </c>
      <c r="I405">
        <v>-16161</v>
      </c>
      <c r="J405">
        <v>-21289</v>
      </c>
      <c r="K405">
        <v>-10571</v>
      </c>
      <c r="L405">
        <v>371</v>
      </c>
      <c r="M405">
        <v>8.86</v>
      </c>
      <c r="N405">
        <f t="shared" si="18"/>
        <v>360978</v>
      </c>
      <c r="O405">
        <v>22661800</v>
      </c>
      <c r="P405" s="2">
        <f t="shared" si="19"/>
        <v>1.5928920032830578</v>
      </c>
      <c r="Q405" s="4">
        <f t="shared" si="20"/>
        <v>20.0783548</v>
      </c>
    </row>
    <row r="406" spans="1:17" x14ac:dyDescent="0.4">
      <c r="A406">
        <v>20210809</v>
      </c>
      <c r="B406" s="1">
        <v>0.41666666666666669</v>
      </c>
      <c r="C406">
        <v>165808</v>
      </c>
      <c r="D406">
        <v>272843</v>
      </c>
      <c r="E406">
        <v>482129</v>
      </c>
      <c r="F406">
        <v>134904</v>
      </c>
      <c r="G406">
        <v>135448</v>
      </c>
      <c r="H406">
        <v>261932</v>
      </c>
      <c r="I406">
        <v>-67611</v>
      </c>
      <c r="J406">
        <v>85343</v>
      </c>
      <c r="K406">
        <v>183682</v>
      </c>
      <c r="L406">
        <v>-175</v>
      </c>
      <c r="M406">
        <v>9.5299999999999994</v>
      </c>
      <c r="N406">
        <f t="shared" si="18"/>
        <v>1654303</v>
      </c>
      <c r="O406">
        <v>22659300</v>
      </c>
      <c r="P406" s="2">
        <f t="shared" si="19"/>
        <v>7.3007683379451267</v>
      </c>
      <c r="Q406" s="4">
        <f t="shared" si="20"/>
        <v>21.594312899999998</v>
      </c>
    </row>
    <row r="407" spans="1:17" x14ac:dyDescent="0.4">
      <c r="A407">
        <v>20210809</v>
      </c>
      <c r="B407" s="1">
        <v>0.4375</v>
      </c>
      <c r="C407">
        <v>160686</v>
      </c>
      <c r="D407">
        <v>392919</v>
      </c>
      <c r="E407">
        <v>1728306</v>
      </c>
      <c r="F407">
        <v>144187</v>
      </c>
      <c r="G407">
        <v>129039</v>
      </c>
      <c r="H407">
        <v>443992</v>
      </c>
      <c r="I407">
        <v>49004</v>
      </c>
      <c r="J407">
        <v>129015</v>
      </c>
      <c r="K407">
        <v>205557</v>
      </c>
      <c r="L407">
        <v>-1083</v>
      </c>
      <c r="M407">
        <v>9.59</v>
      </c>
      <c r="N407">
        <f t="shared" si="18"/>
        <v>3381622</v>
      </c>
      <c r="O407">
        <v>22712050</v>
      </c>
      <c r="P407" s="2">
        <f t="shared" si="19"/>
        <v>14.889109525560221</v>
      </c>
      <c r="Q407" s="4">
        <f t="shared" si="20"/>
        <v>21.780855949999999</v>
      </c>
    </row>
    <row r="408" spans="1:17" x14ac:dyDescent="0.4">
      <c r="A408">
        <v>20210809</v>
      </c>
      <c r="B408" s="1">
        <v>0.45833333333333331</v>
      </c>
      <c r="C408">
        <v>152621</v>
      </c>
      <c r="D408">
        <v>399947</v>
      </c>
      <c r="E408">
        <v>2543856</v>
      </c>
      <c r="F408">
        <v>260955</v>
      </c>
      <c r="G408">
        <v>141097</v>
      </c>
      <c r="H408">
        <v>638086</v>
      </c>
      <c r="I408">
        <v>16553</v>
      </c>
      <c r="J408">
        <v>173167</v>
      </c>
      <c r="K408">
        <v>265857</v>
      </c>
      <c r="L408">
        <v>6873</v>
      </c>
      <c r="M408">
        <v>10.27</v>
      </c>
      <c r="N408">
        <f t="shared" si="18"/>
        <v>4599012</v>
      </c>
      <c r="O408">
        <v>22856250</v>
      </c>
      <c r="P408" s="2">
        <f t="shared" si="19"/>
        <v>20.121463494667761</v>
      </c>
      <c r="Q408" s="4">
        <f t="shared" si="20"/>
        <v>23.473368749999999</v>
      </c>
    </row>
    <row r="409" spans="1:17" x14ac:dyDescent="0.4">
      <c r="A409">
        <v>20210809</v>
      </c>
      <c r="B409" s="1">
        <v>0.47916666666666669</v>
      </c>
      <c r="C409">
        <v>134575</v>
      </c>
      <c r="D409">
        <v>435232</v>
      </c>
      <c r="E409">
        <v>2014186</v>
      </c>
      <c r="F409">
        <v>408944</v>
      </c>
      <c r="G409">
        <v>136519</v>
      </c>
      <c r="H409">
        <v>806232</v>
      </c>
      <c r="I409">
        <v>79943</v>
      </c>
      <c r="J409">
        <v>154228</v>
      </c>
      <c r="K409">
        <v>126230</v>
      </c>
      <c r="L409">
        <v>-3843</v>
      </c>
      <c r="M409">
        <v>10.27</v>
      </c>
      <c r="N409">
        <f t="shared" si="18"/>
        <v>4292246</v>
      </c>
      <c r="O409">
        <v>23534700</v>
      </c>
      <c r="P409" s="2">
        <f t="shared" si="19"/>
        <v>18.237946521519287</v>
      </c>
      <c r="Q409" s="4">
        <f t="shared" si="20"/>
        <v>24.170136899999999</v>
      </c>
    </row>
    <row r="410" spans="1:17" x14ac:dyDescent="0.4">
      <c r="A410">
        <v>20210809</v>
      </c>
      <c r="B410" s="1">
        <v>0.5</v>
      </c>
      <c r="C410">
        <v>152594</v>
      </c>
      <c r="D410">
        <v>478237</v>
      </c>
      <c r="E410">
        <v>2071487</v>
      </c>
      <c r="F410">
        <v>403669</v>
      </c>
      <c r="G410">
        <v>106350</v>
      </c>
      <c r="H410">
        <v>741285</v>
      </c>
      <c r="I410">
        <v>94473</v>
      </c>
      <c r="J410">
        <v>178557</v>
      </c>
      <c r="K410">
        <v>300767</v>
      </c>
      <c r="L410">
        <v>-9101</v>
      </c>
      <c r="M410">
        <v>10.220000000000001</v>
      </c>
      <c r="N410">
        <f t="shared" si="18"/>
        <v>4518318</v>
      </c>
      <c r="O410">
        <v>23247400</v>
      </c>
      <c r="P410" s="2">
        <f t="shared" si="19"/>
        <v>19.435799272176673</v>
      </c>
      <c r="Q410" s="4">
        <f t="shared" si="20"/>
        <v>23.7588428</v>
      </c>
    </row>
    <row r="411" spans="1:17" x14ac:dyDescent="0.4">
      <c r="A411">
        <v>20210809</v>
      </c>
      <c r="B411" s="1">
        <v>0.52083333333333337</v>
      </c>
      <c r="C411">
        <v>131017</v>
      </c>
      <c r="D411">
        <v>594513</v>
      </c>
      <c r="E411">
        <v>1972259</v>
      </c>
      <c r="F411">
        <v>558782</v>
      </c>
      <c r="G411">
        <v>79886</v>
      </c>
      <c r="H411">
        <v>769817</v>
      </c>
      <c r="I411">
        <v>187808</v>
      </c>
      <c r="J411">
        <v>-164225</v>
      </c>
      <c r="K411">
        <v>424401</v>
      </c>
      <c r="L411">
        <v>-29603</v>
      </c>
      <c r="M411">
        <v>10.220000000000001</v>
      </c>
      <c r="N411">
        <f t="shared" si="18"/>
        <v>4524655</v>
      </c>
      <c r="O411">
        <v>23076250</v>
      </c>
      <c r="P411" s="2">
        <f t="shared" si="19"/>
        <v>19.607410216131303</v>
      </c>
      <c r="Q411" s="4">
        <f t="shared" si="20"/>
        <v>23.583927500000001</v>
      </c>
    </row>
    <row r="412" spans="1:17" x14ac:dyDescent="0.4">
      <c r="A412">
        <v>20210809</v>
      </c>
      <c r="B412" s="1">
        <v>0.54166666666666663</v>
      </c>
      <c r="C412">
        <v>118648</v>
      </c>
      <c r="D412">
        <v>429946</v>
      </c>
      <c r="E412">
        <v>1894482</v>
      </c>
      <c r="F412">
        <v>439382</v>
      </c>
      <c r="G412">
        <v>73963</v>
      </c>
      <c r="H412">
        <v>1005136</v>
      </c>
      <c r="I412">
        <v>359557</v>
      </c>
      <c r="J412">
        <v>-261073</v>
      </c>
      <c r="K412">
        <v>624933</v>
      </c>
      <c r="L412">
        <v>-14271</v>
      </c>
      <c r="M412">
        <v>10.220000000000001</v>
      </c>
      <c r="N412">
        <f t="shared" si="18"/>
        <v>4670703</v>
      </c>
      <c r="O412">
        <v>22735500</v>
      </c>
      <c r="P412" s="2">
        <f t="shared" si="19"/>
        <v>20.54365639638451</v>
      </c>
      <c r="Q412" s="4">
        <f t="shared" si="20"/>
        <v>23.235681</v>
      </c>
    </row>
    <row r="413" spans="1:17" x14ac:dyDescent="0.4">
      <c r="A413">
        <v>20210809</v>
      </c>
      <c r="B413" s="1">
        <v>0.5625</v>
      </c>
      <c r="C413">
        <v>119943</v>
      </c>
      <c r="D413">
        <v>477912</v>
      </c>
      <c r="E413">
        <v>1413788</v>
      </c>
      <c r="F413">
        <v>572744</v>
      </c>
      <c r="G413">
        <v>64634</v>
      </c>
      <c r="H413">
        <v>1158427</v>
      </c>
      <c r="I413">
        <v>17041</v>
      </c>
      <c r="J413">
        <v>-350471</v>
      </c>
      <c r="K413">
        <v>607851</v>
      </c>
      <c r="L413">
        <v>-21051</v>
      </c>
      <c r="M413">
        <v>10.220000000000001</v>
      </c>
      <c r="N413">
        <f t="shared" si="18"/>
        <v>4060818</v>
      </c>
      <c r="O413">
        <v>22839400</v>
      </c>
      <c r="P413" s="2">
        <f t="shared" si="19"/>
        <v>17.77988038214664</v>
      </c>
      <c r="Q413" s="4">
        <f t="shared" si="20"/>
        <v>23.341866799999998</v>
      </c>
    </row>
    <row r="414" spans="1:17" x14ac:dyDescent="0.4">
      <c r="A414">
        <v>20210809</v>
      </c>
      <c r="B414" s="1">
        <v>0.58333333333333337</v>
      </c>
      <c r="C414">
        <v>120538</v>
      </c>
      <c r="D414">
        <v>431723</v>
      </c>
      <c r="E414">
        <v>1247633</v>
      </c>
      <c r="F414">
        <v>625215</v>
      </c>
      <c r="G414">
        <v>19079</v>
      </c>
      <c r="H414">
        <v>669131</v>
      </c>
      <c r="I414">
        <v>5948</v>
      </c>
      <c r="J414">
        <v>-278593</v>
      </c>
      <c r="K414">
        <v>546265</v>
      </c>
      <c r="L414">
        <v>-10094</v>
      </c>
      <c r="M414">
        <v>10.27</v>
      </c>
      <c r="N414">
        <f t="shared" si="18"/>
        <v>3376845</v>
      </c>
      <c r="O414">
        <v>22719200</v>
      </c>
      <c r="P414" s="2">
        <f t="shared" si="19"/>
        <v>14.863397478784464</v>
      </c>
      <c r="Q414" s="4">
        <f t="shared" si="20"/>
        <v>23.332618400000001</v>
      </c>
    </row>
    <row r="415" spans="1:17" x14ac:dyDescent="0.4">
      <c r="A415">
        <v>20210809</v>
      </c>
      <c r="B415" s="1">
        <v>0.60416666666666663</v>
      </c>
      <c r="C415">
        <v>63697</v>
      </c>
      <c r="D415">
        <v>419471</v>
      </c>
      <c r="E415">
        <v>934883</v>
      </c>
      <c r="F415">
        <v>773470</v>
      </c>
      <c r="G415">
        <v>42346</v>
      </c>
      <c r="H415">
        <v>719378</v>
      </c>
      <c r="I415">
        <v>217711</v>
      </c>
      <c r="J415">
        <v>-227644</v>
      </c>
      <c r="K415">
        <v>548901</v>
      </c>
      <c r="L415">
        <v>-18500</v>
      </c>
      <c r="M415">
        <v>10.27</v>
      </c>
      <c r="N415">
        <f t="shared" si="18"/>
        <v>3473713</v>
      </c>
      <c r="O415">
        <v>22591800</v>
      </c>
      <c r="P415" s="2">
        <f t="shared" si="19"/>
        <v>15.375990403597765</v>
      </c>
      <c r="Q415" s="4">
        <f t="shared" si="20"/>
        <v>23.201778600000001</v>
      </c>
    </row>
    <row r="416" spans="1:17" x14ac:dyDescent="0.4">
      <c r="A416">
        <v>20210809</v>
      </c>
      <c r="B416" s="1">
        <v>0.625</v>
      </c>
      <c r="C416">
        <v>97944</v>
      </c>
      <c r="D416">
        <v>320924</v>
      </c>
      <c r="E416">
        <v>778041</v>
      </c>
      <c r="F416">
        <v>850594</v>
      </c>
      <c r="G416">
        <v>3735</v>
      </c>
      <c r="H416">
        <v>1254716</v>
      </c>
      <c r="I416">
        <v>106531</v>
      </c>
      <c r="J416">
        <v>-182146</v>
      </c>
      <c r="K416">
        <v>584592</v>
      </c>
      <c r="L416">
        <v>-6832</v>
      </c>
      <c r="M416">
        <v>10.55</v>
      </c>
      <c r="N416">
        <f t="shared" si="18"/>
        <v>3808099</v>
      </c>
      <c r="O416">
        <v>22549400</v>
      </c>
      <c r="P416" s="2">
        <f t="shared" si="19"/>
        <v>16.887806327441083</v>
      </c>
      <c r="Q416" s="4">
        <f t="shared" si="20"/>
        <v>23.789617000000003</v>
      </c>
    </row>
    <row r="417" spans="1:17" x14ac:dyDescent="0.4">
      <c r="A417">
        <v>20210809</v>
      </c>
      <c r="B417" s="1">
        <v>0.64583333333333337</v>
      </c>
      <c r="C417">
        <v>100199</v>
      </c>
      <c r="D417">
        <v>276963</v>
      </c>
      <c r="E417">
        <v>646941</v>
      </c>
      <c r="F417">
        <v>651810</v>
      </c>
      <c r="G417">
        <v>50292</v>
      </c>
      <c r="H417">
        <v>1102860</v>
      </c>
      <c r="I417">
        <v>177068</v>
      </c>
      <c r="J417">
        <v>-169853</v>
      </c>
      <c r="K417">
        <v>538214</v>
      </c>
      <c r="L417">
        <v>-19154</v>
      </c>
      <c r="M417">
        <v>15</v>
      </c>
      <c r="N417">
        <f t="shared" si="18"/>
        <v>3355340</v>
      </c>
      <c r="O417">
        <v>22192650</v>
      </c>
      <c r="P417" s="2">
        <f t="shared" si="19"/>
        <v>15.119149808607805</v>
      </c>
      <c r="Q417" s="4">
        <f t="shared" si="20"/>
        <v>33.288975000000001</v>
      </c>
    </row>
    <row r="418" spans="1:17" x14ac:dyDescent="0.4">
      <c r="A418">
        <v>20210809</v>
      </c>
      <c r="B418" s="1">
        <v>0.66666666666666663</v>
      </c>
      <c r="C418">
        <v>101977</v>
      </c>
      <c r="D418">
        <v>303262</v>
      </c>
      <c r="E418">
        <v>682177</v>
      </c>
      <c r="F418">
        <v>789437</v>
      </c>
      <c r="G418">
        <v>38591</v>
      </c>
      <c r="H418">
        <v>1030676</v>
      </c>
      <c r="I418">
        <v>527622</v>
      </c>
      <c r="J418">
        <v>-103640</v>
      </c>
      <c r="K418">
        <v>483565</v>
      </c>
      <c r="L418">
        <v>-7722</v>
      </c>
      <c r="M418">
        <v>12</v>
      </c>
      <c r="N418">
        <f t="shared" si="18"/>
        <v>3845945</v>
      </c>
      <c r="O418">
        <v>22824900</v>
      </c>
      <c r="P418" s="2">
        <f t="shared" si="19"/>
        <v>16.849778093222753</v>
      </c>
      <c r="Q418" s="4">
        <f t="shared" si="20"/>
        <v>27.389880000000002</v>
      </c>
    </row>
    <row r="419" spans="1:17" x14ac:dyDescent="0.4">
      <c r="A419">
        <v>20210809</v>
      </c>
      <c r="B419" s="1">
        <v>0.6875</v>
      </c>
      <c r="C419">
        <v>95505</v>
      </c>
      <c r="D419">
        <v>281181</v>
      </c>
      <c r="E419">
        <v>712267</v>
      </c>
      <c r="F419">
        <v>831461</v>
      </c>
      <c r="G419">
        <v>63925</v>
      </c>
      <c r="H419">
        <v>940412</v>
      </c>
      <c r="I419">
        <v>541309</v>
      </c>
      <c r="J419">
        <v>-49366</v>
      </c>
      <c r="K419">
        <v>458370</v>
      </c>
      <c r="L419">
        <v>-28263</v>
      </c>
      <c r="M419">
        <v>12.79</v>
      </c>
      <c r="N419">
        <f t="shared" si="18"/>
        <v>3846801</v>
      </c>
      <c r="O419">
        <v>22483750</v>
      </c>
      <c r="P419" s="2">
        <f t="shared" si="19"/>
        <v>17.109250013898926</v>
      </c>
      <c r="Q419" s="4">
        <f t="shared" si="20"/>
        <v>28.75671625</v>
      </c>
    </row>
    <row r="420" spans="1:17" x14ac:dyDescent="0.4">
      <c r="A420">
        <v>20210809</v>
      </c>
      <c r="B420" s="1">
        <v>0.70833333333333337</v>
      </c>
      <c r="C420">
        <v>69628</v>
      </c>
      <c r="D420">
        <v>252470</v>
      </c>
      <c r="E420">
        <v>617868</v>
      </c>
      <c r="F420">
        <v>824415</v>
      </c>
      <c r="G420">
        <v>117394</v>
      </c>
      <c r="H420">
        <v>470185</v>
      </c>
      <c r="I420">
        <v>438048</v>
      </c>
      <c r="J420">
        <v>-8676</v>
      </c>
      <c r="K420">
        <v>338880</v>
      </c>
      <c r="L420">
        <v>-19209</v>
      </c>
      <c r="M420">
        <v>12.79</v>
      </c>
      <c r="N420">
        <f t="shared" si="18"/>
        <v>3101003</v>
      </c>
      <c r="O420">
        <v>22299400</v>
      </c>
      <c r="P420" s="2">
        <f t="shared" si="19"/>
        <v>13.906217207637873</v>
      </c>
      <c r="Q420" s="4">
        <f t="shared" si="20"/>
        <v>28.520932599999998</v>
      </c>
    </row>
    <row r="421" spans="1:17" x14ac:dyDescent="0.4">
      <c r="A421">
        <v>20210809</v>
      </c>
      <c r="B421" s="1">
        <v>0.72916666666666663</v>
      </c>
      <c r="C421">
        <v>100580</v>
      </c>
      <c r="D421">
        <v>144315</v>
      </c>
      <c r="E421">
        <v>532983</v>
      </c>
      <c r="F421">
        <v>770417</v>
      </c>
      <c r="G421">
        <v>111558</v>
      </c>
      <c r="H421">
        <v>326369</v>
      </c>
      <c r="I421">
        <v>286720</v>
      </c>
      <c r="J421">
        <v>1023</v>
      </c>
      <c r="K421">
        <v>284830</v>
      </c>
      <c r="L421">
        <v>-33346</v>
      </c>
      <c r="M421">
        <v>13.14</v>
      </c>
      <c r="N421">
        <f t="shared" si="18"/>
        <v>2525449</v>
      </c>
      <c r="O421">
        <v>21977850</v>
      </c>
      <c r="P421" s="2">
        <f t="shared" si="19"/>
        <v>11.490882866158428</v>
      </c>
      <c r="Q421" s="4">
        <f t="shared" si="20"/>
        <v>28.878894899999999</v>
      </c>
    </row>
    <row r="422" spans="1:17" x14ac:dyDescent="0.4">
      <c r="A422">
        <v>20210809</v>
      </c>
      <c r="B422" s="1">
        <v>0.75</v>
      </c>
      <c r="C422">
        <v>53050</v>
      </c>
      <c r="D422">
        <v>286711</v>
      </c>
      <c r="E422">
        <v>341674</v>
      </c>
      <c r="F422">
        <v>592647</v>
      </c>
      <c r="G422">
        <v>61059</v>
      </c>
      <c r="H422">
        <v>429762</v>
      </c>
      <c r="I422">
        <v>323908</v>
      </c>
      <c r="J422">
        <v>52982</v>
      </c>
      <c r="K422">
        <v>289778</v>
      </c>
      <c r="L422">
        <v>-18648</v>
      </c>
      <c r="M422">
        <v>14.63</v>
      </c>
      <c r="N422">
        <f t="shared" si="18"/>
        <v>2412923</v>
      </c>
      <c r="O422">
        <v>22005350</v>
      </c>
      <c r="P422" s="2">
        <f t="shared" si="19"/>
        <v>10.965165289350089</v>
      </c>
      <c r="Q422" s="4">
        <f t="shared" si="20"/>
        <v>32.193827050000003</v>
      </c>
    </row>
    <row r="423" spans="1:17" x14ac:dyDescent="0.4">
      <c r="A423">
        <v>20210809</v>
      </c>
      <c r="B423" s="1">
        <v>0.77083333333333337</v>
      </c>
      <c r="C423">
        <v>105998</v>
      </c>
      <c r="D423">
        <v>169847</v>
      </c>
      <c r="E423">
        <v>225060</v>
      </c>
      <c r="F423">
        <v>520613</v>
      </c>
      <c r="G423">
        <v>74221</v>
      </c>
      <c r="H423">
        <v>469078</v>
      </c>
      <c r="I423">
        <v>215803</v>
      </c>
      <c r="J423">
        <v>82016</v>
      </c>
      <c r="K423">
        <v>358727</v>
      </c>
      <c r="L423">
        <v>-25278</v>
      </c>
      <c r="M423">
        <v>16.27</v>
      </c>
      <c r="N423">
        <f t="shared" si="18"/>
        <v>2196085</v>
      </c>
      <c r="O423">
        <v>21889150</v>
      </c>
      <c r="P423" s="2">
        <f t="shared" si="19"/>
        <v>10.032755954434046</v>
      </c>
      <c r="Q423" s="4">
        <f t="shared" si="20"/>
        <v>35.613647049999997</v>
      </c>
    </row>
    <row r="424" spans="1:17" x14ac:dyDescent="0.4">
      <c r="A424">
        <v>20210809</v>
      </c>
      <c r="B424" s="1">
        <v>0.79166666666666663</v>
      </c>
      <c r="C424">
        <v>87638</v>
      </c>
      <c r="D424">
        <v>278241</v>
      </c>
      <c r="E424">
        <v>126058</v>
      </c>
      <c r="F424">
        <v>628509</v>
      </c>
      <c r="G424">
        <v>84167</v>
      </c>
      <c r="H424">
        <v>437926</v>
      </c>
      <c r="I424">
        <v>250833</v>
      </c>
      <c r="J424">
        <v>108656</v>
      </c>
      <c r="K424">
        <v>380424</v>
      </c>
      <c r="L424">
        <v>-13758</v>
      </c>
      <c r="M424">
        <v>15</v>
      </c>
      <c r="N424">
        <f t="shared" si="18"/>
        <v>2368694</v>
      </c>
      <c r="O424">
        <v>21872700</v>
      </c>
      <c r="P424" s="2">
        <f t="shared" si="19"/>
        <v>10.829454068313469</v>
      </c>
      <c r="Q424" s="4">
        <f t="shared" si="20"/>
        <v>32.809049999999999</v>
      </c>
    </row>
    <row r="425" spans="1:17" x14ac:dyDescent="0.4">
      <c r="A425">
        <v>20210809</v>
      </c>
      <c r="B425" s="1">
        <v>0.8125</v>
      </c>
      <c r="C425">
        <v>128185</v>
      </c>
      <c r="D425">
        <v>304412</v>
      </c>
      <c r="E425">
        <v>199560</v>
      </c>
      <c r="F425">
        <v>606517</v>
      </c>
      <c r="G425">
        <v>78646</v>
      </c>
      <c r="H425">
        <v>605952</v>
      </c>
      <c r="I425">
        <v>217662</v>
      </c>
      <c r="J425">
        <v>119898</v>
      </c>
      <c r="K425">
        <v>404911</v>
      </c>
      <c r="L425">
        <v>-16698</v>
      </c>
      <c r="M425">
        <v>13.14</v>
      </c>
      <c r="N425">
        <f t="shared" si="18"/>
        <v>2649045</v>
      </c>
      <c r="O425">
        <v>21573800</v>
      </c>
      <c r="P425" s="2">
        <f t="shared" si="19"/>
        <v>12.27899118375066</v>
      </c>
      <c r="Q425" s="4">
        <f t="shared" si="20"/>
        <v>28.347973199999998</v>
      </c>
    </row>
    <row r="426" spans="1:17" x14ac:dyDescent="0.4">
      <c r="A426">
        <v>20210809</v>
      </c>
      <c r="B426" s="1">
        <v>0.83333333333333337</v>
      </c>
      <c r="C426">
        <v>157144</v>
      </c>
      <c r="D426">
        <v>241358</v>
      </c>
      <c r="E426">
        <v>130860</v>
      </c>
      <c r="F426">
        <v>732217</v>
      </c>
      <c r="G426">
        <v>106706</v>
      </c>
      <c r="H426">
        <v>779140</v>
      </c>
      <c r="I426">
        <v>205386</v>
      </c>
      <c r="J426">
        <v>118302</v>
      </c>
      <c r="K426">
        <v>442957</v>
      </c>
      <c r="L426">
        <v>-12511</v>
      </c>
      <c r="M426">
        <v>12.56</v>
      </c>
      <c r="N426">
        <f t="shared" si="18"/>
        <v>2901559</v>
      </c>
      <c r="O426">
        <v>20973250</v>
      </c>
      <c r="P426" s="2">
        <f t="shared" si="19"/>
        <v>13.834570226359768</v>
      </c>
      <c r="Q426" s="4">
        <f t="shared" si="20"/>
        <v>26.342402</v>
      </c>
    </row>
    <row r="427" spans="1:17" x14ac:dyDescent="0.4">
      <c r="A427">
        <v>20210809</v>
      </c>
      <c r="B427" s="1">
        <v>0.85416666666666663</v>
      </c>
      <c r="C427">
        <v>75528</v>
      </c>
      <c r="D427">
        <v>230874</v>
      </c>
      <c r="E427">
        <v>309443</v>
      </c>
      <c r="F427">
        <v>661930</v>
      </c>
      <c r="G427">
        <v>81268</v>
      </c>
      <c r="H427">
        <v>799546</v>
      </c>
      <c r="I427">
        <v>132984</v>
      </c>
      <c r="J427">
        <v>119618</v>
      </c>
      <c r="K427">
        <v>472886</v>
      </c>
      <c r="L427">
        <v>-7566</v>
      </c>
      <c r="M427">
        <v>12.02</v>
      </c>
      <c r="N427">
        <f t="shared" si="18"/>
        <v>2876511</v>
      </c>
      <c r="O427">
        <v>20837700</v>
      </c>
      <c r="P427" s="2">
        <f t="shared" si="19"/>
        <v>13.804359406268446</v>
      </c>
      <c r="Q427" s="4">
        <f t="shared" si="20"/>
        <v>25.0469154</v>
      </c>
    </row>
    <row r="428" spans="1:17" x14ac:dyDescent="0.4">
      <c r="A428">
        <v>20210809</v>
      </c>
      <c r="B428" s="1">
        <v>0.875</v>
      </c>
      <c r="C428">
        <v>112661</v>
      </c>
      <c r="D428">
        <v>222640</v>
      </c>
      <c r="E428">
        <v>367756</v>
      </c>
      <c r="F428">
        <v>712606</v>
      </c>
      <c r="G428">
        <v>70161</v>
      </c>
      <c r="H428">
        <v>764070</v>
      </c>
      <c r="I428">
        <v>193642</v>
      </c>
      <c r="J428">
        <v>122982</v>
      </c>
      <c r="K428">
        <v>477405</v>
      </c>
      <c r="L428">
        <v>-15058</v>
      </c>
      <c r="M428">
        <v>10.19</v>
      </c>
      <c r="N428">
        <f t="shared" si="18"/>
        <v>3028865</v>
      </c>
      <c r="O428">
        <v>20585850</v>
      </c>
      <c r="P428" s="2">
        <f t="shared" si="19"/>
        <v>14.713334644913861</v>
      </c>
      <c r="Q428" s="4">
        <f t="shared" si="20"/>
        <v>20.97698115</v>
      </c>
    </row>
    <row r="429" spans="1:17" x14ac:dyDescent="0.4">
      <c r="A429">
        <v>20210809</v>
      </c>
      <c r="B429" s="1">
        <v>0.89583333333333337</v>
      </c>
      <c r="C429">
        <v>65816</v>
      </c>
      <c r="D429">
        <v>202350</v>
      </c>
      <c r="E429">
        <v>425502</v>
      </c>
      <c r="F429">
        <v>710847</v>
      </c>
      <c r="G429">
        <v>77162</v>
      </c>
      <c r="H429">
        <v>693762</v>
      </c>
      <c r="I429">
        <v>108874</v>
      </c>
      <c r="J429">
        <v>122768</v>
      </c>
      <c r="K429">
        <v>500849</v>
      </c>
      <c r="L429">
        <v>-7120</v>
      </c>
      <c r="M429">
        <v>9.9499999999999993</v>
      </c>
      <c r="N429">
        <f t="shared" si="18"/>
        <v>2900810</v>
      </c>
      <c r="O429">
        <v>20381900</v>
      </c>
      <c r="P429" s="2">
        <f t="shared" si="19"/>
        <v>14.232284526957741</v>
      </c>
      <c r="Q429" s="4">
        <f t="shared" si="20"/>
        <v>20.2799905</v>
      </c>
    </row>
    <row r="430" spans="1:17" x14ac:dyDescent="0.4">
      <c r="A430">
        <v>20210809</v>
      </c>
      <c r="B430" s="1">
        <v>0.91666666666666663</v>
      </c>
      <c r="C430">
        <v>69128</v>
      </c>
      <c r="D430">
        <v>186789</v>
      </c>
      <c r="E430">
        <v>451773</v>
      </c>
      <c r="F430">
        <v>409105</v>
      </c>
      <c r="G430">
        <v>44492</v>
      </c>
      <c r="H430">
        <v>676064</v>
      </c>
      <c r="I430">
        <v>36527</v>
      </c>
      <c r="J430">
        <v>130895</v>
      </c>
      <c r="K430">
        <v>468868</v>
      </c>
      <c r="L430">
        <v>-5392</v>
      </c>
      <c r="M430">
        <v>9.57</v>
      </c>
      <c r="N430">
        <f t="shared" si="18"/>
        <v>2468249</v>
      </c>
      <c r="O430">
        <v>20082100</v>
      </c>
      <c r="P430" s="2">
        <f t="shared" si="19"/>
        <v>12.290791301706495</v>
      </c>
      <c r="Q430" s="4">
        <f t="shared" si="20"/>
        <v>19.2185697</v>
      </c>
    </row>
    <row r="431" spans="1:17" x14ac:dyDescent="0.4">
      <c r="A431">
        <v>20210809</v>
      </c>
      <c r="B431" s="1">
        <v>0.9375</v>
      </c>
      <c r="C431">
        <v>39758</v>
      </c>
      <c r="D431">
        <v>187301</v>
      </c>
      <c r="E431">
        <v>475072</v>
      </c>
      <c r="F431">
        <v>341615</v>
      </c>
      <c r="G431">
        <v>46574</v>
      </c>
      <c r="H431">
        <v>643108</v>
      </c>
      <c r="I431">
        <v>74088</v>
      </c>
      <c r="J431">
        <v>125175</v>
      </c>
      <c r="K431">
        <v>447793</v>
      </c>
      <c r="L431">
        <v>2613</v>
      </c>
      <c r="M431">
        <v>9.5</v>
      </c>
      <c r="N431">
        <f t="shared" si="18"/>
        <v>2383097</v>
      </c>
      <c r="O431">
        <v>19809400</v>
      </c>
      <c r="P431" s="2">
        <f t="shared" si="19"/>
        <v>12.030132159479843</v>
      </c>
      <c r="Q431" s="4">
        <f t="shared" si="20"/>
        <v>18.818930000000002</v>
      </c>
    </row>
    <row r="432" spans="1:17" x14ac:dyDescent="0.4">
      <c r="A432">
        <v>20210809</v>
      </c>
      <c r="B432" s="1">
        <v>0.95833333333333337</v>
      </c>
      <c r="C432">
        <v>55103</v>
      </c>
      <c r="D432">
        <v>174750</v>
      </c>
      <c r="E432">
        <v>450046</v>
      </c>
      <c r="F432">
        <v>311317</v>
      </c>
      <c r="G432">
        <v>-2808</v>
      </c>
      <c r="H432">
        <v>583457</v>
      </c>
      <c r="I432">
        <v>-39195</v>
      </c>
      <c r="J432">
        <v>112821</v>
      </c>
      <c r="K432">
        <v>220746</v>
      </c>
      <c r="L432">
        <v>-20605</v>
      </c>
      <c r="M432">
        <v>7.79</v>
      </c>
      <c r="N432">
        <f t="shared" si="18"/>
        <v>1845632</v>
      </c>
      <c r="O432">
        <v>19257550</v>
      </c>
      <c r="P432" s="2">
        <f t="shared" si="19"/>
        <v>9.5839398054269616</v>
      </c>
      <c r="Q432" s="4">
        <f t="shared" si="20"/>
        <v>15.00163145</v>
      </c>
    </row>
    <row r="433" spans="1:17" x14ac:dyDescent="0.4">
      <c r="A433">
        <v>20210809</v>
      </c>
      <c r="B433" s="1">
        <v>0.97916666666666663</v>
      </c>
      <c r="C433">
        <v>49181</v>
      </c>
      <c r="D433">
        <v>162974</v>
      </c>
      <c r="E433">
        <v>355370</v>
      </c>
      <c r="F433">
        <v>262505</v>
      </c>
      <c r="G433">
        <v>-8756</v>
      </c>
      <c r="H433">
        <v>389951</v>
      </c>
      <c r="I433">
        <v>-31410</v>
      </c>
      <c r="J433">
        <v>92214</v>
      </c>
      <c r="K433">
        <v>205161</v>
      </c>
      <c r="L433">
        <v>-10094</v>
      </c>
      <c r="M433">
        <v>7.3</v>
      </c>
      <c r="N433">
        <f t="shared" si="18"/>
        <v>1467096</v>
      </c>
      <c r="O433">
        <v>18288650</v>
      </c>
      <c r="P433" s="2">
        <f t="shared" si="19"/>
        <v>8.0218933600894538</v>
      </c>
      <c r="Q433" s="4">
        <f t="shared" si="20"/>
        <v>13.3507145</v>
      </c>
    </row>
    <row r="434" spans="1:17" x14ac:dyDescent="0.4">
      <c r="A434">
        <v>20210810</v>
      </c>
      <c r="B434" s="1">
        <v>0</v>
      </c>
      <c r="C434">
        <v>83381</v>
      </c>
      <c r="D434">
        <v>151864</v>
      </c>
      <c r="E434">
        <v>68070</v>
      </c>
      <c r="F434">
        <v>137556</v>
      </c>
      <c r="G434">
        <v>74302</v>
      </c>
      <c r="H434">
        <v>540284</v>
      </c>
      <c r="I434">
        <v>86304</v>
      </c>
      <c r="J434">
        <v>91153</v>
      </c>
      <c r="K434">
        <v>218356</v>
      </c>
      <c r="L434">
        <v>-11427</v>
      </c>
      <c r="M434">
        <v>6.99</v>
      </c>
      <c r="N434">
        <f t="shared" si="18"/>
        <v>1439843</v>
      </c>
      <c r="O434">
        <v>18431950</v>
      </c>
      <c r="P434" s="2">
        <f t="shared" si="19"/>
        <v>7.8116694109955809</v>
      </c>
      <c r="Q434" s="4">
        <f t="shared" si="20"/>
        <v>12.88393305</v>
      </c>
    </row>
    <row r="435" spans="1:17" x14ac:dyDescent="0.4">
      <c r="A435">
        <v>20210810</v>
      </c>
      <c r="B435" s="1">
        <v>2.0833333333333332E-2</v>
      </c>
      <c r="C435">
        <v>49054</v>
      </c>
      <c r="D435">
        <v>87756</v>
      </c>
      <c r="E435">
        <v>118325</v>
      </c>
      <c r="F435">
        <v>130759</v>
      </c>
      <c r="G435">
        <v>59364</v>
      </c>
      <c r="H435">
        <v>433732</v>
      </c>
      <c r="I435">
        <v>141962</v>
      </c>
      <c r="J435">
        <v>93834</v>
      </c>
      <c r="K435">
        <v>184385</v>
      </c>
      <c r="L435">
        <v>-1809</v>
      </c>
      <c r="M435">
        <v>6.99</v>
      </c>
      <c r="N435">
        <f t="shared" si="18"/>
        <v>1297362</v>
      </c>
      <c r="O435">
        <v>19776300</v>
      </c>
      <c r="P435" s="2">
        <f t="shared" si="19"/>
        <v>6.5601856767949513</v>
      </c>
      <c r="Q435" s="4">
        <f t="shared" si="20"/>
        <v>13.8236337</v>
      </c>
    </row>
    <row r="436" spans="1:17" x14ac:dyDescent="0.4">
      <c r="A436">
        <v>20210810</v>
      </c>
      <c r="B436" s="1">
        <v>4.1666666666666664E-2</v>
      </c>
      <c r="C436">
        <v>67428</v>
      </c>
      <c r="D436">
        <v>100775</v>
      </c>
      <c r="E436">
        <v>-74332</v>
      </c>
      <c r="F436">
        <v>-12655</v>
      </c>
      <c r="G436">
        <v>-2513</v>
      </c>
      <c r="H436">
        <v>371955</v>
      </c>
      <c r="I436">
        <v>107525</v>
      </c>
      <c r="J436">
        <v>93784</v>
      </c>
      <c r="K436">
        <v>162000</v>
      </c>
      <c r="L436">
        <v>-22314</v>
      </c>
      <c r="M436">
        <v>6.98</v>
      </c>
      <c r="N436">
        <f t="shared" si="18"/>
        <v>791653</v>
      </c>
      <c r="O436">
        <v>19808050</v>
      </c>
      <c r="P436" s="2">
        <f t="shared" si="19"/>
        <v>3.9966225852620525</v>
      </c>
      <c r="Q436" s="4">
        <f t="shared" si="20"/>
        <v>13.826018899999999</v>
      </c>
    </row>
    <row r="437" spans="1:17" x14ac:dyDescent="0.4">
      <c r="A437">
        <v>20210810</v>
      </c>
      <c r="B437" s="1">
        <v>6.25E-2</v>
      </c>
      <c r="C437">
        <v>47520</v>
      </c>
      <c r="D437">
        <v>35175</v>
      </c>
      <c r="E437">
        <v>10922</v>
      </c>
      <c r="F437">
        <v>-160</v>
      </c>
      <c r="G437">
        <v>-18195</v>
      </c>
      <c r="H437">
        <v>315857</v>
      </c>
      <c r="I437">
        <v>88133</v>
      </c>
      <c r="J437">
        <v>91933</v>
      </c>
      <c r="K437">
        <v>148549</v>
      </c>
      <c r="L437">
        <v>-7083</v>
      </c>
      <c r="M437">
        <v>6.98</v>
      </c>
      <c r="N437">
        <f t="shared" si="18"/>
        <v>712651</v>
      </c>
      <c r="O437">
        <v>19930850</v>
      </c>
      <c r="P437" s="2">
        <f t="shared" si="19"/>
        <v>3.5756176981914969</v>
      </c>
      <c r="Q437" s="4">
        <f t="shared" si="20"/>
        <v>13.9117333</v>
      </c>
    </row>
    <row r="438" spans="1:17" x14ac:dyDescent="0.4">
      <c r="A438">
        <v>20210810</v>
      </c>
      <c r="B438" s="1">
        <v>8.3333333333333329E-2</v>
      </c>
      <c r="C438">
        <v>28206</v>
      </c>
      <c r="D438">
        <v>69549</v>
      </c>
      <c r="E438">
        <v>-10625</v>
      </c>
      <c r="F438">
        <v>-16266</v>
      </c>
      <c r="G438">
        <v>-37713</v>
      </c>
      <c r="H438">
        <v>354522</v>
      </c>
      <c r="I438">
        <v>109015</v>
      </c>
      <c r="J438">
        <v>94152</v>
      </c>
      <c r="K438">
        <v>188766</v>
      </c>
      <c r="L438">
        <v>-16176</v>
      </c>
      <c r="M438">
        <v>7.03</v>
      </c>
      <c r="N438">
        <f t="shared" si="18"/>
        <v>763430</v>
      </c>
      <c r="O438">
        <v>20143900</v>
      </c>
      <c r="P438" s="2">
        <f t="shared" si="19"/>
        <v>3.7898818004457926</v>
      </c>
      <c r="Q438" s="4">
        <f t="shared" si="20"/>
        <v>14.161161699999999</v>
      </c>
    </row>
    <row r="439" spans="1:17" x14ac:dyDescent="0.4">
      <c r="A439">
        <v>20210810</v>
      </c>
      <c r="B439" s="1">
        <v>0.10416666666666667</v>
      </c>
      <c r="C439">
        <v>78224</v>
      </c>
      <c r="D439">
        <v>35902</v>
      </c>
      <c r="E439">
        <v>-41753</v>
      </c>
      <c r="F439">
        <v>-56591</v>
      </c>
      <c r="G439">
        <v>-45530</v>
      </c>
      <c r="H439">
        <v>388421</v>
      </c>
      <c r="I439">
        <v>112896</v>
      </c>
      <c r="J439">
        <v>93536</v>
      </c>
      <c r="K439">
        <v>215644</v>
      </c>
      <c r="L439">
        <v>-14497</v>
      </c>
      <c r="M439">
        <v>7.03</v>
      </c>
      <c r="N439">
        <f t="shared" si="18"/>
        <v>766252</v>
      </c>
      <c r="O439">
        <v>20184300</v>
      </c>
      <c r="P439" s="2">
        <f t="shared" si="19"/>
        <v>3.7962773046377629</v>
      </c>
      <c r="Q439" s="4">
        <f t="shared" si="20"/>
        <v>14.1895629</v>
      </c>
    </row>
    <row r="440" spans="1:17" x14ac:dyDescent="0.4">
      <c r="A440">
        <v>20210810</v>
      </c>
      <c r="B440" s="1">
        <v>0.125</v>
      </c>
      <c r="C440">
        <v>99709</v>
      </c>
      <c r="D440">
        <v>10268</v>
      </c>
      <c r="E440">
        <v>-36141</v>
      </c>
      <c r="F440">
        <v>-161005</v>
      </c>
      <c r="G440">
        <v>-24247</v>
      </c>
      <c r="H440">
        <v>409672</v>
      </c>
      <c r="I440">
        <v>146995</v>
      </c>
      <c r="J440">
        <v>84936</v>
      </c>
      <c r="K440">
        <v>240972</v>
      </c>
      <c r="L440">
        <v>-19306</v>
      </c>
      <c r="M440">
        <v>7.07</v>
      </c>
      <c r="N440">
        <f t="shared" si="18"/>
        <v>751853</v>
      </c>
      <c r="O440">
        <v>20255900</v>
      </c>
      <c r="P440" s="2">
        <f t="shared" si="19"/>
        <v>3.7117728661772618</v>
      </c>
      <c r="Q440" s="4">
        <f t="shared" si="20"/>
        <v>14.3209213</v>
      </c>
    </row>
    <row r="441" spans="1:17" x14ac:dyDescent="0.4">
      <c r="A441">
        <v>20210810</v>
      </c>
      <c r="B441" s="1">
        <v>0.14583333333333334</v>
      </c>
      <c r="C441">
        <v>102260</v>
      </c>
      <c r="D441">
        <v>26045</v>
      </c>
      <c r="E441">
        <v>-24257</v>
      </c>
      <c r="F441">
        <v>-190101</v>
      </c>
      <c r="G441">
        <v>-6037</v>
      </c>
      <c r="H441">
        <v>437896</v>
      </c>
      <c r="I441">
        <v>152870</v>
      </c>
      <c r="J441">
        <v>81254</v>
      </c>
      <c r="K441">
        <v>272188</v>
      </c>
      <c r="L441">
        <v>-11371</v>
      </c>
      <c r="M441">
        <v>7.03</v>
      </c>
      <c r="N441">
        <f t="shared" si="18"/>
        <v>840747</v>
      </c>
      <c r="O441">
        <v>20418400</v>
      </c>
      <c r="P441" s="2">
        <f t="shared" si="19"/>
        <v>4.1175949143909412</v>
      </c>
      <c r="Q441" s="4">
        <f t="shared" si="20"/>
        <v>14.3541352</v>
      </c>
    </row>
    <row r="442" spans="1:17" x14ac:dyDescent="0.4">
      <c r="A442">
        <v>20210810</v>
      </c>
      <c r="B442" s="1">
        <v>0.16666666666666666</v>
      </c>
      <c r="C442">
        <v>60344</v>
      </c>
      <c r="D442">
        <v>35932</v>
      </c>
      <c r="E442">
        <v>-32780</v>
      </c>
      <c r="F442">
        <v>-86250</v>
      </c>
      <c r="G442">
        <v>19442</v>
      </c>
      <c r="H442">
        <v>543115</v>
      </c>
      <c r="I442">
        <v>96456</v>
      </c>
      <c r="J442">
        <v>69740</v>
      </c>
      <c r="K442">
        <v>279252</v>
      </c>
      <c r="L442">
        <v>-15243</v>
      </c>
      <c r="M442">
        <v>7.03</v>
      </c>
      <c r="N442">
        <f t="shared" si="18"/>
        <v>970008</v>
      </c>
      <c r="O442">
        <v>20415650</v>
      </c>
      <c r="P442" s="2">
        <f t="shared" si="19"/>
        <v>4.7512961869938017</v>
      </c>
      <c r="Q442" s="4">
        <f t="shared" si="20"/>
        <v>14.35220195</v>
      </c>
    </row>
    <row r="443" spans="1:17" x14ac:dyDescent="0.4">
      <c r="A443">
        <v>20210810</v>
      </c>
      <c r="B443" s="1">
        <v>0.1875</v>
      </c>
      <c r="C443">
        <v>100161</v>
      </c>
      <c r="D443">
        <v>114453</v>
      </c>
      <c r="E443">
        <v>-43667</v>
      </c>
      <c r="F443">
        <v>-167183</v>
      </c>
      <c r="G443">
        <v>15886</v>
      </c>
      <c r="H443">
        <v>539396</v>
      </c>
      <c r="I443">
        <v>91961</v>
      </c>
      <c r="J443">
        <v>55977</v>
      </c>
      <c r="K443">
        <v>336162</v>
      </c>
      <c r="L443">
        <v>-12770</v>
      </c>
      <c r="M443">
        <v>6.98</v>
      </c>
      <c r="N443">
        <f t="shared" si="18"/>
        <v>1030376</v>
      </c>
      <c r="O443">
        <v>20483050</v>
      </c>
      <c r="P443" s="2">
        <f t="shared" si="19"/>
        <v>5.0303836586836432</v>
      </c>
      <c r="Q443" s="4">
        <f t="shared" si="20"/>
        <v>14.297168900000001</v>
      </c>
    </row>
    <row r="444" spans="1:17" x14ac:dyDescent="0.4">
      <c r="A444">
        <v>20210810</v>
      </c>
      <c r="B444" s="1">
        <v>0.20833333333333334</v>
      </c>
      <c r="C444">
        <v>23116</v>
      </c>
      <c r="D444">
        <v>158493</v>
      </c>
      <c r="E444">
        <v>66702</v>
      </c>
      <c r="F444">
        <v>-133551</v>
      </c>
      <c r="G444">
        <v>40244</v>
      </c>
      <c r="H444">
        <v>491099</v>
      </c>
      <c r="I444">
        <v>52467</v>
      </c>
      <c r="J444">
        <v>59605</v>
      </c>
      <c r="K444">
        <v>314749</v>
      </c>
      <c r="L444">
        <v>-14206</v>
      </c>
      <c r="M444">
        <v>7</v>
      </c>
      <c r="N444">
        <f t="shared" si="18"/>
        <v>1058718</v>
      </c>
      <c r="O444">
        <v>20483250</v>
      </c>
      <c r="P444" s="2">
        <f t="shared" si="19"/>
        <v>5.1687012559042147</v>
      </c>
      <c r="Q444" s="4">
        <f t="shared" si="20"/>
        <v>14.338274999999999</v>
      </c>
    </row>
    <row r="445" spans="1:17" x14ac:dyDescent="0.4">
      <c r="A445">
        <v>20210810</v>
      </c>
      <c r="B445" s="1">
        <v>0.22916666666666666</v>
      </c>
      <c r="C445">
        <v>87979</v>
      </c>
      <c r="D445">
        <v>174290</v>
      </c>
      <c r="E445">
        <v>152804</v>
      </c>
      <c r="F445">
        <v>-42838</v>
      </c>
      <c r="G445">
        <v>65487</v>
      </c>
      <c r="H445">
        <v>303229</v>
      </c>
      <c r="I445">
        <v>51394</v>
      </c>
      <c r="J445">
        <v>67691</v>
      </c>
      <c r="K445">
        <v>384469</v>
      </c>
      <c r="L445">
        <v>-15928</v>
      </c>
      <c r="M445">
        <v>7.14</v>
      </c>
      <c r="N445">
        <f t="shared" si="18"/>
        <v>1228577</v>
      </c>
      <c r="O445">
        <v>20663000</v>
      </c>
      <c r="P445" s="2">
        <f t="shared" si="19"/>
        <v>5.9457823162173931</v>
      </c>
      <c r="Q445" s="4">
        <f t="shared" si="20"/>
        <v>14.753382</v>
      </c>
    </row>
    <row r="446" spans="1:17" x14ac:dyDescent="0.4">
      <c r="A446">
        <v>20210810</v>
      </c>
      <c r="B446" s="1">
        <v>0.25</v>
      </c>
      <c r="C446">
        <v>37220</v>
      </c>
      <c r="D446">
        <v>260617</v>
      </c>
      <c r="E446">
        <v>329861</v>
      </c>
      <c r="F446">
        <v>-146439</v>
      </c>
      <c r="G446">
        <v>62110</v>
      </c>
      <c r="H446">
        <v>262284</v>
      </c>
      <c r="I446">
        <v>106291</v>
      </c>
      <c r="J446">
        <v>88072</v>
      </c>
      <c r="K446">
        <v>353921</v>
      </c>
      <c r="L446">
        <v>-6374</v>
      </c>
      <c r="M446">
        <v>7.23</v>
      </c>
      <c r="N446">
        <f t="shared" si="18"/>
        <v>1347563</v>
      </c>
      <c r="O446">
        <v>21193200</v>
      </c>
      <c r="P446" s="2">
        <f t="shared" si="19"/>
        <v>6.3584687541286824</v>
      </c>
      <c r="Q446" s="4">
        <f t="shared" si="20"/>
        <v>15.3226836</v>
      </c>
    </row>
    <row r="447" spans="1:17" x14ac:dyDescent="0.4">
      <c r="A447">
        <v>20210810</v>
      </c>
      <c r="B447" s="1">
        <v>0.27083333333333331</v>
      </c>
      <c r="C447">
        <v>61134</v>
      </c>
      <c r="D447">
        <v>311013</v>
      </c>
      <c r="E447">
        <v>208582</v>
      </c>
      <c r="F447">
        <v>-186539</v>
      </c>
      <c r="G447">
        <v>43616</v>
      </c>
      <c r="H447">
        <v>312230</v>
      </c>
      <c r="I447">
        <v>320047</v>
      </c>
      <c r="J447">
        <v>98618</v>
      </c>
      <c r="K447">
        <v>411752</v>
      </c>
      <c r="L447">
        <v>-18358</v>
      </c>
      <c r="M447">
        <v>7.15</v>
      </c>
      <c r="N447">
        <f t="shared" si="18"/>
        <v>1562095</v>
      </c>
      <c r="O447">
        <v>21928050</v>
      </c>
      <c r="P447" s="2">
        <f t="shared" si="19"/>
        <v>7.1237296522034566</v>
      </c>
      <c r="Q447" s="4">
        <f t="shared" si="20"/>
        <v>15.678555749999999</v>
      </c>
    </row>
    <row r="448" spans="1:17" x14ac:dyDescent="0.4">
      <c r="A448">
        <v>20210810</v>
      </c>
      <c r="B448" s="1">
        <v>0.29166666666666669</v>
      </c>
      <c r="C448">
        <v>30861</v>
      </c>
      <c r="D448">
        <v>302322</v>
      </c>
      <c r="E448">
        <v>787049</v>
      </c>
      <c r="F448">
        <v>1760</v>
      </c>
      <c r="G448">
        <v>42740</v>
      </c>
      <c r="H448">
        <v>374260</v>
      </c>
      <c r="I448">
        <v>516207</v>
      </c>
      <c r="J448">
        <v>105095</v>
      </c>
      <c r="K448">
        <v>439857</v>
      </c>
      <c r="L448">
        <v>7630</v>
      </c>
      <c r="M448">
        <v>7.12</v>
      </c>
      <c r="N448">
        <f t="shared" si="18"/>
        <v>2607781</v>
      </c>
      <c r="O448">
        <v>22982000</v>
      </c>
      <c r="P448" s="2">
        <f t="shared" si="19"/>
        <v>11.347058567574624</v>
      </c>
      <c r="Q448" s="4">
        <f t="shared" si="20"/>
        <v>16.363184</v>
      </c>
    </row>
    <row r="449" spans="1:17" x14ac:dyDescent="0.4">
      <c r="A449">
        <v>20210810</v>
      </c>
      <c r="B449" s="1">
        <v>0.3125</v>
      </c>
      <c r="C449">
        <v>49222</v>
      </c>
      <c r="D449">
        <v>491856</v>
      </c>
      <c r="E449">
        <v>1133335</v>
      </c>
      <c r="F449">
        <v>-116661</v>
      </c>
      <c r="G449">
        <v>60206</v>
      </c>
      <c r="H449">
        <v>462560</v>
      </c>
      <c r="I449">
        <v>820845</v>
      </c>
      <c r="J449">
        <v>177318</v>
      </c>
      <c r="K449">
        <v>587940</v>
      </c>
      <c r="L449">
        <v>-658</v>
      </c>
      <c r="M449">
        <v>7.23</v>
      </c>
      <c r="N449">
        <f t="shared" si="18"/>
        <v>3665963</v>
      </c>
      <c r="O449">
        <v>23500750</v>
      </c>
      <c r="P449" s="2">
        <f t="shared" si="19"/>
        <v>15.599344701764837</v>
      </c>
      <c r="Q449" s="4">
        <f t="shared" si="20"/>
        <v>16.99104225</v>
      </c>
    </row>
    <row r="450" spans="1:17" x14ac:dyDescent="0.4">
      <c r="A450">
        <v>20210810</v>
      </c>
      <c r="B450" s="1">
        <v>0.33333333333333331</v>
      </c>
      <c r="C450">
        <v>104533</v>
      </c>
      <c r="D450">
        <v>435119</v>
      </c>
      <c r="E450">
        <v>1788950</v>
      </c>
      <c r="F450">
        <v>294652</v>
      </c>
      <c r="G450">
        <v>77113</v>
      </c>
      <c r="H450">
        <v>724223</v>
      </c>
      <c r="I450">
        <v>392515</v>
      </c>
      <c r="J450">
        <v>231444</v>
      </c>
      <c r="K450">
        <v>626783</v>
      </c>
      <c r="L450">
        <v>7151</v>
      </c>
      <c r="M450">
        <v>7.44</v>
      </c>
      <c r="N450">
        <f t="shared" si="18"/>
        <v>4682483</v>
      </c>
      <c r="O450">
        <v>25258450</v>
      </c>
      <c r="P450" s="2">
        <f t="shared" si="19"/>
        <v>18.538283227989048</v>
      </c>
      <c r="Q450" s="4">
        <f t="shared" si="20"/>
        <v>18.792286799999999</v>
      </c>
    </row>
    <row r="451" spans="1:17" x14ac:dyDescent="0.4">
      <c r="A451">
        <v>20210810</v>
      </c>
      <c r="B451" s="1">
        <v>0.35416666666666669</v>
      </c>
      <c r="C451">
        <v>97872</v>
      </c>
      <c r="D451">
        <v>677849</v>
      </c>
      <c r="E451">
        <v>1623870</v>
      </c>
      <c r="F451">
        <v>87890</v>
      </c>
      <c r="G451">
        <v>84616</v>
      </c>
      <c r="H451">
        <v>891024</v>
      </c>
      <c r="I451">
        <v>492099</v>
      </c>
      <c r="J451">
        <v>255424</v>
      </c>
      <c r="K451">
        <v>672254</v>
      </c>
      <c r="L451">
        <v>-7168</v>
      </c>
      <c r="M451">
        <v>7.88</v>
      </c>
      <c r="N451">
        <f t="shared" ref="N451:N514" si="21">C451+D451+E451+F451+G451+H451+I451+J451+K451+L451</f>
        <v>4875730</v>
      </c>
      <c r="O451">
        <v>25789300</v>
      </c>
      <c r="P451" s="2">
        <f t="shared" ref="P451:P514" si="22">((N451*100)/O451)</f>
        <v>18.906019162986201</v>
      </c>
      <c r="Q451" s="4">
        <f t="shared" ref="Q451:Q514" si="23">(M451*O451)/10^7</f>
        <v>20.321968399999999</v>
      </c>
    </row>
    <row r="452" spans="1:17" x14ac:dyDescent="0.4">
      <c r="A452">
        <v>20210810</v>
      </c>
      <c r="B452" s="1">
        <v>0.375</v>
      </c>
      <c r="C452">
        <v>140218</v>
      </c>
      <c r="D452">
        <v>929908</v>
      </c>
      <c r="E452">
        <v>1544939</v>
      </c>
      <c r="F452">
        <v>194559</v>
      </c>
      <c r="G452">
        <v>93647</v>
      </c>
      <c r="H452">
        <v>1093083</v>
      </c>
      <c r="I452">
        <v>506914</v>
      </c>
      <c r="J452">
        <v>290726</v>
      </c>
      <c r="K452">
        <v>687237</v>
      </c>
      <c r="L452">
        <v>-14247</v>
      </c>
      <c r="M452">
        <v>8.39</v>
      </c>
      <c r="N452">
        <f t="shared" si="21"/>
        <v>5466984</v>
      </c>
      <c r="O452">
        <v>26168850</v>
      </c>
      <c r="P452" s="2">
        <f t="shared" si="22"/>
        <v>20.891189333883606</v>
      </c>
      <c r="Q452" s="4">
        <f t="shared" si="23"/>
        <v>21.955665150000002</v>
      </c>
    </row>
    <row r="453" spans="1:17" x14ac:dyDescent="0.4">
      <c r="A453">
        <v>20210810</v>
      </c>
      <c r="B453" s="1">
        <v>0.39583333333333331</v>
      </c>
      <c r="C453">
        <v>112238</v>
      </c>
      <c r="D453">
        <v>797955</v>
      </c>
      <c r="E453">
        <v>1564197</v>
      </c>
      <c r="F453">
        <v>473521</v>
      </c>
      <c r="G453">
        <v>119979</v>
      </c>
      <c r="H453">
        <v>960127</v>
      </c>
      <c r="I453">
        <v>509361</v>
      </c>
      <c r="J453">
        <v>309696</v>
      </c>
      <c r="K453">
        <v>586373</v>
      </c>
      <c r="L453">
        <v>-19608</v>
      </c>
      <c r="M453">
        <v>8.86</v>
      </c>
      <c r="N453">
        <f t="shared" si="21"/>
        <v>5413839</v>
      </c>
      <c r="O453">
        <v>26466750</v>
      </c>
      <c r="P453" s="2">
        <f t="shared" si="22"/>
        <v>20.455246677434896</v>
      </c>
      <c r="Q453" s="4">
        <f t="shared" si="23"/>
        <v>23.449540499999998</v>
      </c>
    </row>
    <row r="454" spans="1:17" x14ac:dyDescent="0.4">
      <c r="A454">
        <v>20210810</v>
      </c>
      <c r="B454" s="1">
        <v>0.41666666666666669</v>
      </c>
      <c r="C454">
        <v>157794</v>
      </c>
      <c r="D454">
        <v>977557</v>
      </c>
      <c r="E454">
        <v>1025752</v>
      </c>
      <c r="F454">
        <v>339775</v>
      </c>
      <c r="G454">
        <v>155878</v>
      </c>
      <c r="H454">
        <v>883255</v>
      </c>
      <c r="I454">
        <v>550257</v>
      </c>
      <c r="J454">
        <v>318463</v>
      </c>
      <c r="K454">
        <v>737499</v>
      </c>
      <c r="L454">
        <v>-22956</v>
      </c>
      <c r="M454">
        <v>8.86</v>
      </c>
      <c r="N454">
        <f t="shared" si="21"/>
        <v>5123274</v>
      </c>
      <c r="O454">
        <v>26684100</v>
      </c>
      <c r="P454" s="2">
        <f t="shared" si="22"/>
        <v>19.199725679337135</v>
      </c>
      <c r="Q454" s="4">
        <f t="shared" si="23"/>
        <v>23.642112599999997</v>
      </c>
    </row>
    <row r="455" spans="1:17" x14ac:dyDescent="0.4">
      <c r="A455">
        <v>20210810</v>
      </c>
      <c r="B455" s="1">
        <v>0.4375</v>
      </c>
      <c r="C455">
        <v>150528</v>
      </c>
      <c r="D455">
        <v>1110154</v>
      </c>
      <c r="E455">
        <v>717121</v>
      </c>
      <c r="F455">
        <v>299733</v>
      </c>
      <c r="G455">
        <v>181706</v>
      </c>
      <c r="H455">
        <v>970008</v>
      </c>
      <c r="I455">
        <v>505505</v>
      </c>
      <c r="J455">
        <v>299540</v>
      </c>
      <c r="K455">
        <v>784608</v>
      </c>
      <c r="L455">
        <v>-17871</v>
      </c>
      <c r="M455">
        <v>8.86</v>
      </c>
      <c r="N455">
        <f t="shared" si="21"/>
        <v>5001032</v>
      </c>
      <c r="O455">
        <v>26716450</v>
      </c>
      <c r="P455" s="2">
        <f t="shared" si="22"/>
        <v>18.718924108554841</v>
      </c>
      <c r="Q455" s="4">
        <f t="shared" si="23"/>
        <v>23.670774699999996</v>
      </c>
    </row>
    <row r="456" spans="1:17" x14ac:dyDescent="0.4">
      <c r="A456">
        <v>20210810</v>
      </c>
      <c r="B456" s="1">
        <v>0.45833333333333331</v>
      </c>
      <c r="C456">
        <v>167231</v>
      </c>
      <c r="D456">
        <v>1150303</v>
      </c>
      <c r="E456">
        <v>522564</v>
      </c>
      <c r="F456">
        <v>577260</v>
      </c>
      <c r="G456">
        <v>202828</v>
      </c>
      <c r="H456">
        <v>966820</v>
      </c>
      <c r="I456">
        <v>426097</v>
      </c>
      <c r="J456">
        <v>202028</v>
      </c>
      <c r="K456">
        <v>916630</v>
      </c>
      <c r="L456">
        <v>-42239</v>
      </c>
      <c r="M456">
        <v>8.86</v>
      </c>
      <c r="N456">
        <f t="shared" si="21"/>
        <v>5089522</v>
      </c>
      <c r="O456">
        <v>27140350</v>
      </c>
      <c r="P456" s="2">
        <f t="shared" si="22"/>
        <v>18.752602674615471</v>
      </c>
      <c r="Q456" s="4">
        <f t="shared" si="23"/>
        <v>24.046350099999998</v>
      </c>
    </row>
    <row r="457" spans="1:17" x14ac:dyDescent="0.4">
      <c r="A457">
        <v>20210810</v>
      </c>
      <c r="B457" s="1">
        <v>0.47916666666666669</v>
      </c>
      <c r="C457">
        <v>173087</v>
      </c>
      <c r="D457">
        <v>1138472</v>
      </c>
      <c r="E457">
        <v>453267</v>
      </c>
      <c r="F457">
        <v>505345</v>
      </c>
      <c r="G457">
        <v>213271</v>
      </c>
      <c r="H457">
        <v>950713</v>
      </c>
      <c r="I457">
        <v>570472</v>
      </c>
      <c r="J457">
        <v>184541</v>
      </c>
      <c r="K457">
        <v>681141</v>
      </c>
      <c r="L457">
        <v>-40574</v>
      </c>
      <c r="M457">
        <v>8.86</v>
      </c>
      <c r="N457">
        <f t="shared" si="21"/>
        <v>4829735</v>
      </c>
      <c r="O457">
        <v>27241250</v>
      </c>
      <c r="P457" s="2">
        <f t="shared" si="22"/>
        <v>17.729491121002155</v>
      </c>
      <c r="Q457" s="4">
        <f t="shared" si="23"/>
        <v>24.135747499999997</v>
      </c>
    </row>
    <row r="458" spans="1:17" x14ac:dyDescent="0.4">
      <c r="A458">
        <v>20210810</v>
      </c>
      <c r="B458" s="1">
        <v>0.5</v>
      </c>
      <c r="C458">
        <v>130565</v>
      </c>
      <c r="D458">
        <v>815533</v>
      </c>
      <c r="E458">
        <v>189801</v>
      </c>
      <c r="F458">
        <v>654327</v>
      </c>
      <c r="G458">
        <v>229902</v>
      </c>
      <c r="H458">
        <v>344900</v>
      </c>
      <c r="I458">
        <v>568938</v>
      </c>
      <c r="J458">
        <v>164018</v>
      </c>
      <c r="K458">
        <v>653420</v>
      </c>
      <c r="L458">
        <v>-38190</v>
      </c>
      <c r="M458">
        <v>8.86</v>
      </c>
      <c r="N458">
        <f t="shared" si="21"/>
        <v>3713214</v>
      </c>
      <c r="O458">
        <v>27162350</v>
      </c>
      <c r="P458" s="2">
        <f t="shared" si="22"/>
        <v>13.670444567572394</v>
      </c>
      <c r="Q458" s="4">
        <f t="shared" si="23"/>
        <v>24.065842099999998</v>
      </c>
    </row>
    <row r="459" spans="1:17" x14ac:dyDescent="0.4">
      <c r="A459">
        <v>20210810</v>
      </c>
      <c r="B459" s="1">
        <v>0.52083333333333337</v>
      </c>
      <c r="C459">
        <v>138559</v>
      </c>
      <c r="D459">
        <v>808228</v>
      </c>
      <c r="E459">
        <v>710854</v>
      </c>
      <c r="F459">
        <v>497508</v>
      </c>
      <c r="G459">
        <v>196801</v>
      </c>
      <c r="H459">
        <v>254300</v>
      </c>
      <c r="I459">
        <v>585232</v>
      </c>
      <c r="J459">
        <v>137001</v>
      </c>
      <c r="K459">
        <v>431354</v>
      </c>
      <c r="L459">
        <v>-36227</v>
      </c>
      <c r="M459">
        <v>8.86</v>
      </c>
      <c r="N459">
        <f t="shared" si="21"/>
        <v>3723610</v>
      </c>
      <c r="O459">
        <v>27100900</v>
      </c>
      <c r="P459" s="2">
        <f t="shared" si="22"/>
        <v>13.739801999195599</v>
      </c>
      <c r="Q459" s="4">
        <f t="shared" si="23"/>
        <v>24.011397399999996</v>
      </c>
    </row>
    <row r="460" spans="1:17" x14ac:dyDescent="0.4">
      <c r="A460">
        <v>20210810</v>
      </c>
      <c r="B460" s="1">
        <v>0.54166666666666663</v>
      </c>
      <c r="C460">
        <v>166987</v>
      </c>
      <c r="D460">
        <v>836837</v>
      </c>
      <c r="E460">
        <v>588810</v>
      </c>
      <c r="F460">
        <v>683447</v>
      </c>
      <c r="G460">
        <v>196014</v>
      </c>
      <c r="H460">
        <v>515783</v>
      </c>
      <c r="I460">
        <v>468479</v>
      </c>
      <c r="J460">
        <v>135674</v>
      </c>
      <c r="K460">
        <v>349327</v>
      </c>
      <c r="L460">
        <v>-38116</v>
      </c>
      <c r="M460">
        <v>9.61</v>
      </c>
      <c r="N460">
        <f t="shared" si="21"/>
        <v>3903242</v>
      </c>
      <c r="O460">
        <v>26336400</v>
      </c>
      <c r="P460" s="2">
        <f t="shared" si="22"/>
        <v>14.82071201834723</v>
      </c>
      <c r="Q460" s="4">
        <f t="shared" si="23"/>
        <v>25.309280399999999</v>
      </c>
    </row>
    <row r="461" spans="1:17" x14ac:dyDescent="0.4">
      <c r="A461">
        <v>20210810</v>
      </c>
      <c r="B461" s="1">
        <v>0.5625</v>
      </c>
      <c r="C461">
        <v>161739</v>
      </c>
      <c r="D461">
        <v>941983</v>
      </c>
      <c r="E461">
        <v>1277718</v>
      </c>
      <c r="F461">
        <v>574043</v>
      </c>
      <c r="G461">
        <v>179112</v>
      </c>
      <c r="H461">
        <v>609616</v>
      </c>
      <c r="I461">
        <v>435645</v>
      </c>
      <c r="J461">
        <v>161607</v>
      </c>
      <c r="K461">
        <v>151711</v>
      </c>
      <c r="L461">
        <v>-43971</v>
      </c>
      <c r="M461">
        <v>9.83</v>
      </c>
      <c r="N461">
        <f t="shared" si="21"/>
        <v>4449203</v>
      </c>
      <c r="O461">
        <v>26118650</v>
      </c>
      <c r="P461" s="2">
        <f t="shared" si="22"/>
        <v>17.034582568394615</v>
      </c>
      <c r="Q461" s="4">
        <f t="shared" si="23"/>
        <v>25.674632949999999</v>
      </c>
    </row>
    <row r="462" spans="1:17" x14ac:dyDescent="0.4">
      <c r="A462">
        <v>20210810</v>
      </c>
      <c r="B462" s="1">
        <v>0.58333333333333337</v>
      </c>
      <c r="C462">
        <v>162966</v>
      </c>
      <c r="D462">
        <v>1025474</v>
      </c>
      <c r="E462">
        <v>1649795</v>
      </c>
      <c r="F462">
        <v>361645</v>
      </c>
      <c r="G462">
        <v>131643</v>
      </c>
      <c r="H462">
        <v>805345</v>
      </c>
      <c r="I462">
        <v>458895</v>
      </c>
      <c r="J462">
        <v>181699</v>
      </c>
      <c r="K462">
        <v>-293704</v>
      </c>
      <c r="L462">
        <v>-34794</v>
      </c>
      <c r="M462">
        <v>10.27</v>
      </c>
      <c r="N462">
        <f t="shared" si="21"/>
        <v>4448964</v>
      </c>
      <c r="O462">
        <v>26171500</v>
      </c>
      <c r="P462" s="2">
        <f t="shared" si="22"/>
        <v>16.999270198498365</v>
      </c>
      <c r="Q462" s="4">
        <f t="shared" si="23"/>
        <v>26.878130500000001</v>
      </c>
    </row>
    <row r="463" spans="1:17" x14ac:dyDescent="0.4">
      <c r="A463">
        <v>20210810</v>
      </c>
      <c r="B463" s="1">
        <v>0.60416666666666663</v>
      </c>
      <c r="C463">
        <v>102278</v>
      </c>
      <c r="D463">
        <v>921573</v>
      </c>
      <c r="E463">
        <v>1667754</v>
      </c>
      <c r="F463">
        <v>568755</v>
      </c>
      <c r="G463">
        <v>98710</v>
      </c>
      <c r="H463">
        <v>799898</v>
      </c>
      <c r="I463">
        <v>428992</v>
      </c>
      <c r="J463">
        <v>148271</v>
      </c>
      <c r="K463">
        <v>-491260</v>
      </c>
      <c r="L463">
        <v>-35796</v>
      </c>
      <c r="M463">
        <v>10.27</v>
      </c>
      <c r="N463">
        <f t="shared" si="21"/>
        <v>4209175</v>
      </c>
      <c r="O463">
        <v>25726500</v>
      </c>
      <c r="P463" s="2">
        <f t="shared" si="22"/>
        <v>16.361242298796959</v>
      </c>
      <c r="Q463" s="4">
        <f t="shared" si="23"/>
        <v>26.421115499999999</v>
      </c>
    </row>
    <row r="464" spans="1:17" x14ac:dyDescent="0.4">
      <c r="A464">
        <v>20210810</v>
      </c>
      <c r="B464" s="1">
        <v>0.625</v>
      </c>
      <c r="C464">
        <v>100094</v>
      </c>
      <c r="D464">
        <v>909820</v>
      </c>
      <c r="E464">
        <v>1672918</v>
      </c>
      <c r="F464">
        <v>504819</v>
      </c>
      <c r="G464">
        <v>118031</v>
      </c>
      <c r="H464">
        <v>884326</v>
      </c>
      <c r="I464">
        <v>235765</v>
      </c>
      <c r="J464">
        <v>140497</v>
      </c>
      <c r="K464">
        <v>-482209</v>
      </c>
      <c r="L464">
        <v>-38443</v>
      </c>
      <c r="M464">
        <v>10.220000000000001</v>
      </c>
      <c r="N464">
        <f t="shared" si="21"/>
        <v>4045618</v>
      </c>
      <c r="O464">
        <v>25238100</v>
      </c>
      <c r="P464" s="2">
        <f t="shared" si="22"/>
        <v>16.029804145319972</v>
      </c>
      <c r="Q464" s="4">
        <f t="shared" si="23"/>
        <v>25.793338200000004</v>
      </c>
    </row>
    <row r="465" spans="1:17" x14ac:dyDescent="0.4">
      <c r="A465">
        <v>20210810</v>
      </c>
      <c r="B465" s="1">
        <v>0.64583333333333337</v>
      </c>
      <c r="C465">
        <v>159555</v>
      </c>
      <c r="D465">
        <v>838840</v>
      </c>
      <c r="E465">
        <v>1564855</v>
      </c>
      <c r="F465">
        <v>463103</v>
      </c>
      <c r="G465">
        <v>179497</v>
      </c>
      <c r="H465">
        <v>991881</v>
      </c>
      <c r="I465">
        <v>262283</v>
      </c>
      <c r="J465">
        <v>69002</v>
      </c>
      <c r="K465">
        <v>-390161</v>
      </c>
      <c r="L465">
        <v>-48605</v>
      </c>
      <c r="M465">
        <v>10.84</v>
      </c>
      <c r="N465">
        <f t="shared" si="21"/>
        <v>4090250</v>
      </c>
      <c r="O465">
        <v>24759650</v>
      </c>
      <c r="P465" s="2">
        <f t="shared" si="22"/>
        <v>16.519821564521308</v>
      </c>
      <c r="Q465" s="4">
        <f t="shared" si="23"/>
        <v>26.839460599999999</v>
      </c>
    </row>
    <row r="466" spans="1:17" x14ac:dyDescent="0.4">
      <c r="A466">
        <v>20210810</v>
      </c>
      <c r="B466" s="1">
        <v>0.66666666666666663</v>
      </c>
      <c r="C466">
        <v>161645</v>
      </c>
      <c r="D466">
        <v>838163</v>
      </c>
      <c r="E466">
        <v>676037</v>
      </c>
      <c r="F466">
        <v>297461</v>
      </c>
      <c r="G466">
        <v>148216</v>
      </c>
      <c r="H466">
        <v>867850</v>
      </c>
      <c r="I466">
        <v>755414</v>
      </c>
      <c r="J466">
        <v>3289</v>
      </c>
      <c r="K466">
        <v>-280094</v>
      </c>
      <c r="L466">
        <v>-52515</v>
      </c>
      <c r="M466">
        <v>12.64</v>
      </c>
      <c r="N466">
        <f t="shared" si="21"/>
        <v>3415466</v>
      </c>
      <c r="O466">
        <v>25126750</v>
      </c>
      <c r="P466" s="2">
        <f t="shared" si="22"/>
        <v>13.592947754882745</v>
      </c>
      <c r="Q466" s="4">
        <f t="shared" si="23"/>
        <v>31.760211999999999</v>
      </c>
    </row>
    <row r="467" spans="1:17" x14ac:dyDescent="0.4">
      <c r="A467">
        <v>20210810</v>
      </c>
      <c r="B467" s="1">
        <v>0.6875</v>
      </c>
      <c r="C467">
        <v>173502</v>
      </c>
      <c r="D467">
        <v>721854</v>
      </c>
      <c r="E467">
        <v>773905</v>
      </c>
      <c r="F467">
        <v>490014</v>
      </c>
      <c r="G467">
        <v>157472</v>
      </c>
      <c r="H467">
        <v>790508</v>
      </c>
      <c r="I467">
        <v>373696</v>
      </c>
      <c r="J467">
        <v>37538</v>
      </c>
      <c r="K467">
        <v>-10286</v>
      </c>
      <c r="L467">
        <v>-41179</v>
      </c>
      <c r="M467">
        <v>12.79</v>
      </c>
      <c r="N467">
        <f t="shared" si="21"/>
        <v>3467024</v>
      </c>
      <c r="O467">
        <v>24604400</v>
      </c>
      <c r="P467" s="2">
        <f t="shared" si="22"/>
        <v>14.091073141389344</v>
      </c>
      <c r="Q467" s="4">
        <f t="shared" si="23"/>
        <v>31.4690276</v>
      </c>
    </row>
    <row r="468" spans="1:17" x14ac:dyDescent="0.4">
      <c r="A468">
        <v>20210810</v>
      </c>
      <c r="B468" s="1">
        <v>0.70833333333333337</v>
      </c>
      <c r="C468">
        <v>162751</v>
      </c>
      <c r="D468">
        <v>616381</v>
      </c>
      <c r="E468">
        <v>1122305</v>
      </c>
      <c r="F468">
        <v>526982</v>
      </c>
      <c r="G468">
        <v>155430</v>
      </c>
      <c r="H468">
        <v>476326</v>
      </c>
      <c r="I468">
        <v>246746</v>
      </c>
      <c r="J468">
        <v>37906</v>
      </c>
      <c r="K468">
        <v>128915</v>
      </c>
      <c r="L468">
        <v>-41424</v>
      </c>
      <c r="M468">
        <v>12.79</v>
      </c>
      <c r="N468">
        <f t="shared" si="21"/>
        <v>3432318</v>
      </c>
      <c r="O468">
        <v>24257350</v>
      </c>
      <c r="P468" s="2">
        <f t="shared" si="22"/>
        <v>14.149600018138832</v>
      </c>
      <c r="Q468" s="4">
        <f t="shared" si="23"/>
        <v>31.02515065</v>
      </c>
    </row>
    <row r="469" spans="1:17" x14ac:dyDescent="0.4">
      <c r="A469">
        <v>20210810</v>
      </c>
      <c r="B469" s="1">
        <v>0.72916666666666663</v>
      </c>
      <c r="C469">
        <v>175812</v>
      </c>
      <c r="D469">
        <v>505722</v>
      </c>
      <c r="E469">
        <v>1159073</v>
      </c>
      <c r="F469">
        <v>728818</v>
      </c>
      <c r="G469">
        <v>197871</v>
      </c>
      <c r="H469">
        <v>730428</v>
      </c>
      <c r="I469">
        <v>180493</v>
      </c>
      <c r="J469">
        <v>23644</v>
      </c>
      <c r="K469">
        <v>306476</v>
      </c>
      <c r="L469">
        <v>-34965</v>
      </c>
      <c r="M469">
        <v>13.41</v>
      </c>
      <c r="N469">
        <f t="shared" si="21"/>
        <v>3973372</v>
      </c>
      <c r="O469">
        <v>23801600</v>
      </c>
      <c r="P469" s="2">
        <f t="shared" si="22"/>
        <v>16.693718069373489</v>
      </c>
      <c r="Q469" s="4">
        <f t="shared" si="23"/>
        <v>31.917945599999999</v>
      </c>
    </row>
    <row r="470" spans="1:17" x14ac:dyDescent="0.4">
      <c r="A470">
        <v>20210810</v>
      </c>
      <c r="B470" s="1">
        <v>0.75</v>
      </c>
      <c r="C470">
        <v>139209</v>
      </c>
      <c r="D470">
        <v>406304</v>
      </c>
      <c r="E470">
        <v>1212855</v>
      </c>
      <c r="F470">
        <v>859201</v>
      </c>
      <c r="G470">
        <v>140467</v>
      </c>
      <c r="H470">
        <v>831535</v>
      </c>
      <c r="I470">
        <v>131453</v>
      </c>
      <c r="J470">
        <v>51128</v>
      </c>
      <c r="K470">
        <v>402649</v>
      </c>
      <c r="L470">
        <v>-28873</v>
      </c>
      <c r="M470">
        <v>13.41</v>
      </c>
      <c r="N470">
        <f t="shared" si="21"/>
        <v>4145928</v>
      </c>
      <c r="O470">
        <v>23066050</v>
      </c>
      <c r="P470" s="2">
        <f t="shared" si="22"/>
        <v>17.974156823556701</v>
      </c>
      <c r="Q470" s="4">
        <f t="shared" si="23"/>
        <v>30.931573050000001</v>
      </c>
    </row>
    <row r="471" spans="1:17" x14ac:dyDescent="0.4">
      <c r="A471">
        <v>20210810</v>
      </c>
      <c r="B471" s="1">
        <v>0.77083333333333337</v>
      </c>
      <c r="C471">
        <v>148702</v>
      </c>
      <c r="D471">
        <v>292337</v>
      </c>
      <c r="E471">
        <v>1129849</v>
      </c>
      <c r="F471">
        <v>1016657</v>
      </c>
      <c r="G471">
        <v>138053</v>
      </c>
      <c r="H471">
        <v>852620</v>
      </c>
      <c r="I471">
        <v>87134</v>
      </c>
      <c r="J471">
        <v>110007</v>
      </c>
      <c r="K471">
        <v>542326</v>
      </c>
      <c r="L471">
        <v>-33903</v>
      </c>
      <c r="M471">
        <v>14.96</v>
      </c>
      <c r="N471">
        <f t="shared" si="21"/>
        <v>4283782</v>
      </c>
      <c r="O471">
        <v>22866900</v>
      </c>
      <c r="P471" s="2">
        <f t="shared" si="22"/>
        <v>18.733549366114339</v>
      </c>
      <c r="Q471" s="4">
        <f t="shared" si="23"/>
        <v>34.2088824</v>
      </c>
    </row>
    <row r="472" spans="1:17" x14ac:dyDescent="0.4">
      <c r="A472">
        <v>20210810</v>
      </c>
      <c r="B472" s="1">
        <v>0.79166666666666663</v>
      </c>
      <c r="C472">
        <v>138438</v>
      </c>
      <c r="D472">
        <v>392089</v>
      </c>
      <c r="E472">
        <v>1193784</v>
      </c>
      <c r="F472">
        <v>937044</v>
      </c>
      <c r="G472">
        <v>146917</v>
      </c>
      <c r="H472">
        <v>870120</v>
      </c>
      <c r="I472">
        <v>138628</v>
      </c>
      <c r="J472">
        <v>146400</v>
      </c>
      <c r="K472">
        <v>511015</v>
      </c>
      <c r="L472">
        <v>-36255</v>
      </c>
      <c r="M472">
        <v>13.41</v>
      </c>
      <c r="N472">
        <f t="shared" si="21"/>
        <v>4438180</v>
      </c>
      <c r="O472">
        <v>22985500</v>
      </c>
      <c r="P472" s="2">
        <f t="shared" si="22"/>
        <v>19.308607600443757</v>
      </c>
      <c r="Q472" s="4">
        <f t="shared" si="23"/>
        <v>30.823555500000001</v>
      </c>
    </row>
    <row r="473" spans="1:17" x14ac:dyDescent="0.4">
      <c r="A473">
        <v>20210810</v>
      </c>
      <c r="B473" s="1">
        <v>0.8125</v>
      </c>
      <c r="C473">
        <v>166539</v>
      </c>
      <c r="D473">
        <v>415770</v>
      </c>
      <c r="E473">
        <v>1366293</v>
      </c>
      <c r="F473">
        <v>979962</v>
      </c>
      <c r="G473">
        <v>141880</v>
      </c>
      <c r="H473">
        <v>859621</v>
      </c>
      <c r="I473">
        <v>237071</v>
      </c>
      <c r="J473">
        <v>128909</v>
      </c>
      <c r="K473">
        <v>504757</v>
      </c>
      <c r="L473">
        <v>-33162</v>
      </c>
      <c r="M473">
        <v>13.41</v>
      </c>
      <c r="N473">
        <f t="shared" si="21"/>
        <v>4767640</v>
      </c>
      <c r="O473">
        <v>22570350</v>
      </c>
      <c r="P473" s="2">
        <f t="shared" si="22"/>
        <v>21.123465076970451</v>
      </c>
      <c r="Q473" s="4">
        <f t="shared" si="23"/>
        <v>30.266839350000001</v>
      </c>
    </row>
    <row r="474" spans="1:17" x14ac:dyDescent="0.4">
      <c r="A474">
        <v>20210810</v>
      </c>
      <c r="B474" s="1">
        <v>0.83333333333333337</v>
      </c>
      <c r="C474">
        <v>151632</v>
      </c>
      <c r="D474">
        <v>465036</v>
      </c>
      <c r="E474">
        <v>1177782</v>
      </c>
      <c r="F474">
        <v>936262</v>
      </c>
      <c r="G474">
        <v>152631</v>
      </c>
      <c r="H474">
        <v>855668</v>
      </c>
      <c r="I474">
        <v>292112</v>
      </c>
      <c r="J474">
        <v>109075</v>
      </c>
      <c r="K474">
        <v>565075</v>
      </c>
      <c r="L474">
        <v>-40361</v>
      </c>
      <c r="M474">
        <v>12.93</v>
      </c>
      <c r="N474">
        <f t="shared" si="21"/>
        <v>4664912</v>
      </c>
      <c r="O474">
        <v>21919450</v>
      </c>
      <c r="P474" s="2">
        <f t="shared" si="22"/>
        <v>21.282066840180754</v>
      </c>
      <c r="Q474" s="4">
        <f t="shared" si="23"/>
        <v>28.341848850000002</v>
      </c>
    </row>
    <row r="475" spans="1:17" x14ac:dyDescent="0.4">
      <c r="A475">
        <v>20210810</v>
      </c>
      <c r="B475" s="1">
        <v>0.85416666666666663</v>
      </c>
      <c r="C475">
        <v>198550</v>
      </c>
      <c r="D475">
        <v>430341</v>
      </c>
      <c r="E475">
        <v>1164104</v>
      </c>
      <c r="F475">
        <v>887308</v>
      </c>
      <c r="G475">
        <v>130027</v>
      </c>
      <c r="H475">
        <v>793674</v>
      </c>
      <c r="I475">
        <v>293161</v>
      </c>
      <c r="J475">
        <v>89899</v>
      </c>
      <c r="K475">
        <v>352268</v>
      </c>
      <c r="L475">
        <v>-32456</v>
      </c>
      <c r="M475">
        <v>10.57</v>
      </c>
      <c r="N475">
        <f t="shared" si="21"/>
        <v>4306876</v>
      </c>
      <c r="O475">
        <v>21661450</v>
      </c>
      <c r="P475" s="2">
        <f t="shared" si="22"/>
        <v>19.882676367463858</v>
      </c>
      <c r="Q475" s="4">
        <f t="shared" si="23"/>
        <v>22.896152650000001</v>
      </c>
    </row>
    <row r="476" spans="1:17" x14ac:dyDescent="0.4">
      <c r="A476">
        <v>20210810</v>
      </c>
      <c r="B476" s="1">
        <v>0.875</v>
      </c>
      <c r="C476">
        <v>170877</v>
      </c>
      <c r="D476">
        <v>522592</v>
      </c>
      <c r="E476">
        <v>1147780</v>
      </c>
      <c r="F476">
        <v>848219</v>
      </c>
      <c r="G476">
        <v>168435</v>
      </c>
      <c r="H476">
        <v>976280</v>
      </c>
      <c r="I476">
        <v>305140</v>
      </c>
      <c r="J476">
        <v>77641</v>
      </c>
      <c r="K476">
        <v>319845</v>
      </c>
      <c r="L476">
        <v>-41001</v>
      </c>
      <c r="M476">
        <v>9.84</v>
      </c>
      <c r="N476">
        <f t="shared" si="21"/>
        <v>4495808</v>
      </c>
      <c r="O476">
        <v>21497600</v>
      </c>
      <c r="P476" s="2">
        <f t="shared" si="22"/>
        <v>20.913069365882702</v>
      </c>
      <c r="Q476" s="4">
        <f t="shared" si="23"/>
        <v>21.153638399999998</v>
      </c>
    </row>
    <row r="477" spans="1:17" x14ac:dyDescent="0.4">
      <c r="A477">
        <v>20210810</v>
      </c>
      <c r="B477" s="1">
        <v>0.89583333333333337</v>
      </c>
      <c r="C477">
        <v>175103</v>
      </c>
      <c r="D477">
        <v>597784</v>
      </c>
      <c r="E477">
        <v>1290580</v>
      </c>
      <c r="F477">
        <v>567506</v>
      </c>
      <c r="G477">
        <v>173487</v>
      </c>
      <c r="H477">
        <v>745108</v>
      </c>
      <c r="I477">
        <v>290444</v>
      </c>
      <c r="J477">
        <v>66768</v>
      </c>
      <c r="K477">
        <v>341803</v>
      </c>
      <c r="L477">
        <v>-34514</v>
      </c>
      <c r="M477">
        <v>9.56</v>
      </c>
      <c r="N477">
        <f t="shared" si="21"/>
        <v>4214069</v>
      </c>
      <c r="O477">
        <v>21459800</v>
      </c>
      <c r="P477" s="2">
        <f t="shared" si="22"/>
        <v>19.637037623836196</v>
      </c>
      <c r="Q477" s="4">
        <f t="shared" si="23"/>
        <v>20.5155688</v>
      </c>
    </row>
    <row r="478" spans="1:17" x14ac:dyDescent="0.4">
      <c r="A478">
        <v>20210810</v>
      </c>
      <c r="B478" s="1">
        <v>0.91666666666666663</v>
      </c>
      <c r="C478">
        <v>170146</v>
      </c>
      <c r="D478">
        <v>533732</v>
      </c>
      <c r="E478">
        <v>1261035</v>
      </c>
      <c r="F478">
        <v>447958</v>
      </c>
      <c r="G478">
        <v>78229</v>
      </c>
      <c r="H478">
        <v>824115</v>
      </c>
      <c r="I478">
        <v>212510</v>
      </c>
      <c r="J478">
        <v>66169</v>
      </c>
      <c r="K478">
        <v>250459</v>
      </c>
      <c r="L478">
        <v>-42327</v>
      </c>
      <c r="M478">
        <v>9.33</v>
      </c>
      <c r="N478">
        <f t="shared" si="21"/>
        <v>3802026</v>
      </c>
      <c r="O478">
        <v>20858900</v>
      </c>
      <c r="P478" s="2">
        <f t="shared" si="22"/>
        <v>18.227356188485491</v>
      </c>
      <c r="Q478" s="4">
        <f t="shared" si="23"/>
        <v>19.4613537</v>
      </c>
    </row>
    <row r="479" spans="1:17" x14ac:dyDescent="0.4">
      <c r="A479">
        <v>20210810</v>
      </c>
      <c r="B479" s="1">
        <v>0.9375</v>
      </c>
      <c r="C479">
        <v>129132</v>
      </c>
      <c r="D479">
        <v>589490</v>
      </c>
      <c r="E479">
        <v>1308823</v>
      </c>
      <c r="F479">
        <v>576645</v>
      </c>
      <c r="G479">
        <v>92073</v>
      </c>
      <c r="H479">
        <v>812645</v>
      </c>
      <c r="I479">
        <v>166964</v>
      </c>
      <c r="J479">
        <v>55148</v>
      </c>
      <c r="K479">
        <v>200674</v>
      </c>
      <c r="L479">
        <v>-35796</v>
      </c>
      <c r="M479">
        <v>8.99</v>
      </c>
      <c r="N479">
        <f t="shared" si="21"/>
        <v>3895798</v>
      </c>
      <c r="O479">
        <v>20690300</v>
      </c>
      <c r="P479" s="2">
        <f t="shared" si="22"/>
        <v>18.829103492941137</v>
      </c>
      <c r="Q479" s="4">
        <f t="shared" si="23"/>
        <v>18.600579700000001</v>
      </c>
    </row>
    <row r="480" spans="1:17" x14ac:dyDescent="0.4">
      <c r="A480">
        <v>20210810</v>
      </c>
      <c r="B480" s="1">
        <v>0.95833333333333337</v>
      </c>
      <c r="C480">
        <v>133595</v>
      </c>
      <c r="D480">
        <v>569190</v>
      </c>
      <c r="E480">
        <v>1338930</v>
      </c>
      <c r="F480">
        <v>443996</v>
      </c>
      <c r="G480">
        <v>84618</v>
      </c>
      <c r="H480">
        <v>829335</v>
      </c>
      <c r="I480">
        <v>115333</v>
      </c>
      <c r="J480">
        <v>37084</v>
      </c>
      <c r="K480">
        <v>93663</v>
      </c>
      <c r="L480">
        <v>-29829</v>
      </c>
      <c r="M480">
        <v>7.88</v>
      </c>
      <c r="N480">
        <f t="shared" si="21"/>
        <v>3615915</v>
      </c>
      <c r="O480">
        <v>19952250</v>
      </c>
      <c r="P480" s="2">
        <f t="shared" si="22"/>
        <v>18.122843288350939</v>
      </c>
      <c r="Q480" s="4">
        <f t="shared" si="23"/>
        <v>15.722372999999999</v>
      </c>
    </row>
    <row r="481" spans="1:17" x14ac:dyDescent="0.4">
      <c r="A481">
        <v>20210810</v>
      </c>
      <c r="B481" s="1">
        <v>0.97916666666666663</v>
      </c>
      <c r="C481">
        <v>130910</v>
      </c>
      <c r="D481">
        <v>533822</v>
      </c>
      <c r="E481">
        <v>1301377</v>
      </c>
      <c r="F481">
        <v>419511</v>
      </c>
      <c r="G481">
        <v>98245</v>
      </c>
      <c r="H481">
        <v>724052</v>
      </c>
      <c r="I481">
        <v>56516</v>
      </c>
      <c r="J481">
        <v>33574</v>
      </c>
      <c r="K481">
        <v>112321</v>
      </c>
      <c r="L481">
        <v>-22712</v>
      </c>
      <c r="M481">
        <v>7.42</v>
      </c>
      <c r="N481">
        <f t="shared" si="21"/>
        <v>3387616</v>
      </c>
      <c r="O481">
        <v>18979050</v>
      </c>
      <c r="P481" s="2">
        <f t="shared" si="22"/>
        <v>17.849239029350784</v>
      </c>
      <c r="Q481" s="4">
        <f t="shared" si="23"/>
        <v>14.082455100000001</v>
      </c>
    </row>
    <row r="482" spans="1:17" x14ac:dyDescent="0.4">
      <c r="A482">
        <v>20210811</v>
      </c>
      <c r="B482" s="1">
        <v>0</v>
      </c>
      <c r="C482">
        <v>102437</v>
      </c>
      <c r="D482">
        <v>695442</v>
      </c>
      <c r="E482">
        <v>427504</v>
      </c>
      <c r="F482">
        <v>565440</v>
      </c>
      <c r="G482">
        <v>45911</v>
      </c>
      <c r="H482">
        <v>565744</v>
      </c>
      <c r="I482">
        <v>-26990</v>
      </c>
      <c r="J482">
        <v>9564</v>
      </c>
      <c r="K482">
        <v>187836</v>
      </c>
      <c r="L482">
        <v>-17400</v>
      </c>
      <c r="M482">
        <v>6.96</v>
      </c>
      <c r="N482">
        <f t="shared" si="21"/>
        <v>2555488</v>
      </c>
      <c r="O482">
        <v>18839750</v>
      </c>
      <c r="P482" s="2">
        <f t="shared" si="22"/>
        <v>13.564341352724956</v>
      </c>
      <c r="Q482" s="4">
        <f t="shared" si="23"/>
        <v>13.112466</v>
      </c>
    </row>
    <row r="483" spans="1:17" x14ac:dyDescent="0.4">
      <c r="A483">
        <v>20210811</v>
      </c>
      <c r="B483" s="1">
        <v>2.0833333333333332E-2</v>
      </c>
      <c r="C483">
        <v>129818</v>
      </c>
      <c r="D483">
        <v>538683</v>
      </c>
      <c r="E483">
        <v>508644</v>
      </c>
      <c r="F483">
        <v>508650</v>
      </c>
      <c r="G483">
        <v>62233</v>
      </c>
      <c r="H483">
        <v>568731</v>
      </c>
      <c r="I483">
        <v>-31454</v>
      </c>
      <c r="J483">
        <v>12089</v>
      </c>
      <c r="K483">
        <v>181447</v>
      </c>
      <c r="L483">
        <v>-17988</v>
      </c>
      <c r="M483">
        <v>6.96</v>
      </c>
      <c r="N483">
        <f t="shared" si="21"/>
        <v>2460853</v>
      </c>
      <c r="O483">
        <v>20549700</v>
      </c>
      <c r="P483" s="2">
        <f t="shared" si="22"/>
        <v>11.975128590685022</v>
      </c>
      <c r="Q483" s="4">
        <f t="shared" si="23"/>
        <v>14.3025912</v>
      </c>
    </row>
    <row r="484" spans="1:17" x14ac:dyDescent="0.4">
      <c r="A484">
        <v>20210811</v>
      </c>
      <c r="B484" s="1">
        <v>4.1666666666666664E-2</v>
      </c>
      <c r="C484">
        <v>100524</v>
      </c>
      <c r="D484">
        <v>545177</v>
      </c>
      <c r="E484">
        <v>448525</v>
      </c>
      <c r="F484">
        <v>512725</v>
      </c>
      <c r="G484">
        <v>60003</v>
      </c>
      <c r="H484">
        <v>603490</v>
      </c>
      <c r="I484">
        <v>-68714</v>
      </c>
      <c r="J484">
        <v>10024</v>
      </c>
      <c r="K484">
        <v>142045</v>
      </c>
      <c r="L484">
        <v>-17451</v>
      </c>
      <c r="M484">
        <v>6.99</v>
      </c>
      <c r="N484">
        <f t="shared" si="21"/>
        <v>2336348</v>
      </c>
      <c r="O484">
        <v>20988200</v>
      </c>
      <c r="P484" s="2">
        <f t="shared" si="22"/>
        <v>11.131721634061044</v>
      </c>
      <c r="Q484" s="4">
        <f t="shared" si="23"/>
        <v>14.6707518</v>
      </c>
    </row>
    <row r="485" spans="1:17" x14ac:dyDescent="0.4">
      <c r="A485">
        <v>20210811</v>
      </c>
      <c r="B485" s="1">
        <v>6.25E-2</v>
      </c>
      <c r="C485">
        <v>80297</v>
      </c>
      <c r="D485">
        <v>487305</v>
      </c>
      <c r="E485">
        <v>588229</v>
      </c>
      <c r="F485">
        <v>402492</v>
      </c>
      <c r="G485">
        <v>90410</v>
      </c>
      <c r="H485">
        <v>320242</v>
      </c>
      <c r="I485">
        <v>-89589</v>
      </c>
      <c r="J485">
        <v>10256</v>
      </c>
      <c r="K485">
        <v>122534</v>
      </c>
      <c r="L485">
        <v>-19951</v>
      </c>
      <c r="M485">
        <v>7.02</v>
      </c>
      <c r="N485">
        <f t="shared" si="21"/>
        <v>1992225</v>
      </c>
      <c r="O485">
        <v>21114650</v>
      </c>
      <c r="P485" s="2">
        <f t="shared" si="22"/>
        <v>9.4352736133442896</v>
      </c>
      <c r="Q485" s="4">
        <f t="shared" si="23"/>
        <v>14.822484299999999</v>
      </c>
    </row>
    <row r="486" spans="1:17" x14ac:dyDescent="0.4">
      <c r="A486">
        <v>20210811</v>
      </c>
      <c r="B486" s="1">
        <v>8.3333333333333329E-2</v>
      </c>
      <c r="C486">
        <v>70832</v>
      </c>
      <c r="D486">
        <v>449504</v>
      </c>
      <c r="E486">
        <v>528001</v>
      </c>
      <c r="F486">
        <v>436926</v>
      </c>
      <c r="G486">
        <v>89768</v>
      </c>
      <c r="H486">
        <v>377349</v>
      </c>
      <c r="I486">
        <v>-25754</v>
      </c>
      <c r="J486">
        <v>24918</v>
      </c>
      <c r="K486">
        <v>174533</v>
      </c>
      <c r="L486">
        <v>-14357</v>
      </c>
      <c r="M486">
        <v>7.03</v>
      </c>
      <c r="N486">
        <f t="shared" si="21"/>
        <v>2111720</v>
      </c>
      <c r="O486">
        <v>21279300</v>
      </c>
      <c r="P486" s="2">
        <f t="shared" si="22"/>
        <v>9.9238226821371001</v>
      </c>
      <c r="Q486" s="4">
        <f t="shared" si="23"/>
        <v>14.959347899999999</v>
      </c>
    </row>
    <row r="487" spans="1:17" x14ac:dyDescent="0.4">
      <c r="A487">
        <v>20210811</v>
      </c>
      <c r="B487" s="1">
        <v>0.10416666666666667</v>
      </c>
      <c r="C487">
        <v>103957</v>
      </c>
      <c r="D487">
        <v>469419</v>
      </c>
      <c r="E487">
        <v>545725</v>
      </c>
      <c r="F487">
        <v>403618</v>
      </c>
      <c r="G487">
        <v>94831</v>
      </c>
      <c r="H487">
        <v>301210</v>
      </c>
      <c r="I487">
        <v>-20989</v>
      </c>
      <c r="J487">
        <v>16095</v>
      </c>
      <c r="K487">
        <v>205747</v>
      </c>
      <c r="L487">
        <v>-23656</v>
      </c>
      <c r="M487">
        <v>7.09</v>
      </c>
      <c r="N487">
        <f t="shared" si="21"/>
        <v>2095957</v>
      </c>
      <c r="O487">
        <v>21187400</v>
      </c>
      <c r="P487" s="2">
        <f t="shared" si="22"/>
        <v>9.8924691089987444</v>
      </c>
      <c r="Q487" s="4">
        <f t="shared" si="23"/>
        <v>15.021866599999999</v>
      </c>
    </row>
    <row r="488" spans="1:17" x14ac:dyDescent="0.4">
      <c r="A488">
        <v>20210811</v>
      </c>
      <c r="B488" s="1">
        <v>0.125</v>
      </c>
      <c r="C488">
        <v>67152</v>
      </c>
      <c r="D488">
        <v>431645</v>
      </c>
      <c r="E488">
        <v>284010</v>
      </c>
      <c r="F488">
        <v>283121</v>
      </c>
      <c r="G488">
        <v>58800</v>
      </c>
      <c r="H488">
        <v>396319</v>
      </c>
      <c r="I488">
        <v>33257</v>
      </c>
      <c r="J488">
        <v>29667</v>
      </c>
      <c r="K488">
        <v>205337</v>
      </c>
      <c r="L488">
        <v>-19990</v>
      </c>
      <c r="M488">
        <v>7.08</v>
      </c>
      <c r="N488">
        <f t="shared" si="21"/>
        <v>1769318</v>
      </c>
      <c r="O488">
        <v>21155300</v>
      </c>
      <c r="P488" s="2">
        <f t="shared" si="22"/>
        <v>8.3634739285190953</v>
      </c>
      <c r="Q488" s="4">
        <f t="shared" si="23"/>
        <v>14.977952399999999</v>
      </c>
    </row>
    <row r="489" spans="1:17" x14ac:dyDescent="0.4">
      <c r="A489">
        <v>20210811</v>
      </c>
      <c r="B489" s="1">
        <v>0.14583333333333334</v>
      </c>
      <c r="C489">
        <v>77649</v>
      </c>
      <c r="D489">
        <v>424499</v>
      </c>
      <c r="E489">
        <v>290970</v>
      </c>
      <c r="F489">
        <v>286115</v>
      </c>
      <c r="G489">
        <v>37505</v>
      </c>
      <c r="H489">
        <v>315814</v>
      </c>
      <c r="I489">
        <v>10912</v>
      </c>
      <c r="J489">
        <v>34649</v>
      </c>
      <c r="K489">
        <v>239392</v>
      </c>
      <c r="L489">
        <v>-20196</v>
      </c>
      <c r="M489">
        <v>7.08</v>
      </c>
      <c r="N489">
        <f t="shared" si="21"/>
        <v>1697309</v>
      </c>
      <c r="O489">
        <v>21138950</v>
      </c>
      <c r="P489" s="2">
        <f t="shared" si="22"/>
        <v>8.0292966301542883</v>
      </c>
      <c r="Q489" s="4">
        <f t="shared" si="23"/>
        <v>14.9663766</v>
      </c>
    </row>
    <row r="490" spans="1:17" x14ac:dyDescent="0.4">
      <c r="A490">
        <v>20210811</v>
      </c>
      <c r="B490" s="1">
        <v>0.16666666666666666</v>
      </c>
      <c r="C490">
        <v>64532</v>
      </c>
      <c r="D490">
        <v>421384</v>
      </c>
      <c r="E490">
        <v>353036</v>
      </c>
      <c r="F490">
        <v>199765</v>
      </c>
      <c r="G490">
        <v>43709</v>
      </c>
      <c r="H490">
        <v>347921</v>
      </c>
      <c r="I490">
        <v>73367</v>
      </c>
      <c r="J490">
        <v>18537</v>
      </c>
      <c r="K490">
        <v>265153</v>
      </c>
      <c r="L490">
        <v>-19155</v>
      </c>
      <c r="M490">
        <v>7.14</v>
      </c>
      <c r="N490">
        <f t="shared" si="21"/>
        <v>1768249</v>
      </c>
      <c r="O490">
        <v>21213200</v>
      </c>
      <c r="P490" s="2">
        <f t="shared" si="22"/>
        <v>8.335607074840194</v>
      </c>
      <c r="Q490" s="4">
        <f t="shared" si="23"/>
        <v>15.146224800000001</v>
      </c>
    </row>
    <row r="491" spans="1:17" x14ac:dyDescent="0.4">
      <c r="A491">
        <v>20210811</v>
      </c>
      <c r="B491" s="1">
        <v>0.1875</v>
      </c>
      <c r="C491">
        <v>87565</v>
      </c>
      <c r="D491">
        <v>355657</v>
      </c>
      <c r="E491">
        <v>299948</v>
      </c>
      <c r="F491">
        <v>335517</v>
      </c>
      <c r="G491">
        <v>8574</v>
      </c>
      <c r="H491">
        <v>316226</v>
      </c>
      <c r="I491">
        <v>76840</v>
      </c>
      <c r="J491">
        <v>27392</v>
      </c>
      <c r="K491">
        <v>226214</v>
      </c>
      <c r="L491">
        <v>-26576</v>
      </c>
      <c r="M491">
        <v>7.15</v>
      </c>
      <c r="N491">
        <f t="shared" si="21"/>
        <v>1707357</v>
      </c>
      <c r="O491">
        <v>21172600</v>
      </c>
      <c r="P491" s="2">
        <f t="shared" si="22"/>
        <v>8.0639930854028314</v>
      </c>
      <c r="Q491" s="4">
        <f t="shared" si="23"/>
        <v>15.138408999999999</v>
      </c>
    </row>
    <row r="492" spans="1:17" x14ac:dyDescent="0.4">
      <c r="A492">
        <v>20210811</v>
      </c>
      <c r="B492" s="1">
        <v>0.20833333333333334</v>
      </c>
      <c r="C492">
        <v>50284</v>
      </c>
      <c r="D492">
        <v>171080</v>
      </c>
      <c r="E492">
        <v>450282</v>
      </c>
      <c r="F492">
        <v>242757</v>
      </c>
      <c r="G492">
        <v>25627</v>
      </c>
      <c r="H492">
        <v>423269</v>
      </c>
      <c r="I492">
        <v>54574</v>
      </c>
      <c r="J492">
        <v>41289</v>
      </c>
      <c r="K492">
        <v>188914</v>
      </c>
      <c r="L492">
        <v>-25289</v>
      </c>
      <c r="M492">
        <v>7.19</v>
      </c>
      <c r="N492">
        <f t="shared" si="21"/>
        <v>1622787</v>
      </c>
      <c r="O492">
        <v>21169700</v>
      </c>
      <c r="P492" s="2">
        <f t="shared" si="22"/>
        <v>7.6656116997406674</v>
      </c>
      <c r="Q492" s="4">
        <f t="shared" si="23"/>
        <v>15.2210143</v>
      </c>
    </row>
    <row r="493" spans="1:17" x14ac:dyDescent="0.4">
      <c r="A493">
        <v>20210811</v>
      </c>
      <c r="B493" s="1">
        <v>0.22916666666666666</v>
      </c>
      <c r="C493">
        <v>62002</v>
      </c>
      <c r="D493">
        <v>190603</v>
      </c>
      <c r="E493">
        <v>402558</v>
      </c>
      <c r="F493">
        <v>334831</v>
      </c>
      <c r="G493">
        <v>-7320</v>
      </c>
      <c r="H493">
        <v>534772</v>
      </c>
      <c r="I493">
        <v>178883</v>
      </c>
      <c r="J493">
        <v>57724</v>
      </c>
      <c r="K493">
        <v>272114</v>
      </c>
      <c r="L493">
        <v>-20299</v>
      </c>
      <c r="M493">
        <v>7.14</v>
      </c>
      <c r="N493">
        <f t="shared" si="21"/>
        <v>2005868</v>
      </c>
      <c r="O493">
        <v>21446550</v>
      </c>
      <c r="P493" s="2">
        <f t="shared" si="22"/>
        <v>9.3528702751724637</v>
      </c>
      <c r="Q493" s="4">
        <f t="shared" si="23"/>
        <v>15.3128367</v>
      </c>
    </row>
    <row r="494" spans="1:17" x14ac:dyDescent="0.4">
      <c r="A494">
        <v>20210811</v>
      </c>
      <c r="B494" s="1">
        <v>0.25</v>
      </c>
      <c r="C494">
        <v>106548</v>
      </c>
      <c r="D494">
        <v>190999</v>
      </c>
      <c r="E494">
        <v>687257</v>
      </c>
      <c r="F494">
        <v>310127</v>
      </c>
      <c r="G494">
        <v>14844</v>
      </c>
      <c r="H494">
        <v>703887</v>
      </c>
      <c r="I494">
        <v>187062</v>
      </c>
      <c r="J494">
        <v>83457</v>
      </c>
      <c r="K494">
        <v>288935</v>
      </c>
      <c r="L494">
        <v>-14062</v>
      </c>
      <c r="M494">
        <v>7.08</v>
      </c>
      <c r="N494">
        <f t="shared" si="21"/>
        <v>2559054</v>
      </c>
      <c r="O494">
        <v>22066050</v>
      </c>
      <c r="P494" s="2">
        <f t="shared" si="22"/>
        <v>11.597245542360323</v>
      </c>
      <c r="Q494" s="4">
        <f t="shared" si="23"/>
        <v>15.6227634</v>
      </c>
    </row>
    <row r="495" spans="1:17" x14ac:dyDescent="0.4">
      <c r="A495">
        <v>20210811</v>
      </c>
      <c r="B495" s="1">
        <v>0.27083333333333331</v>
      </c>
      <c r="C495">
        <v>145176</v>
      </c>
      <c r="D495">
        <v>320234</v>
      </c>
      <c r="E495">
        <v>820574</v>
      </c>
      <c r="F495">
        <v>383698</v>
      </c>
      <c r="G495">
        <v>23584</v>
      </c>
      <c r="H495">
        <v>780965</v>
      </c>
      <c r="I495">
        <v>155106</v>
      </c>
      <c r="J495">
        <v>106195</v>
      </c>
      <c r="K495">
        <v>317275</v>
      </c>
      <c r="L495">
        <v>-14391</v>
      </c>
      <c r="M495">
        <v>7.08</v>
      </c>
      <c r="N495">
        <f t="shared" si="21"/>
        <v>3038416</v>
      </c>
      <c r="O495">
        <v>22506800</v>
      </c>
      <c r="P495" s="2">
        <f t="shared" si="22"/>
        <v>13.499991113796719</v>
      </c>
      <c r="Q495" s="4">
        <f t="shared" si="23"/>
        <v>15.9348144</v>
      </c>
    </row>
    <row r="496" spans="1:17" x14ac:dyDescent="0.4">
      <c r="A496">
        <v>20210811</v>
      </c>
      <c r="B496" s="1">
        <v>0.29166666666666669</v>
      </c>
      <c r="C496">
        <v>189485</v>
      </c>
      <c r="D496">
        <v>343134</v>
      </c>
      <c r="E496">
        <v>1164260</v>
      </c>
      <c r="F496">
        <v>682122</v>
      </c>
      <c r="G496">
        <v>59041</v>
      </c>
      <c r="H496">
        <v>922435</v>
      </c>
      <c r="I496">
        <v>195833</v>
      </c>
      <c r="J496">
        <v>99242</v>
      </c>
      <c r="K496">
        <v>278752</v>
      </c>
      <c r="L496">
        <v>-8740</v>
      </c>
      <c r="M496">
        <v>7.15</v>
      </c>
      <c r="N496">
        <f t="shared" si="21"/>
        <v>3925564</v>
      </c>
      <c r="O496">
        <v>23338600</v>
      </c>
      <c r="P496" s="2">
        <f t="shared" si="22"/>
        <v>16.820049188897364</v>
      </c>
      <c r="Q496" s="4">
        <f t="shared" si="23"/>
        <v>16.687099</v>
      </c>
    </row>
    <row r="497" spans="1:17" x14ac:dyDescent="0.4">
      <c r="A497">
        <v>20210811</v>
      </c>
      <c r="B497" s="1">
        <v>0.3125</v>
      </c>
      <c r="C497">
        <v>271007</v>
      </c>
      <c r="D497">
        <v>396327</v>
      </c>
      <c r="E497">
        <v>1155901</v>
      </c>
      <c r="F497">
        <v>724770</v>
      </c>
      <c r="G497">
        <v>73486</v>
      </c>
      <c r="H497">
        <v>947896</v>
      </c>
      <c r="I497">
        <v>350030</v>
      </c>
      <c r="J497">
        <v>175905</v>
      </c>
      <c r="K497">
        <v>303066</v>
      </c>
      <c r="L497">
        <v>-9607</v>
      </c>
      <c r="M497">
        <v>7.08</v>
      </c>
      <c r="N497">
        <f t="shared" si="21"/>
        <v>4388781</v>
      </c>
      <c r="O497">
        <v>23629800</v>
      </c>
      <c r="P497" s="2">
        <f t="shared" si="22"/>
        <v>18.57307721605769</v>
      </c>
      <c r="Q497" s="4">
        <f t="shared" si="23"/>
        <v>16.7298984</v>
      </c>
    </row>
    <row r="498" spans="1:17" x14ac:dyDescent="0.4">
      <c r="A498">
        <v>20210811</v>
      </c>
      <c r="B498" s="1">
        <v>0.33333333333333331</v>
      </c>
      <c r="C498">
        <v>363599</v>
      </c>
      <c r="D498">
        <v>329649</v>
      </c>
      <c r="E498">
        <v>1406448</v>
      </c>
      <c r="F498">
        <v>746894</v>
      </c>
      <c r="G498">
        <v>94755</v>
      </c>
      <c r="H498">
        <v>1090332</v>
      </c>
      <c r="I498">
        <v>-45081</v>
      </c>
      <c r="J498">
        <v>185290</v>
      </c>
      <c r="K498">
        <v>458214</v>
      </c>
      <c r="L498">
        <v>10777</v>
      </c>
      <c r="M498">
        <v>7.17</v>
      </c>
      <c r="N498">
        <f t="shared" si="21"/>
        <v>4640877</v>
      </c>
      <c r="O498">
        <v>24858350</v>
      </c>
      <c r="P498" s="2">
        <f t="shared" si="22"/>
        <v>18.669288186866787</v>
      </c>
      <c r="Q498" s="4">
        <f t="shared" si="23"/>
        <v>17.823436950000001</v>
      </c>
    </row>
    <row r="499" spans="1:17" x14ac:dyDescent="0.4">
      <c r="A499">
        <v>20210811</v>
      </c>
      <c r="B499" s="1">
        <v>0.35416666666666669</v>
      </c>
      <c r="C499">
        <v>425561</v>
      </c>
      <c r="D499">
        <v>303747</v>
      </c>
      <c r="E499">
        <v>1517475</v>
      </c>
      <c r="F499">
        <v>799650</v>
      </c>
      <c r="G499">
        <v>149078</v>
      </c>
      <c r="H499">
        <v>896975</v>
      </c>
      <c r="I499">
        <v>-123620</v>
      </c>
      <c r="J499">
        <v>166563</v>
      </c>
      <c r="K499">
        <v>444438</v>
      </c>
      <c r="L499">
        <v>-2051</v>
      </c>
      <c r="M499">
        <v>7.44</v>
      </c>
      <c r="N499">
        <f t="shared" si="21"/>
        <v>4577816</v>
      </c>
      <c r="O499">
        <v>25113050</v>
      </c>
      <c r="P499" s="2">
        <f t="shared" si="22"/>
        <v>18.22883321619636</v>
      </c>
      <c r="Q499" s="4">
        <f t="shared" si="23"/>
        <v>18.684109200000002</v>
      </c>
    </row>
    <row r="500" spans="1:17" x14ac:dyDescent="0.4">
      <c r="A500">
        <v>20210811</v>
      </c>
      <c r="B500" s="1">
        <v>0.375</v>
      </c>
      <c r="C500">
        <v>494702</v>
      </c>
      <c r="D500">
        <v>342112</v>
      </c>
      <c r="E500">
        <v>1683598</v>
      </c>
      <c r="F500">
        <v>837533</v>
      </c>
      <c r="G500">
        <v>167069</v>
      </c>
      <c r="H500">
        <v>927749</v>
      </c>
      <c r="I500">
        <v>-71404</v>
      </c>
      <c r="J500">
        <v>143101</v>
      </c>
      <c r="K500">
        <v>62963</v>
      </c>
      <c r="L500">
        <v>-24404</v>
      </c>
      <c r="M500">
        <v>8.86</v>
      </c>
      <c r="N500">
        <f t="shared" si="21"/>
        <v>4563019</v>
      </c>
      <c r="O500">
        <v>25470900</v>
      </c>
      <c r="P500" s="2">
        <f t="shared" si="22"/>
        <v>17.914635917851353</v>
      </c>
      <c r="Q500" s="4">
        <f t="shared" si="23"/>
        <v>22.567217400000001</v>
      </c>
    </row>
    <row r="501" spans="1:17" x14ac:dyDescent="0.4">
      <c r="A501">
        <v>20210811</v>
      </c>
      <c r="B501" s="1">
        <v>0.39583333333333331</v>
      </c>
      <c r="C501">
        <v>499644</v>
      </c>
      <c r="D501">
        <v>256343</v>
      </c>
      <c r="E501">
        <v>1366291</v>
      </c>
      <c r="F501">
        <v>1047059</v>
      </c>
      <c r="G501">
        <v>185882</v>
      </c>
      <c r="H501">
        <v>913657</v>
      </c>
      <c r="I501">
        <v>-156604</v>
      </c>
      <c r="J501">
        <v>114659</v>
      </c>
      <c r="K501">
        <v>-4995</v>
      </c>
      <c r="L501">
        <v>-31883</v>
      </c>
      <c r="M501">
        <v>8.86</v>
      </c>
      <c r="N501">
        <f t="shared" si="21"/>
        <v>4190053</v>
      </c>
      <c r="O501">
        <v>25820350</v>
      </c>
      <c r="P501" s="2">
        <f t="shared" si="22"/>
        <v>16.227715735844015</v>
      </c>
      <c r="Q501" s="4">
        <f t="shared" si="23"/>
        <v>22.876830099999999</v>
      </c>
    </row>
    <row r="502" spans="1:17" x14ac:dyDescent="0.4">
      <c r="A502">
        <v>20210811</v>
      </c>
      <c r="B502" s="1">
        <v>0.41666666666666669</v>
      </c>
      <c r="C502">
        <v>571508</v>
      </c>
      <c r="D502">
        <v>232804</v>
      </c>
      <c r="E502">
        <v>1421892</v>
      </c>
      <c r="F502">
        <v>850335</v>
      </c>
      <c r="G502">
        <v>217909</v>
      </c>
      <c r="H502">
        <v>923148</v>
      </c>
      <c r="I502">
        <v>-118115</v>
      </c>
      <c r="J502">
        <v>78664</v>
      </c>
      <c r="K502">
        <v>94605</v>
      </c>
      <c r="L502">
        <v>-32363</v>
      </c>
      <c r="M502">
        <v>8.99</v>
      </c>
      <c r="N502">
        <f t="shared" si="21"/>
        <v>4240387</v>
      </c>
      <c r="O502">
        <v>26273450</v>
      </c>
      <c r="P502" s="2">
        <f t="shared" si="22"/>
        <v>16.139437340737512</v>
      </c>
      <c r="Q502" s="4">
        <f t="shared" si="23"/>
        <v>23.619831550000001</v>
      </c>
    </row>
    <row r="503" spans="1:17" x14ac:dyDescent="0.4">
      <c r="A503">
        <v>20210811</v>
      </c>
      <c r="B503" s="1">
        <v>0.4375</v>
      </c>
      <c r="C503">
        <v>525600</v>
      </c>
      <c r="D503">
        <v>229894</v>
      </c>
      <c r="E503">
        <v>1597593</v>
      </c>
      <c r="F503">
        <v>979374</v>
      </c>
      <c r="G503">
        <v>240233</v>
      </c>
      <c r="H503">
        <v>804337</v>
      </c>
      <c r="I503">
        <v>-65327</v>
      </c>
      <c r="J503">
        <v>98164</v>
      </c>
      <c r="K503">
        <v>117941</v>
      </c>
      <c r="L503">
        <v>-19871</v>
      </c>
      <c r="M503">
        <v>9.19</v>
      </c>
      <c r="N503">
        <f t="shared" si="21"/>
        <v>4507938</v>
      </c>
      <c r="O503">
        <v>26398800</v>
      </c>
      <c r="P503" s="2">
        <f t="shared" si="22"/>
        <v>17.076298922678305</v>
      </c>
      <c r="Q503" s="4">
        <f t="shared" si="23"/>
        <v>24.2604972</v>
      </c>
    </row>
    <row r="504" spans="1:17" x14ac:dyDescent="0.4">
      <c r="A504">
        <v>20210811</v>
      </c>
      <c r="B504" s="1">
        <v>0.45833333333333331</v>
      </c>
      <c r="C504">
        <v>543842</v>
      </c>
      <c r="D504">
        <v>261346</v>
      </c>
      <c r="E504">
        <v>1813562</v>
      </c>
      <c r="F504">
        <v>751549</v>
      </c>
      <c r="G504">
        <v>204116</v>
      </c>
      <c r="H504">
        <v>755228</v>
      </c>
      <c r="I504">
        <v>12427</v>
      </c>
      <c r="J504">
        <v>72986</v>
      </c>
      <c r="K504">
        <v>285687</v>
      </c>
      <c r="L504">
        <v>-9025</v>
      </c>
      <c r="M504">
        <v>9.6</v>
      </c>
      <c r="N504">
        <f t="shared" si="21"/>
        <v>4691718</v>
      </c>
      <c r="O504">
        <v>26450850</v>
      </c>
      <c r="P504" s="2">
        <f t="shared" si="22"/>
        <v>17.737494258218543</v>
      </c>
      <c r="Q504" s="4">
        <f t="shared" si="23"/>
        <v>25.392816</v>
      </c>
    </row>
    <row r="505" spans="1:17" x14ac:dyDescent="0.4">
      <c r="A505">
        <v>20210811</v>
      </c>
      <c r="B505" s="1">
        <v>0.47916666666666669</v>
      </c>
      <c r="C505">
        <v>545170</v>
      </c>
      <c r="D505">
        <v>293531</v>
      </c>
      <c r="E505">
        <v>1212189</v>
      </c>
      <c r="F505">
        <v>608630</v>
      </c>
      <c r="G505">
        <v>190071</v>
      </c>
      <c r="H505">
        <v>728412</v>
      </c>
      <c r="I505">
        <v>44803</v>
      </c>
      <c r="J505">
        <v>37024</v>
      </c>
      <c r="K505">
        <v>405127</v>
      </c>
      <c r="L505">
        <v>-18477</v>
      </c>
      <c r="M505">
        <v>9.84</v>
      </c>
      <c r="N505">
        <f t="shared" si="21"/>
        <v>4046480</v>
      </c>
      <c r="O505">
        <v>26292000</v>
      </c>
      <c r="P505" s="2">
        <f t="shared" si="22"/>
        <v>15.390537045489122</v>
      </c>
      <c r="Q505" s="4">
        <f t="shared" si="23"/>
        <v>25.871327999999998</v>
      </c>
    </row>
    <row r="506" spans="1:17" x14ac:dyDescent="0.4">
      <c r="A506">
        <v>20210811</v>
      </c>
      <c r="B506" s="1">
        <v>0.5</v>
      </c>
      <c r="C506">
        <v>554333</v>
      </c>
      <c r="D506">
        <v>305568</v>
      </c>
      <c r="E506">
        <v>882435</v>
      </c>
      <c r="F506">
        <v>610578</v>
      </c>
      <c r="G506">
        <v>213556</v>
      </c>
      <c r="H506">
        <v>814173</v>
      </c>
      <c r="I506">
        <v>-55960</v>
      </c>
      <c r="J506">
        <v>138372</v>
      </c>
      <c r="K506">
        <v>621861</v>
      </c>
      <c r="L506">
        <v>-28521</v>
      </c>
      <c r="M506">
        <v>9.9</v>
      </c>
      <c r="N506">
        <f t="shared" si="21"/>
        <v>4056395</v>
      </c>
      <c r="O506">
        <v>26021150</v>
      </c>
      <c r="P506" s="2">
        <f t="shared" si="22"/>
        <v>15.588838310374445</v>
      </c>
      <c r="Q506" s="4">
        <f t="shared" si="23"/>
        <v>25.760938500000002</v>
      </c>
    </row>
    <row r="507" spans="1:17" x14ac:dyDescent="0.4">
      <c r="A507">
        <v>20210811</v>
      </c>
      <c r="B507" s="1">
        <v>0.52083333333333337</v>
      </c>
      <c r="C507">
        <v>578386</v>
      </c>
      <c r="D507">
        <v>401459</v>
      </c>
      <c r="E507">
        <v>1044194</v>
      </c>
      <c r="F507">
        <v>343003</v>
      </c>
      <c r="G507">
        <v>186880</v>
      </c>
      <c r="H507">
        <v>842848</v>
      </c>
      <c r="I507">
        <v>-265436</v>
      </c>
      <c r="J507">
        <v>93488</v>
      </c>
      <c r="K507">
        <v>173780</v>
      </c>
      <c r="L507">
        <v>-24134</v>
      </c>
      <c r="M507">
        <v>9.83</v>
      </c>
      <c r="N507">
        <f t="shared" si="21"/>
        <v>3374468</v>
      </c>
      <c r="O507">
        <v>25928200</v>
      </c>
      <c r="P507" s="2">
        <f t="shared" si="22"/>
        <v>13.014663570938206</v>
      </c>
      <c r="Q507" s="4">
        <f t="shared" si="23"/>
        <v>25.4874206</v>
      </c>
    </row>
    <row r="508" spans="1:17" x14ac:dyDescent="0.4">
      <c r="A508">
        <v>20210811</v>
      </c>
      <c r="B508" s="1">
        <v>0.54166666666666663</v>
      </c>
      <c r="C508">
        <v>563000</v>
      </c>
      <c r="D508">
        <v>35667</v>
      </c>
      <c r="E508">
        <v>1274770</v>
      </c>
      <c r="F508">
        <v>171699</v>
      </c>
      <c r="G508">
        <v>66776</v>
      </c>
      <c r="H508">
        <v>277215</v>
      </c>
      <c r="I508">
        <v>-252855</v>
      </c>
      <c r="J508">
        <v>52622</v>
      </c>
      <c r="K508">
        <v>227615</v>
      </c>
      <c r="L508">
        <v>-21655</v>
      </c>
      <c r="M508">
        <v>10.27</v>
      </c>
      <c r="N508">
        <f t="shared" si="21"/>
        <v>2394854</v>
      </c>
      <c r="O508">
        <v>25483800</v>
      </c>
      <c r="P508" s="2">
        <f t="shared" si="22"/>
        <v>9.3975545248353853</v>
      </c>
      <c r="Q508" s="4">
        <f t="shared" si="23"/>
        <v>26.171862600000001</v>
      </c>
    </row>
    <row r="509" spans="1:17" x14ac:dyDescent="0.4">
      <c r="A509">
        <v>20210811</v>
      </c>
      <c r="B509" s="1">
        <v>0.5625</v>
      </c>
      <c r="C509">
        <v>567999</v>
      </c>
      <c r="D509">
        <v>190081</v>
      </c>
      <c r="E509">
        <v>816226</v>
      </c>
      <c r="F509">
        <v>200238</v>
      </c>
      <c r="G509">
        <v>131749</v>
      </c>
      <c r="H509">
        <v>301634</v>
      </c>
      <c r="I509">
        <v>-197003</v>
      </c>
      <c r="J509">
        <v>-85774</v>
      </c>
      <c r="K509">
        <v>274453</v>
      </c>
      <c r="L509">
        <v>-24330</v>
      </c>
      <c r="M509">
        <v>10.27</v>
      </c>
      <c r="N509">
        <f t="shared" si="21"/>
        <v>2175273</v>
      </c>
      <c r="O509">
        <v>25124800</v>
      </c>
      <c r="P509" s="2">
        <f t="shared" si="22"/>
        <v>8.6578719034579379</v>
      </c>
      <c r="Q509" s="4">
        <f t="shared" si="23"/>
        <v>25.8031696</v>
      </c>
    </row>
    <row r="510" spans="1:17" x14ac:dyDescent="0.4">
      <c r="A510">
        <v>20210811</v>
      </c>
      <c r="B510" s="1">
        <v>0.58333333333333337</v>
      </c>
      <c r="C510">
        <v>479198</v>
      </c>
      <c r="D510">
        <v>214854</v>
      </c>
      <c r="E510">
        <v>1230744</v>
      </c>
      <c r="F510">
        <v>393306</v>
      </c>
      <c r="G510">
        <v>94948</v>
      </c>
      <c r="H510">
        <v>327628</v>
      </c>
      <c r="I510">
        <v>-167998</v>
      </c>
      <c r="J510">
        <v>-127948</v>
      </c>
      <c r="K510">
        <v>334310</v>
      </c>
      <c r="L510">
        <v>-25529</v>
      </c>
      <c r="M510">
        <v>11.89</v>
      </c>
      <c r="N510">
        <f t="shared" si="21"/>
        <v>2753513</v>
      </c>
      <c r="O510">
        <v>24903150</v>
      </c>
      <c r="P510" s="2">
        <f t="shared" si="22"/>
        <v>11.056886377827704</v>
      </c>
      <c r="Q510" s="4">
        <f t="shared" si="23"/>
        <v>29.609845350000001</v>
      </c>
    </row>
    <row r="511" spans="1:17" x14ac:dyDescent="0.4">
      <c r="A511">
        <v>20210811</v>
      </c>
      <c r="B511" s="1">
        <v>0.60416666666666663</v>
      </c>
      <c r="C511">
        <v>499070</v>
      </c>
      <c r="D511">
        <v>212293</v>
      </c>
      <c r="E511">
        <v>1716755</v>
      </c>
      <c r="F511">
        <v>387820</v>
      </c>
      <c r="G511">
        <v>62138</v>
      </c>
      <c r="H511">
        <v>689798</v>
      </c>
      <c r="I511">
        <v>-378614</v>
      </c>
      <c r="J511">
        <v>-162939</v>
      </c>
      <c r="K511">
        <v>128118</v>
      </c>
      <c r="L511">
        <v>-23932</v>
      </c>
      <c r="M511">
        <v>11.79</v>
      </c>
      <c r="N511">
        <f t="shared" si="21"/>
        <v>3130507</v>
      </c>
      <c r="O511">
        <v>24684600</v>
      </c>
      <c r="P511" s="2">
        <f t="shared" si="22"/>
        <v>12.682024420083778</v>
      </c>
      <c r="Q511" s="4">
        <f t="shared" si="23"/>
        <v>29.1031434</v>
      </c>
    </row>
    <row r="512" spans="1:17" x14ac:dyDescent="0.4">
      <c r="A512">
        <v>20210811</v>
      </c>
      <c r="B512" s="1">
        <v>0.625</v>
      </c>
      <c r="C512">
        <v>369199</v>
      </c>
      <c r="D512">
        <v>167902</v>
      </c>
      <c r="E512">
        <v>1965848</v>
      </c>
      <c r="F512">
        <v>409375</v>
      </c>
      <c r="G512">
        <v>64461</v>
      </c>
      <c r="H512">
        <v>838131</v>
      </c>
      <c r="I512">
        <v>-240053</v>
      </c>
      <c r="J512">
        <v>-112019</v>
      </c>
      <c r="K512">
        <v>78681</v>
      </c>
      <c r="L512">
        <v>-18617</v>
      </c>
      <c r="M512">
        <v>11.71</v>
      </c>
      <c r="N512">
        <f t="shared" si="21"/>
        <v>3522908</v>
      </c>
      <c r="O512">
        <v>24169650</v>
      </c>
      <c r="P512" s="2">
        <f t="shared" si="22"/>
        <v>14.575750993498044</v>
      </c>
      <c r="Q512" s="4">
        <f t="shared" si="23"/>
        <v>28.302660150000001</v>
      </c>
    </row>
    <row r="513" spans="1:17" x14ac:dyDescent="0.4">
      <c r="A513">
        <v>20210811</v>
      </c>
      <c r="B513" s="1">
        <v>0.64583333333333337</v>
      </c>
      <c r="C513">
        <v>393750</v>
      </c>
      <c r="D513">
        <v>229679</v>
      </c>
      <c r="E513">
        <v>2014038</v>
      </c>
      <c r="F513">
        <v>146881</v>
      </c>
      <c r="G513">
        <v>70349</v>
      </c>
      <c r="H513">
        <v>983742</v>
      </c>
      <c r="I513">
        <v>-249776</v>
      </c>
      <c r="J513">
        <v>-50465</v>
      </c>
      <c r="K513">
        <v>165117</v>
      </c>
      <c r="L513">
        <v>-30519</v>
      </c>
      <c r="M513">
        <v>14.87</v>
      </c>
      <c r="N513">
        <f t="shared" si="21"/>
        <v>3672796</v>
      </c>
      <c r="O513">
        <v>23837050</v>
      </c>
      <c r="P513" s="2">
        <f t="shared" si="22"/>
        <v>15.407930092020615</v>
      </c>
      <c r="Q513" s="4">
        <f t="shared" si="23"/>
        <v>35.445693349999999</v>
      </c>
    </row>
    <row r="514" spans="1:17" x14ac:dyDescent="0.4">
      <c r="A514">
        <v>20210811</v>
      </c>
      <c r="B514" s="1">
        <v>0.66666666666666663</v>
      </c>
      <c r="C514">
        <v>292541</v>
      </c>
      <c r="D514">
        <v>366735</v>
      </c>
      <c r="E514">
        <v>1690856</v>
      </c>
      <c r="F514">
        <v>76762</v>
      </c>
      <c r="G514">
        <v>-30299</v>
      </c>
      <c r="H514">
        <v>759745</v>
      </c>
      <c r="I514">
        <v>238522</v>
      </c>
      <c r="J514">
        <v>-32594</v>
      </c>
      <c r="K514">
        <v>183244</v>
      </c>
      <c r="L514">
        <v>-42738</v>
      </c>
      <c r="M514">
        <v>12.08</v>
      </c>
      <c r="N514">
        <f t="shared" si="21"/>
        <v>3502774</v>
      </c>
      <c r="O514">
        <v>24260000</v>
      </c>
      <c r="P514" s="2">
        <f t="shared" si="22"/>
        <v>14.438474855729597</v>
      </c>
      <c r="Q514" s="4">
        <f t="shared" si="23"/>
        <v>29.306080000000001</v>
      </c>
    </row>
    <row r="515" spans="1:17" x14ac:dyDescent="0.4">
      <c r="A515">
        <v>20210811</v>
      </c>
      <c r="B515" s="1">
        <v>0.6875</v>
      </c>
      <c r="C515">
        <v>252126</v>
      </c>
      <c r="D515">
        <v>393326</v>
      </c>
      <c r="E515">
        <v>1805927</v>
      </c>
      <c r="F515">
        <v>192667</v>
      </c>
      <c r="G515">
        <v>89235</v>
      </c>
      <c r="H515">
        <v>711072</v>
      </c>
      <c r="I515">
        <v>271442</v>
      </c>
      <c r="J515">
        <v>-30545</v>
      </c>
      <c r="K515">
        <v>318030</v>
      </c>
      <c r="L515">
        <v>-51380</v>
      </c>
      <c r="M515">
        <v>15</v>
      </c>
      <c r="N515">
        <f t="shared" ref="N515:N578" si="24">C515+D515+E515+F515+G515+H515+I515+J515+K515+L515</f>
        <v>3951900</v>
      </c>
      <c r="O515">
        <v>23896700</v>
      </c>
      <c r="P515" s="2">
        <f t="shared" ref="P515:P578" si="25">((N515*100)/O515)</f>
        <v>16.53742985433135</v>
      </c>
      <c r="Q515" s="4">
        <f t="shared" ref="Q515:Q578" si="26">(M515*O515)/10^7</f>
        <v>35.845050000000001</v>
      </c>
    </row>
    <row r="516" spans="1:17" x14ac:dyDescent="0.4">
      <c r="A516">
        <v>20210811</v>
      </c>
      <c r="B516" s="1">
        <v>0.70833333333333337</v>
      </c>
      <c r="C516">
        <v>149300</v>
      </c>
      <c r="D516">
        <v>399058</v>
      </c>
      <c r="E516">
        <v>1787425</v>
      </c>
      <c r="F516">
        <v>289753</v>
      </c>
      <c r="G516">
        <v>94160</v>
      </c>
      <c r="H516">
        <v>518380</v>
      </c>
      <c r="I516">
        <v>266923</v>
      </c>
      <c r="J516">
        <v>4262</v>
      </c>
      <c r="K516">
        <v>433935</v>
      </c>
      <c r="L516">
        <v>-40750</v>
      </c>
      <c r="M516">
        <v>12.08</v>
      </c>
      <c r="N516">
        <f t="shared" si="24"/>
        <v>3902446</v>
      </c>
      <c r="O516">
        <v>23523200</v>
      </c>
      <c r="P516" s="2">
        <f t="shared" si="25"/>
        <v>16.589775200652973</v>
      </c>
      <c r="Q516" s="4">
        <f t="shared" si="26"/>
        <v>28.416025600000001</v>
      </c>
    </row>
    <row r="517" spans="1:17" x14ac:dyDescent="0.4">
      <c r="A517">
        <v>20210811</v>
      </c>
      <c r="B517" s="1">
        <v>0.72916666666666663</v>
      </c>
      <c r="C517">
        <v>110979</v>
      </c>
      <c r="D517">
        <v>336453</v>
      </c>
      <c r="E517">
        <v>1889261</v>
      </c>
      <c r="F517">
        <v>355100</v>
      </c>
      <c r="G517">
        <v>93716</v>
      </c>
      <c r="H517">
        <v>455671</v>
      </c>
      <c r="I517">
        <v>321610</v>
      </c>
      <c r="J517">
        <v>25037</v>
      </c>
      <c r="K517">
        <v>493448</v>
      </c>
      <c r="L517">
        <v>-38725</v>
      </c>
      <c r="M517">
        <v>11.9</v>
      </c>
      <c r="N517">
        <f t="shared" si="24"/>
        <v>4042550</v>
      </c>
      <c r="O517">
        <v>23321650</v>
      </c>
      <c r="P517" s="2">
        <f t="shared" si="25"/>
        <v>17.333893613873805</v>
      </c>
      <c r="Q517" s="4">
        <f t="shared" si="26"/>
        <v>27.7527635</v>
      </c>
    </row>
    <row r="518" spans="1:17" x14ac:dyDescent="0.4">
      <c r="A518">
        <v>20210811</v>
      </c>
      <c r="B518" s="1">
        <v>0.75</v>
      </c>
      <c r="C518">
        <v>99832</v>
      </c>
      <c r="D518">
        <v>308449</v>
      </c>
      <c r="E518">
        <v>1815788</v>
      </c>
      <c r="F518">
        <v>342663</v>
      </c>
      <c r="G518">
        <v>76443</v>
      </c>
      <c r="H518">
        <v>470584</v>
      </c>
      <c r="I518">
        <v>174594</v>
      </c>
      <c r="J518">
        <v>71204</v>
      </c>
      <c r="K518">
        <v>535887</v>
      </c>
      <c r="L518">
        <v>-24813</v>
      </c>
      <c r="M518">
        <v>12.08</v>
      </c>
      <c r="N518">
        <f t="shared" si="24"/>
        <v>3870631</v>
      </c>
      <c r="O518">
        <v>22844850</v>
      </c>
      <c r="P518" s="2">
        <f t="shared" si="25"/>
        <v>16.943122848256827</v>
      </c>
      <c r="Q518" s="4">
        <f t="shared" si="26"/>
        <v>27.5965788</v>
      </c>
    </row>
    <row r="519" spans="1:17" x14ac:dyDescent="0.4">
      <c r="A519">
        <v>20210811</v>
      </c>
      <c r="B519" s="1">
        <v>0.77083333333333337</v>
      </c>
      <c r="C519">
        <v>85827</v>
      </c>
      <c r="D519">
        <v>285936</v>
      </c>
      <c r="E519">
        <v>1705214</v>
      </c>
      <c r="F519">
        <v>262100</v>
      </c>
      <c r="G519">
        <v>82871</v>
      </c>
      <c r="H519">
        <v>569721</v>
      </c>
      <c r="I519">
        <v>225997</v>
      </c>
      <c r="J519">
        <v>119550</v>
      </c>
      <c r="K519">
        <v>568570</v>
      </c>
      <c r="L519">
        <v>-24264</v>
      </c>
      <c r="M519">
        <v>12.1</v>
      </c>
      <c r="N519">
        <f t="shared" si="24"/>
        <v>3881522</v>
      </c>
      <c r="O519">
        <v>22822150</v>
      </c>
      <c r="P519" s="2">
        <f t="shared" si="25"/>
        <v>17.007696470315022</v>
      </c>
      <c r="Q519" s="4">
        <f t="shared" si="26"/>
        <v>27.614801499999999</v>
      </c>
    </row>
    <row r="520" spans="1:17" x14ac:dyDescent="0.4">
      <c r="A520">
        <v>20210811</v>
      </c>
      <c r="B520" s="1">
        <v>0.79166666666666663</v>
      </c>
      <c r="C520">
        <v>45634</v>
      </c>
      <c r="D520">
        <v>335377</v>
      </c>
      <c r="E520">
        <v>1195239</v>
      </c>
      <c r="F520">
        <v>209883</v>
      </c>
      <c r="G520">
        <v>90976</v>
      </c>
      <c r="H520">
        <v>557928</v>
      </c>
      <c r="I520">
        <v>227280</v>
      </c>
      <c r="J520">
        <v>157072</v>
      </c>
      <c r="K520">
        <v>554861</v>
      </c>
      <c r="L520">
        <v>-22597</v>
      </c>
      <c r="M520">
        <v>11.01</v>
      </c>
      <c r="N520">
        <f t="shared" si="24"/>
        <v>3351653</v>
      </c>
      <c r="O520">
        <v>22316950</v>
      </c>
      <c r="P520" s="2">
        <f t="shared" si="25"/>
        <v>15.018418735535098</v>
      </c>
      <c r="Q520" s="4">
        <f t="shared" si="26"/>
        <v>24.570961950000001</v>
      </c>
    </row>
    <row r="521" spans="1:17" x14ac:dyDescent="0.4">
      <c r="A521">
        <v>20210811</v>
      </c>
      <c r="B521" s="1">
        <v>0.8125</v>
      </c>
      <c r="C521">
        <v>106727</v>
      </c>
      <c r="D521">
        <v>351349</v>
      </c>
      <c r="E521">
        <v>1243343</v>
      </c>
      <c r="F521">
        <v>216464</v>
      </c>
      <c r="G521">
        <v>82151</v>
      </c>
      <c r="H521">
        <v>567107</v>
      </c>
      <c r="I521">
        <v>246442</v>
      </c>
      <c r="J521">
        <v>174644</v>
      </c>
      <c r="K521">
        <v>548161</v>
      </c>
      <c r="L521">
        <v>-22253</v>
      </c>
      <c r="M521">
        <v>10.63</v>
      </c>
      <c r="N521">
        <f t="shared" si="24"/>
        <v>3514135</v>
      </c>
      <c r="O521">
        <v>22034000</v>
      </c>
      <c r="P521" s="2">
        <f t="shared" si="25"/>
        <v>15.948692929109558</v>
      </c>
      <c r="Q521" s="4">
        <f t="shared" si="26"/>
        <v>23.422142000000004</v>
      </c>
    </row>
    <row r="522" spans="1:17" x14ac:dyDescent="0.4">
      <c r="A522">
        <v>20210811</v>
      </c>
      <c r="B522" s="1">
        <v>0.83333333333333337</v>
      </c>
      <c r="C522">
        <v>154967</v>
      </c>
      <c r="D522">
        <v>336592</v>
      </c>
      <c r="E522">
        <v>1044390</v>
      </c>
      <c r="F522">
        <v>143384</v>
      </c>
      <c r="G522">
        <v>63088</v>
      </c>
      <c r="H522">
        <v>680621</v>
      </c>
      <c r="I522">
        <v>264256</v>
      </c>
      <c r="J522">
        <v>187483</v>
      </c>
      <c r="K522">
        <v>504796</v>
      </c>
      <c r="L522">
        <v>-32837</v>
      </c>
      <c r="M522">
        <v>13.41</v>
      </c>
      <c r="N522">
        <f t="shared" si="24"/>
        <v>3346740</v>
      </c>
      <c r="O522">
        <v>21601750</v>
      </c>
      <c r="P522" s="2">
        <f t="shared" si="25"/>
        <v>15.492911453933131</v>
      </c>
      <c r="Q522" s="4">
        <f t="shared" si="26"/>
        <v>28.967946749999999</v>
      </c>
    </row>
    <row r="523" spans="1:17" x14ac:dyDescent="0.4">
      <c r="A523">
        <v>20210811</v>
      </c>
      <c r="B523" s="1">
        <v>0.85416666666666663</v>
      </c>
      <c r="C523">
        <v>74432</v>
      </c>
      <c r="D523">
        <v>320591</v>
      </c>
      <c r="E523">
        <v>1067177</v>
      </c>
      <c r="F523">
        <v>45166</v>
      </c>
      <c r="G523">
        <v>51710</v>
      </c>
      <c r="H523">
        <v>656110</v>
      </c>
      <c r="I523">
        <v>242000</v>
      </c>
      <c r="J523">
        <v>181365</v>
      </c>
      <c r="K523">
        <v>435028</v>
      </c>
      <c r="L523">
        <v>-26136</v>
      </c>
      <c r="M523">
        <v>10.38</v>
      </c>
      <c r="N523">
        <f t="shared" si="24"/>
        <v>3047443</v>
      </c>
      <c r="O523">
        <v>21736400</v>
      </c>
      <c r="P523" s="2">
        <f t="shared" si="25"/>
        <v>14.019998711838207</v>
      </c>
      <c r="Q523" s="4">
        <f t="shared" si="26"/>
        <v>22.562383200000003</v>
      </c>
    </row>
    <row r="524" spans="1:17" x14ac:dyDescent="0.4">
      <c r="A524">
        <v>20210811</v>
      </c>
      <c r="B524" s="1">
        <v>0.875</v>
      </c>
      <c r="C524">
        <v>201172</v>
      </c>
      <c r="D524">
        <v>363501</v>
      </c>
      <c r="E524">
        <v>938996</v>
      </c>
      <c r="F524">
        <v>64425</v>
      </c>
      <c r="G524">
        <v>64592</v>
      </c>
      <c r="H524">
        <v>708796</v>
      </c>
      <c r="I524">
        <v>229870</v>
      </c>
      <c r="J524">
        <v>135014</v>
      </c>
      <c r="K524">
        <v>461489</v>
      </c>
      <c r="L524">
        <v>-38316</v>
      </c>
      <c r="M524">
        <v>9.8699999999999992</v>
      </c>
      <c r="N524">
        <f t="shared" si="24"/>
        <v>3129539</v>
      </c>
      <c r="O524">
        <v>21606750</v>
      </c>
      <c r="P524" s="2">
        <f t="shared" si="25"/>
        <v>14.484080206416976</v>
      </c>
      <c r="Q524" s="4">
        <f t="shared" si="26"/>
        <v>21.325862249999997</v>
      </c>
    </row>
    <row r="525" spans="1:17" x14ac:dyDescent="0.4">
      <c r="A525">
        <v>20210811</v>
      </c>
      <c r="B525" s="1">
        <v>0.89583333333333337</v>
      </c>
      <c r="C525">
        <v>90389</v>
      </c>
      <c r="D525">
        <v>307068</v>
      </c>
      <c r="E525">
        <v>1307314</v>
      </c>
      <c r="F525">
        <v>18139</v>
      </c>
      <c r="G525">
        <v>68403</v>
      </c>
      <c r="H525">
        <v>650933</v>
      </c>
      <c r="I525">
        <v>118578</v>
      </c>
      <c r="J525">
        <v>131603</v>
      </c>
      <c r="K525">
        <v>525923</v>
      </c>
      <c r="L525">
        <v>-28338</v>
      </c>
      <c r="M525">
        <v>9.5299999999999994</v>
      </c>
      <c r="N525">
        <f t="shared" si="24"/>
        <v>3190012</v>
      </c>
      <c r="O525">
        <v>21728750</v>
      </c>
      <c r="P525" s="2">
        <f t="shared" si="25"/>
        <v>14.681065408732669</v>
      </c>
      <c r="Q525" s="4">
        <f t="shared" si="26"/>
        <v>20.707498749999999</v>
      </c>
    </row>
    <row r="526" spans="1:17" x14ac:dyDescent="0.4">
      <c r="A526">
        <v>20210811</v>
      </c>
      <c r="B526" s="1">
        <v>0.91666666666666663</v>
      </c>
      <c r="C526">
        <v>167626</v>
      </c>
      <c r="D526">
        <v>289179</v>
      </c>
      <c r="E526">
        <v>872359</v>
      </c>
      <c r="F526">
        <v>-21068</v>
      </c>
      <c r="G526">
        <v>57582</v>
      </c>
      <c r="H526">
        <v>528704</v>
      </c>
      <c r="I526">
        <v>124693</v>
      </c>
      <c r="J526">
        <v>109930</v>
      </c>
      <c r="K526">
        <v>472998</v>
      </c>
      <c r="L526">
        <v>-26077</v>
      </c>
      <c r="M526">
        <v>8.86</v>
      </c>
      <c r="N526">
        <f t="shared" si="24"/>
        <v>2575926</v>
      </c>
      <c r="O526">
        <v>21322400</v>
      </c>
      <c r="P526" s="2">
        <f t="shared" si="25"/>
        <v>12.08084455783589</v>
      </c>
      <c r="Q526" s="4">
        <f t="shared" si="26"/>
        <v>18.891646399999999</v>
      </c>
    </row>
    <row r="527" spans="1:17" x14ac:dyDescent="0.4">
      <c r="A527">
        <v>20210811</v>
      </c>
      <c r="B527" s="1">
        <v>0.9375</v>
      </c>
      <c r="C527">
        <v>138106</v>
      </c>
      <c r="D527">
        <v>285969</v>
      </c>
      <c r="E527">
        <v>824904</v>
      </c>
      <c r="F527">
        <v>27192</v>
      </c>
      <c r="G527">
        <v>48379</v>
      </c>
      <c r="H527">
        <v>537261</v>
      </c>
      <c r="I527">
        <v>43789</v>
      </c>
      <c r="J527">
        <v>113243</v>
      </c>
      <c r="K527">
        <v>448359</v>
      </c>
      <c r="L527">
        <v>-15937</v>
      </c>
      <c r="M527">
        <v>8.86</v>
      </c>
      <c r="N527">
        <f t="shared" si="24"/>
        <v>2451265</v>
      </c>
      <c r="O527">
        <v>21247750</v>
      </c>
      <c r="P527" s="2">
        <f t="shared" si="25"/>
        <v>11.536586226776953</v>
      </c>
      <c r="Q527" s="4">
        <f t="shared" si="26"/>
        <v>18.825506499999999</v>
      </c>
    </row>
    <row r="528" spans="1:17" x14ac:dyDescent="0.4">
      <c r="A528">
        <v>20210811</v>
      </c>
      <c r="B528" s="1">
        <v>0.95833333333333337</v>
      </c>
      <c r="C528">
        <v>135882</v>
      </c>
      <c r="D528">
        <v>234003</v>
      </c>
      <c r="E528">
        <v>679710</v>
      </c>
      <c r="F528">
        <v>42108</v>
      </c>
      <c r="G528">
        <v>21642</v>
      </c>
      <c r="H528">
        <v>587424</v>
      </c>
      <c r="I528">
        <v>831</v>
      </c>
      <c r="J528">
        <v>94804</v>
      </c>
      <c r="K528">
        <v>390601</v>
      </c>
      <c r="L528">
        <v>-27069</v>
      </c>
      <c r="M528">
        <v>7.38</v>
      </c>
      <c r="N528">
        <f t="shared" si="24"/>
        <v>2159936</v>
      </c>
      <c r="O528">
        <v>20383900</v>
      </c>
      <c r="P528" s="2">
        <f t="shared" si="25"/>
        <v>10.596284322430938</v>
      </c>
      <c r="Q528" s="4">
        <f t="shared" si="26"/>
        <v>15.0433182</v>
      </c>
    </row>
    <row r="529" spans="1:17" x14ac:dyDescent="0.4">
      <c r="A529">
        <v>20210811</v>
      </c>
      <c r="B529" s="1">
        <v>0.97916666666666663</v>
      </c>
      <c r="C529">
        <v>159661</v>
      </c>
      <c r="D529">
        <v>188576</v>
      </c>
      <c r="E529">
        <v>924742</v>
      </c>
      <c r="F529">
        <v>-9040</v>
      </c>
      <c r="G529">
        <v>15311</v>
      </c>
      <c r="H529">
        <v>448315</v>
      </c>
      <c r="I529">
        <v>-29046</v>
      </c>
      <c r="J529">
        <v>95935</v>
      </c>
      <c r="K529">
        <v>383406</v>
      </c>
      <c r="L529">
        <v>-19758</v>
      </c>
      <c r="M529">
        <v>7.09</v>
      </c>
      <c r="N529">
        <f t="shared" si="24"/>
        <v>2158102</v>
      </c>
      <c r="O529">
        <v>19212050</v>
      </c>
      <c r="P529" s="2">
        <f t="shared" si="25"/>
        <v>11.233064665145053</v>
      </c>
      <c r="Q529" s="4">
        <f t="shared" si="26"/>
        <v>13.621343449999999</v>
      </c>
    </row>
    <row r="530" spans="1:17" x14ac:dyDescent="0.4">
      <c r="A530">
        <v>20210812</v>
      </c>
      <c r="B530" s="1">
        <v>0</v>
      </c>
      <c r="C530">
        <v>122554</v>
      </c>
      <c r="D530">
        <v>138920</v>
      </c>
      <c r="E530">
        <v>186302</v>
      </c>
      <c r="F530">
        <v>-135545</v>
      </c>
      <c r="G530">
        <v>50869</v>
      </c>
      <c r="H530">
        <v>236300</v>
      </c>
      <c r="I530">
        <v>30031</v>
      </c>
      <c r="J530">
        <v>90274</v>
      </c>
      <c r="K530">
        <v>667753</v>
      </c>
      <c r="L530">
        <v>-23228</v>
      </c>
      <c r="M530">
        <v>6.56</v>
      </c>
      <c r="N530">
        <f t="shared" si="24"/>
        <v>1364230</v>
      </c>
      <c r="O530">
        <v>19127150</v>
      </c>
      <c r="P530" s="2">
        <f t="shared" si="25"/>
        <v>7.132426942853483</v>
      </c>
      <c r="Q530" s="4">
        <f t="shared" si="26"/>
        <v>12.547410399999999</v>
      </c>
    </row>
    <row r="531" spans="1:17" x14ac:dyDescent="0.4">
      <c r="A531">
        <v>20210812</v>
      </c>
      <c r="B531" s="1">
        <v>2.0833333333333332E-2</v>
      </c>
      <c r="C531">
        <v>121335</v>
      </c>
      <c r="D531">
        <v>152615</v>
      </c>
      <c r="E531">
        <v>256239</v>
      </c>
      <c r="F531">
        <v>-129729</v>
      </c>
      <c r="G531">
        <v>44332</v>
      </c>
      <c r="H531">
        <v>314124</v>
      </c>
      <c r="I531">
        <v>-19490</v>
      </c>
      <c r="J531">
        <v>80278</v>
      </c>
      <c r="K531">
        <v>523206</v>
      </c>
      <c r="L531">
        <v>-14523</v>
      </c>
      <c r="M531">
        <v>6.47</v>
      </c>
      <c r="N531">
        <f t="shared" si="24"/>
        <v>1328387</v>
      </c>
      <c r="O531">
        <v>20207050</v>
      </c>
      <c r="P531" s="2">
        <f t="shared" si="25"/>
        <v>6.5738789184962672</v>
      </c>
      <c r="Q531" s="4">
        <f t="shared" si="26"/>
        <v>13.073961349999999</v>
      </c>
    </row>
    <row r="532" spans="1:17" x14ac:dyDescent="0.4">
      <c r="A532">
        <v>20210812</v>
      </c>
      <c r="B532" s="1">
        <v>4.1666666666666664E-2</v>
      </c>
      <c r="C532">
        <v>106819</v>
      </c>
      <c r="D532">
        <v>156054</v>
      </c>
      <c r="E532">
        <v>121264</v>
      </c>
      <c r="F532">
        <v>-165024</v>
      </c>
      <c r="G532">
        <v>33600</v>
      </c>
      <c r="H532">
        <v>340312</v>
      </c>
      <c r="I532">
        <v>-45925</v>
      </c>
      <c r="J532">
        <v>66049</v>
      </c>
      <c r="K532">
        <v>468170</v>
      </c>
      <c r="L532">
        <v>-17851</v>
      </c>
      <c r="M532">
        <v>6.55</v>
      </c>
      <c r="N532">
        <f t="shared" si="24"/>
        <v>1063468</v>
      </c>
      <c r="O532">
        <v>19991950</v>
      </c>
      <c r="P532" s="2">
        <f t="shared" si="25"/>
        <v>5.3194810911391839</v>
      </c>
      <c r="Q532" s="4">
        <f t="shared" si="26"/>
        <v>13.09472725</v>
      </c>
    </row>
    <row r="533" spans="1:17" x14ac:dyDescent="0.4">
      <c r="A533">
        <v>20210812</v>
      </c>
      <c r="B533" s="1">
        <v>6.25E-2</v>
      </c>
      <c r="C533">
        <v>115665</v>
      </c>
      <c r="D533">
        <v>148547</v>
      </c>
      <c r="E533">
        <v>279272</v>
      </c>
      <c r="F533">
        <v>-78495</v>
      </c>
      <c r="G533">
        <v>33917</v>
      </c>
      <c r="H533">
        <v>317833</v>
      </c>
      <c r="I533">
        <v>-33814</v>
      </c>
      <c r="J533">
        <v>56945</v>
      </c>
      <c r="K533">
        <v>419568</v>
      </c>
      <c r="L533">
        <v>-12591</v>
      </c>
      <c r="M533">
        <v>6.59</v>
      </c>
      <c r="N533">
        <f t="shared" si="24"/>
        <v>1246847</v>
      </c>
      <c r="O533">
        <v>19987550</v>
      </c>
      <c r="P533" s="2">
        <f t="shared" si="25"/>
        <v>6.238118228597302</v>
      </c>
      <c r="Q533" s="4">
        <f t="shared" si="26"/>
        <v>13.171795449999999</v>
      </c>
    </row>
    <row r="534" spans="1:17" x14ac:dyDescent="0.4">
      <c r="A534">
        <v>20210812</v>
      </c>
      <c r="B534" s="1">
        <v>8.3333333333333329E-2</v>
      </c>
      <c r="C534">
        <v>135442</v>
      </c>
      <c r="D534">
        <v>194543</v>
      </c>
      <c r="E534">
        <v>164021</v>
      </c>
      <c r="F534">
        <v>-104995</v>
      </c>
      <c r="G534">
        <v>16628</v>
      </c>
      <c r="H534">
        <v>326270</v>
      </c>
      <c r="I534">
        <v>19487</v>
      </c>
      <c r="J534">
        <v>53589</v>
      </c>
      <c r="K534">
        <v>488848</v>
      </c>
      <c r="L534">
        <v>-13991</v>
      </c>
      <c r="M534">
        <v>6.53</v>
      </c>
      <c r="N534">
        <f t="shared" si="24"/>
        <v>1279842</v>
      </c>
      <c r="O534">
        <v>20233700</v>
      </c>
      <c r="P534" s="2">
        <f t="shared" si="25"/>
        <v>6.325298882557318</v>
      </c>
      <c r="Q534" s="4">
        <f t="shared" si="26"/>
        <v>13.2126061</v>
      </c>
    </row>
    <row r="535" spans="1:17" x14ac:dyDescent="0.4">
      <c r="A535">
        <v>20210812</v>
      </c>
      <c r="B535" s="1">
        <v>0.10416666666666667</v>
      </c>
      <c r="C535">
        <v>106560</v>
      </c>
      <c r="D535">
        <v>182152</v>
      </c>
      <c r="E535">
        <v>192487</v>
      </c>
      <c r="F535">
        <v>-82422</v>
      </c>
      <c r="G535">
        <v>31431</v>
      </c>
      <c r="H535">
        <v>314710</v>
      </c>
      <c r="I535">
        <v>-21273</v>
      </c>
      <c r="J535">
        <v>56939</v>
      </c>
      <c r="K535">
        <v>438967</v>
      </c>
      <c r="L535">
        <v>-19774</v>
      </c>
      <c r="M535">
        <v>6.45</v>
      </c>
      <c r="N535">
        <f t="shared" si="24"/>
        <v>1199777</v>
      </c>
      <c r="O535">
        <v>20269100</v>
      </c>
      <c r="P535" s="2">
        <f t="shared" si="25"/>
        <v>5.9192416042152836</v>
      </c>
      <c r="Q535" s="4">
        <f t="shared" si="26"/>
        <v>13.0735695</v>
      </c>
    </row>
    <row r="536" spans="1:17" x14ac:dyDescent="0.4">
      <c r="A536">
        <v>20210812</v>
      </c>
      <c r="B536" s="1">
        <v>0.125</v>
      </c>
      <c r="C536">
        <v>103462</v>
      </c>
      <c r="D536">
        <v>201711</v>
      </c>
      <c r="E536">
        <v>227452</v>
      </c>
      <c r="F536">
        <v>-7325</v>
      </c>
      <c r="G536">
        <v>48968</v>
      </c>
      <c r="H536">
        <v>341689</v>
      </c>
      <c r="I536">
        <v>71650</v>
      </c>
      <c r="J536">
        <v>40887</v>
      </c>
      <c r="K536">
        <v>423941</v>
      </c>
      <c r="L536">
        <v>-20457</v>
      </c>
      <c r="M536">
        <v>6.53</v>
      </c>
      <c r="N536">
        <f t="shared" si="24"/>
        <v>1431978</v>
      </c>
      <c r="O536">
        <v>20281100</v>
      </c>
      <c r="P536" s="2">
        <f t="shared" si="25"/>
        <v>7.060652528708995</v>
      </c>
      <c r="Q536" s="4">
        <f t="shared" si="26"/>
        <v>13.2435583</v>
      </c>
    </row>
    <row r="537" spans="1:17" x14ac:dyDescent="0.4">
      <c r="A537">
        <v>20210812</v>
      </c>
      <c r="B537" s="1">
        <v>0.14583333333333334</v>
      </c>
      <c r="C537">
        <v>77985</v>
      </c>
      <c r="D537">
        <v>203873</v>
      </c>
      <c r="E537">
        <v>261047</v>
      </c>
      <c r="F537">
        <v>-15372</v>
      </c>
      <c r="G537">
        <v>53973</v>
      </c>
      <c r="H537">
        <v>303049</v>
      </c>
      <c r="I537">
        <v>271</v>
      </c>
      <c r="J537">
        <v>40602</v>
      </c>
      <c r="K537">
        <v>399544</v>
      </c>
      <c r="L537">
        <v>-16965</v>
      </c>
      <c r="M537">
        <v>6.53</v>
      </c>
      <c r="N537">
        <f t="shared" si="24"/>
        <v>1308007</v>
      </c>
      <c r="O537">
        <v>20264400</v>
      </c>
      <c r="P537" s="2">
        <f t="shared" si="25"/>
        <v>6.454703815558319</v>
      </c>
      <c r="Q537" s="4">
        <f t="shared" si="26"/>
        <v>13.2326532</v>
      </c>
    </row>
    <row r="538" spans="1:17" x14ac:dyDescent="0.4">
      <c r="A538">
        <v>20210812</v>
      </c>
      <c r="B538" s="1">
        <v>0.16666666666666666</v>
      </c>
      <c r="C538">
        <v>97025</v>
      </c>
      <c r="D538">
        <v>212927</v>
      </c>
      <c r="E538">
        <v>277133</v>
      </c>
      <c r="F538">
        <v>-44313</v>
      </c>
      <c r="G538">
        <v>51225</v>
      </c>
      <c r="H538">
        <v>340274</v>
      </c>
      <c r="I538">
        <v>73475</v>
      </c>
      <c r="J538">
        <v>47967</v>
      </c>
      <c r="K538">
        <v>363024</v>
      </c>
      <c r="L538">
        <v>-18279</v>
      </c>
      <c r="M538">
        <v>6.62</v>
      </c>
      <c r="N538">
        <f t="shared" si="24"/>
        <v>1400458</v>
      </c>
      <c r="O538">
        <v>20269950</v>
      </c>
      <c r="P538" s="2">
        <f t="shared" si="25"/>
        <v>6.9090352960910115</v>
      </c>
      <c r="Q538" s="4">
        <f t="shared" si="26"/>
        <v>13.4187069</v>
      </c>
    </row>
    <row r="539" spans="1:17" x14ac:dyDescent="0.4">
      <c r="A539">
        <v>20210812</v>
      </c>
      <c r="B539" s="1">
        <v>0.1875</v>
      </c>
      <c r="C539">
        <v>73270</v>
      </c>
      <c r="D539">
        <v>243890</v>
      </c>
      <c r="E539">
        <v>185618</v>
      </c>
      <c r="F539">
        <v>73292</v>
      </c>
      <c r="G539">
        <v>48248</v>
      </c>
      <c r="H539">
        <v>370981</v>
      </c>
      <c r="I539">
        <v>73930</v>
      </c>
      <c r="J539">
        <v>55723</v>
      </c>
      <c r="K539">
        <v>356040</v>
      </c>
      <c r="L539">
        <v>-25237</v>
      </c>
      <c r="M539">
        <v>6.62</v>
      </c>
      <c r="N539">
        <f t="shared" si="24"/>
        <v>1455755</v>
      </c>
      <c r="O539">
        <v>20261100</v>
      </c>
      <c r="P539" s="2">
        <f t="shared" si="25"/>
        <v>7.1849751494242664</v>
      </c>
      <c r="Q539" s="4">
        <f t="shared" si="26"/>
        <v>13.412848200000001</v>
      </c>
    </row>
    <row r="540" spans="1:17" x14ac:dyDescent="0.4">
      <c r="A540">
        <v>20210812</v>
      </c>
      <c r="B540" s="1">
        <v>0.20833333333333334</v>
      </c>
      <c r="C540">
        <v>72374</v>
      </c>
      <c r="D540">
        <v>178671</v>
      </c>
      <c r="E540">
        <v>366843</v>
      </c>
      <c r="F540">
        <v>-33809</v>
      </c>
      <c r="G540">
        <v>57502</v>
      </c>
      <c r="H540">
        <v>354329</v>
      </c>
      <c r="I540">
        <v>107105</v>
      </c>
      <c r="J540">
        <v>65123</v>
      </c>
      <c r="K540">
        <v>318016</v>
      </c>
      <c r="L540">
        <v>-25731</v>
      </c>
      <c r="M540">
        <v>6.64</v>
      </c>
      <c r="N540">
        <f t="shared" si="24"/>
        <v>1460423</v>
      </c>
      <c r="O540">
        <v>20386050</v>
      </c>
      <c r="P540" s="2">
        <f t="shared" si="25"/>
        <v>7.1638350734938845</v>
      </c>
      <c r="Q540" s="4">
        <f t="shared" si="26"/>
        <v>13.5363372</v>
      </c>
    </row>
    <row r="541" spans="1:17" x14ac:dyDescent="0.4">
      <c r="A541">
        <v>20210812</v>
      </c>
      <c r="B541" s="1">
        <v>0.22916666666666666</v>
      </c>
      <c r="C541">
        <v>99831</v>
      </c>
      <c r="D541">
        <v>268513</v>
      </c>
      <c r="E541">
        <v>634906</v>
      </c>
      <c r="F541">
        <v>113368</v>
      </c>
      <c r="G541">
        <v>-11851</v>
      </c>
      <c r="H541">
        <v>368001</v>
      </c>
      <c r="I541">
        <v>105315</v>
      </c>
      <c r="J541">
        <v>76205</v>
      </c>
      <c r="K541">
        <v>363630</v>
      </c>
      <c r="L541">
        <v>-25574</v>
      </c>
      <c r="M541">
        <v>6.63</v>
      </c>
      <c r="N541">
        <f t="shared" si="24"/>
        <v>1992344</v>
      </c>
      <c r="O541">
        <v>20340350</v>
      </c>
      <c r="P541" s="2">
        <f t="shared" si="25"/>
        <v>9.7950330254887454</v>
      </c>
      <c r="Q541" s="4">
        <f t="shared" si="26"/>
        <v>13.485652050000001</v>
      </c>
    </row>
    <row r="542" spans="1:17" x14ac:dyDescent="0.4">
      <c r="A542">
        <v>20210812</v>
      </c>
      <c r="B542" s="1">
        <v>0.25</v>
      </c>
      <c r="C542">
        <v>124419</v>
      </c>
      <c r="D542">
        <v>180798</v>
      </c>
      <c r="E542">
        <v>824885</v>
      </c>
      <c r="F542">
        <v>84441</v>
      </c>
      <c r="G542">
        <v>32469</v>
      </c>
      <c r="H542">
        <v>284609</v>
      </c>
      <c r="I542">
        <v>47481</v>
      </c>
      <c r="J542">
        <v>84546</v>
      </c>
      <c r="K542">
        <v>309135</v>
      </c>
      <c r="L542">
        <v>-13756</v>
      </c>
      <c r="M542">
        <v>6.6</v>
      </c>
      <c r="N542">
        <f t="shared" si="24"/>
        <v>1959027</v>
      </c>
      <c r="O542">
        <v>20680100</v>
      </c>
      <c r="P542" s="2">
        <f t="shared" si="25"/>
        <v>9.4730054496835123</v>
      </c>
      <c r="Q542" s="4">
        <f t="shared" si="26"/>
        <v>13.648866</v>
      </c>
    </row>
    <row r="543" spans="1:17" x14ac:dyDescent="0.4">
      <c r="A543">
        <v>20210812</v>
      </c>
      <c r="B543" s="1">
        <v>0.27083333333333331</v>
      </c>
      <c r="C543">
        <v>73775</v>
      </c>
      <c r="D543">
        <v>173601</v>
      </c>
      <c r="E543">
        <v>1095427</v>
      </c>
      <c r="F543">
        <v>304831</v>
      </c>
      <c r="G543">
        <v>17896</v>
      </c>
      <c r="H543">
        <v>300515</v>
      </c>
      <c r="I543">
        <v>-18774</v>
      </c>
      <c r="J543">
        <v>89818</v>
      </c>
      <c r="K543">
        <v>323355</v>
      </c>
      <c r="L543">
        <v>-18054</v>
      </c>
      <c r="M543">
        <v>6.63</v>
      </c>
      <c r="N543">
        <f t="shared" si="24"/>
        <v>2342390</v>
      </c>
      <c r="O543">
        <v>21127700</v>
      </c>
      <c r="P543" s="2">
        <f t="shared" si="25"/>
        <v>11.086819672751885</v>
      </c>
      <c r="Q543" s="4">
        <f t="shared" si="26"/>
        <v>14.007665100000001</v>
      </c>
    </row>
    <row r="544" spans="1:17" x14ac:dyDescent="0.4">
      <c r="A544">
        <v>20210812</v>
      </c>
      <c r="B544" s="1">
        <v>0.29166666666666669</v>
      </c>
      <c r="C544">
        <v>150158</v>
      </c>
      <c r="D544">
        <v>238433</v>
      </c>
      <c r="E544">
        <v>1502194</v>
      </c>
      <c r="F544">
        <v>379276</v>
      </c>
      <c r="G544">
        <v>26319</v>
      </c>
      <c r="H544">
        <v>245596</v>
      </c>
      <c r="I544">
        <v>45463</v>
      </c>
      <c r="J544">
        <v>76871</v>
      </c>
      <c r="K544">
        <v>335852</v>
      </c>
      <c r="L544">
        <v>-7448</v>
      </c>
      <c r="M544">
        <v>6.72</v>
      </c>
      <c r="N544">
        <f t="shared" si="24"/>
        <v>2992714</v>
      </c>
      <c r="O544">
        <v>21926200</v>
      </c>
      <c r="P544" s="2">
        <f t="shared" si="25"/>
        <v>13.649031751967966</v>
      </c>
      <c r="Q544" s="4">
        <f t="shared" si="26"/>
        <v>14.734406399999999</v>
      </c>
    </row>
    <row r="545" spans="1:17" x14ac:dyDescent="0.4">
      <c r="A545">
        <v>20210812</v>
      </c>
      <c r="B545" s="1">
        <v>0.3125</v>
      </c>
      <c r="C545">
        <v>125646</v>
      </c>
      <c r="D545">
        <v>425065</v>
      </c>
      <c r="E545">
        <v>1813276</v>
      </c>
      <c r="F545">
        <v>475110</v>
      </c>
      <c r="G545">
        <v>29145</v>
      </c>
      <c r="H545">
        <v>127760</v>
      </c>
      <c r="I545">
        <v>31203</v>
      </c>
      <c r="J545">
        <v>69353</v>
      </c>
      <c r="K545">
        <v>309267</v>
      </c>
      <c r="L545">
        <v>-15795</v>
      </c>
      <c r="M545">
        <v>6.73</v>
      </c>
      <c r="N545">
        <f t="shared" si="24"/>
        <v>3390030</v>
      </c>
      <c r="O545">
        <v>22086600</v>
      </c>
      <c r="P545" s="2">
        <f t="shared" si="25"/>
        <v>15.348808779984244</v>
      </c>
      <c r="Q545" s="4">
        <f t="shared" si="26"/>
        <v>14.864281800000001</v>
      </c>
    </row>
    <row r="546" spans="1:17" x14ac:dyDescent="0.4">
      <c r="A546">
        <v>20210812</v>
      </c>
      <c r="B546" s="1">
        <v>0.33333333333333331</v>
      </c>
      <c r="C546">
        <v>161058</v>
      </c>
      <c r="D546">
        <v>532049</v>
      </c>
      <c r="E546">
        <v>2099911</v>
      </c>
      <c r="F546">
        <v>605413</v>
      </c>
      <c r="G546">
        <v>4335</v>
      </c>
      <c r="H546">
        <v>156434</v>
      </c>
      <c r="I546">
        <v>-221444</v>
      </c>
      <c r="J546">
        <v>22434</v>
      </c>
      <c r="K546">
        <v>273519</v>
      </c>
      <c r="L546">
        <v>-6428</v>
      </c>
      <c r="M546">
        <v>7.15</v>
      </c>
      <c r="N546">
        <f t="shared" si="24"/>
        <v>3627281</v>
      </c>
      <c r="O546">
        <v>23443950</v>
      </c>
      <c r="P546" s="2">
        <f t="shared" si="25"/>
        <v>15.472141000130097</v>
      </c>
      <c r="Q546" s="4">
        <f t="shared" si="26"/>
        <v>16.762424249999999</v>
      </c>
    </row>
    <row r="547" spans="1:17" x14ac:dyDescent="0.4">
      <c r="A547">
        <v>20210812</v>
      </c>
      <c r="B547" s="1">
        <v>0.35416666666666669</v>
      </c>
      <c r="C547">
        <v>134549</v>
      </c>
      <c r="D547">
        <v>550580</v>
      </c>
      <c r="E547">
        <v>2441526</v>
      </c>
      <c r="F547">
        <v>673073</v>
      </c>
      <c r="G547">
        <v>11982</v>
      </c>
      <c r="H547">
        <v>50389</v>
      </c>
      <c r="I547">
        <v>-316795</v>
      </c>
      <c r="J547">
        <v>66597</v>
      </c>
      <c r="K547">
        <v>369957</v>
      </c>
      <c r="L547">
        <v>-15492</v>
      </c>
      <c r="M547">
        <v>7.35</v>
      </c>
      <c r="N547">
        <f t="shared" si="24"/>
        <v>3966366</v>
      </c>
      <c r="O547">
        <v>24120550</v>
      </c>
      <c r="P547" s="2">
        <f t="shared" si="25"/>
        <v>16.443928517384553</v>
      </c>
      <c r="Q547" s="4">
        <f t="shared" si="26"/>
        <v>17.72860425</v>
      </c>
    </row>
    <row r="548" spans="1:17" x14ac:dyDescent="0.4">
      <c r="A548">
        <v>20210812</v>
      </c>
      <c r="B548" s="1">
        <v>0.375</v>
      </c>
      <c r="C548">
        <v>133666</v>
      </c>
      <c r="D548">
        <v>529929</v>
      </c>
      <c r="E548">
        <v>2944483</v>
      </c>
      <c r="F548">
        <v>861505</v>
      </c>
      <c r="G548">
        <v>33067</v>
      </c>
      <c r="H548">
        <v>41784</v>
      </c>
      <c r="I548">
        <v>-241678</v>
      </c>
      <c r="J548">
        <v>60786</v>
      </c>
      <c r="K548">
        <v>295025</v>
      </c>
      <c r="L548">
        <v>-3333</v>
      </c>
      <c r="M548">
        <v>7.79</v>
      </c>
      <c r="N548">
        <f t="shared" si="24"/>
        <v>4655234</v>
      </c>
      <c r="O548">
        <v>24177350</v>
      </c>
      <c r="P548" s="2">
        <f t="shared" si="25"/>
        <v>19.254525413248349</v>
      </c>
      <c r="Q548" s="4">
        <f t="shared" si="26"/>
        <v>18.83415565</v>
      </c>
    </row>
    <row r="549" spans="1:17" x14ac:dyDescent="0.4">
      <c r="A549">
        <v>20210812</v>
      </c>
      <c r="B549" s="1">
        <v>0.39583333333333331</v>
      </c>
      <c r="C549">
        <v>139984</v>
      </c>
      <c r="D549">
        <v>254534</v>
      </c>
      <c r="E549">
        <v>3429433</v>
      </c>
      <c r="F549">
        <v>768194</v>
      </c>
      <c r="G549">
        <v>55943</v>
      </c>
      <c r="H549">
        <v>259781</v>
      </c>
      <c r="I549">
        <v>-221335</v>
      </c>
      <c r="J549">
        <v>-41796</v>
      </c>
      <c r="K549">
        <v>367826</v>
      </c>
      <c r="L549">
        <v>722</v>
      </c>
      <c r="M549">
        <v>7.9</v>
      </c>
      <c r="N549">
        <f t="shared" si="24"/>
        <v>5013286</v>
      </c>
      <c r="O549">
        <v>24197700</v>
      </c>
      <c r="P549" s="2">
        <f t="shared" si="25"/>
        <v>20.718026919913875</v>
      </c>
      <c r="Q549" s="4">
        <f t="shared" si="26"/>
        <v>19.116182999999999</v>
      </c>
    </row>
    <row r="550" spans="1:17" x14ac:dyDescent="0.4">
      <c r="A550">
        <v>20210812</v>
      </c>
      <c r="B550" s="1">
        <v>0.41666666666666669</v>
      </c>
      <c r="C550">
        <v>164950</v>
      </c>
      <c r="D550">
        <v>236313</v>
      </c>
      <c r="E550">
        <v>3620660</v>
      </c>
      <c r="F550">
        <v>627900</v>
      </c>
      <c r="G550">
        <v>72907</v>
      </c>
      <c r="H550">
        <v>440588</v>
      </c>
      <c r="I550">
        <v>-133141</v>
      </c>
      <c r="J550">
        <v>-30249</v>
      </c>
      <c r="K550">
        <v>491631</v>
      </c>
      <c r="L550">
        <v>-14332</v>
      </c>
      <c r="M550">
        <v>7.9</v>
      </c>
      <c r="N550">
        <f t="shared" si="24"/>
        <v>5477227</v>
      </c>
      <c r="O550">
        <v>24565600</v>
      </c>
      <c r="P550" s="2">
        <f t="shared" si="25"/>
        <v>22.296329012928648</v>
      </c>
      <c r="Q550" s="4">
        <f t="shared" si="26"/>
        <v>19.406824</v>
      </c>
    </row>
    <row r="551" spans="1:17" x14ac:dyDescent="0.4">
      <c r="A551">
        <v>20210812</v>
      </c>
      <c r="B551" s="1">
        <v>0.4375</v>
      </c>
      <c r="C551">
        <v>163534</v>
      </c>
      <c r="D551">
        <v>272741</v>
      </c>
      <c r="E551">
        <v>3506193</v>
      </c>
      <c r="F551">
        <v>329153</v>
      </c>
      <c r="G551">
        <v>68347</v>
      </c>
      <c r="H551">
        <v>589700</v>
      </c>
      <c r="I551">
        <v>-133583</v>
      </c>
      <c r="J551">
        <v>-53583</v>
      </c>
      <c r="K551">
        <v>623797</v>
      </c>
      <c r="L551">
        <v>-19279</v>
      </c>
      <c r="M551">
        <v>8.11</v>
      </c>
      <c r="N551">
        <f t="shared" si="24"/>
        <v>5347020</v>
      </c>
      <c r="O551">
        <v>24871000</v>
      </c>
      <c r="P551" s="2">
        <f t="shared" si="25"/>
        <v>21.499014916971575</v>
      </c>
      <c r="Q551" s="4">
        <f t="shared" si="26"/>
        <v>20.170380999999999</v>
      </c>
    </row>
    <row r="552" spans="1:17" x14ac:dyDescent="0.4">
      <c r="A552">
        <v>20210812</v>
      </c>
      <c r="B552" s="1">
        <v>0.45833333333333331</v>
      </c>
      <c r="C552">
        <v>254197</v>
      </c>
      <c r="D552">
        <v>309551</v>
      </c>
      <c r="E552">
        <v>2412179</v>
      </c>
      <c r="F552">
        <v>215600</v>
      </c>
      <c r="G552">
        <v>16167</v>
      </c>
      <c r="H552">
        <v>797991</v>
      </c>
      <c r="I552">
        <v>-104922</v>
      </c>
      <c r="J552">
        <v>-30505</v>
      </c>
      <c r="K552">
        <v>755360</v>
      </c>
      <c r="L552">
        <v>-43419</v>
      </c>
      <c r="M552">
        <v>8.86</v>
      </c>
      <c r="N552">
        <f t="shared" si="24"/>
        <v>4582199</v>
      </c>
      <c r="O552">
        <v>25156150</v>
      </c>
      <c r="P552" s="2">
        <f t="shared" si="25"/>
        <v>18.215024954136464</v>
      </c>
      <c r="Q552" s="4">
        <f t="shared" si="26"/>
        <v>22.288348899999999</v>
      </c>
    </row>
    <row r="553" spans="1:17" x14ac:dyDescent="0.4">
      <c r="A553">
        <v>20210812</v>
      </c>
      <c r="B553" s="1">
        <v>0.47916666666666669</v>
      </c>
      <c r="C553">
        <v>277417</v>
      </c>
      <c r="D553">
        <v>298265</v>
      </c>
      <c r="E553">
        <v>2345262</v>
      </c>
      <c r="F553">
        <v>215817</v>
      </c>
      <c r="G553">
        <v>-14351</v>
      </c>
      <c r="H553">
        <v>694938</v>
      </c>
      <c r="I553">
        <v>-86783</v>
      </c>
      <c r="J553">
        <v>-32562</v>
      </c>
      <c r="K553">
        <v>884806</v>
      </c>
      <c r="L553">
        <v>-47269</v>
      </c>
      <c r="M553">
        <v>9.4600000000000009</v>
      </c>
      <c r="N553">
        <f t="shared" si="24"/>
        <v>4535540</v>
      </c>
      <c r="O553">
        <v>25188500</v>
      </c>
      <c r="P553" s="2">
        <f t="shared" si="25"/>
        <v>18.006391805784386</v>
      </c>
      <c r="Q553" s="4">
        <f t="shared" si="26"/>
        <v>23.828321000000003</v>
      </c>
    </row>
    <row r="554" spans="1:17" x14ac:dyDescent="0.4">
      <c r="A554">
        <v>20210812</v>
      </c>
      <c r="B554" s="1">
        <v>0.5</v>
      </c>
      <c r="C554">
        <v>353786</v>
      </c>
      <c r="D554">
        <v>350484</v>
      </c>
      <c r="E554">
        <v>1926686</v>
      </c>
      <c r="F554">
        <v>-40904</v>
      </c>
      <c r="G554">
        <v>37238</v>
      </c>
      <c r="H554">
        <v>644226</v>
      </c>
      <c r="I554">
        <v>-95023</v>
      </c>
      <c r="J554">
        <v>-60641</v>
      </c>
      <c r="K554">
        <v>582499</v>
      </c>
      <c r="L554">
        <v>-59634</v>
      </c>
      <c r="M554">
        <v>9.0299999999999994</v>
      </c>
      <c r="N554">
        <f t="shared" si="24"/>
        <v>3638717</v>
      </c>
      <c r="O554">
        <v>25159100</v>
      </c>
      <c r="P554" s="2">
        <f t="shared" si="25"/>
        <v>14.462826571697716</v>
      </c>
      <c r="Q554" s="4">
        <f t="shared" si="26"/>
        <v>22.718667299999996</v>
      </c>
    </row>
    <row r="555" spans="1:17" x14ac:dyDescent="0.4">
      <c r="A555">
        <v>20210812</v>
      </c>
      <c r="B555" s="1">
        <v>0.52083333333333337</v>
      </c>
      <c r="C555">
        <v>337747</v>
      </c>
      <c r="D555">
        <v>356821</v>
      </c>
      <c r="E555">
        <v>1672176</v>
      </c>
      <c r="F555">
        <v>111452</v>
      </c>
      <c r="G555">
        <v>5019</v>
      </c>
      <c r="H555">
        <v>740317</v>
      </c>
      <c r="I555">
        <v>59785</v>
      </c>
      <c r="J555">
        <v>-58981</v>
      </c>
      <c r="K555">
        <v>449451</v>
      </c>
      <c r="L555">
        <v>-42143</v>
      </c>
      <c r="M555">
        <v>8.99</v>
      </c>
      <c r="N555">
        <f t="shared" si="24"/>
        <v>3631644</v>
      </c>
      <c r="O555">
        <v>25192900</v>
      </c>
      <c r="P555" s="2">
        <f t="shared" si="25"/>
        <v>14.415347181150244</v>
      </c>
      <c r="Q555" s="4">
        <f t="shared" si="26"/>
        <v>22.6484171</v>
      </c>
    </row>
    <row r="556" spans="1:17" x14ac:dyDescent="0.4">
      <c r="A556">
        <v>20210812</v>
      </c>
      <c r="B556" s="1">
        <v>0.54166666666666663</v>
      </c>
      <c r="C556">
        <v>334057</v>
      </c>
      <c r="D556">
        <v>59242</v>
      </c>
      <c r="E556">
        <v>1792651</v>
      </c>
      <c r="F556">
        <v>38770</v>
      </c>
      <c r="G556">
        <v>-8181</v>
      </c>
      <c r="H556">
        <v>741101</v>
      </c>
      <c r="I556">
        <v>2968</v>
      </c>
      <c r="J556">
        <v>-40098</v>
      </c>
      <c r="K556">
        <v>453549</v>
      </c>
      <c r="L556">
        <v>-56088</v>
      </c>
      <c r="M556">
        <v>9.84</v>
      </c>
      <c r="N556">
        <f t="shared" si="24"/>
        <v>3317971</v>
      </c>
      <c r="O556">
        <v>24663050</v>
      </c>
      <c r="P556" s="2">
        <f t="shared" si="25"/>
        <v>13.453206314709657</v>
      </c>
      <c r="Q556" s="4">
        <f t="shared" si="26"/>
        <v>24.268441200000002</v>
      </c>
    </row>
    <row r="557" spans="1:17" x14ac:dyDescent="0.4">
      <c r="A557">
        <v>20210812</v>
      </c>
      <c r="B557" s="1">
        <v>0.5625</v>
      </c>
      <c r="C557">
        <v>389084</v>
      </c>
      <c r="D557">
        <v>84207</v>
      </c>
      <c r="E557">
        <v>1405784</v>
      </c>
      <c r="F557">
        <v>173044</v>
      </c>
      <c r="G557">
        <v>8040</v>
      </c>
      <c r="H557">
        <v>883417</v>
      </c>
      <c r="I557">
        <v>-2599</v>
      </c>
      <c r="J557">
        <v>4079</v>
      </c>
      <c r="K557">
        <v>469793</v>
      </c>
      <c r="L557">
        <v>-52389</v>
      </c>
      <c r="M557">
        <v>9.9700000000000006</v>
      </c>
      <c r="N557">
        <f t="shared" si="24"/>
        <v>3362460</v>
      </c>
      <c r="O557">
        <v>24545800</v>
      </c>
      <c r="P557" s="2">
        <f t="shared" si="25"/>
        <v>13.698718314334835</v>
      </c>
      <c r="Q557" s="4">
        <f t="shared" si="26"/>
        <v>24.472162600000004</v>
      </c>
    </row>
    <row r="558" spans="1:17" x14ac:dyDescent="0.4">
      <c r="A558">
        <v>20210812</v>
      </c>
      <c r="B558" s="1">
        <v>0.58333333333333337</v>
      </c>
      <c r="C558">
        <v>333090</v>
      </c>
      <c r="D558">
        <v>150007</v>
      </c>
      <c r="E558">
        <v>1581802</v>
      </c>
      <c r="F558">
        <v>35250</v>
      </c>
      <c r="G558">
        <v>29976</v>
      </c>
      <c r="H558">
        <v>791815</v>
      </c>
      <c r="I558">
        <v>-3136</v>
      </c>
      <c r="J558">
        <v>9615</v>
      </c>
      <c r="K558">
        <v>169894</v>
      </c>
      <c r="L558">
        <v>-51658</v>
      </c>
      <c r="M558">
        <v>10.27</v>
      </c>
      <c r="N558">
        <f t="shared" si="24"/>
        <v>3046655</v>
      </c>
      <c r="O558">
        <v>24468550</v>
      </c>
      <c r="P558" s="2">
        <f t="shared" si="25"/>
        <v>12.45130994685014</v>
      </c>
      <c r="Q558" s="4">
        <f t="shared" si="26"/>
        <v>25.12920085</v>
      </c>
    </row>
    <row r="559" spans="1:17" x14ac:dyDescent="0.4">
      <c r="A559">
        <v>20210812</v>
      </c>
      <c r="B559" s="1">
        <v>0.60416666666666663</v>
      </c>
      <c r="C559">
        <v>342761</v>
      </c>
      <c r="D559">
        <v>171641</v>
      </c>
      <c r="E559">
        <v>1770602</v>
      </c>
      <c r="F559">
        <v>254625</v>
      </c>
      <c r="G559">
        <v>75313</v>
      </c>
      <c r="H559">
        <v>861902</v>
      </c>
      <c r="I559">
        <v>48396</v>
      </c>
      <c r="J559">
        <v>-6865</v>
      </c>
      <c r="K559">
        <v>140673</v>
      </c>
      <c r="L559">
        <v>-53189</v>
      </c>
      <c r="M559">
        <v>10.27</v>
      </c>
      <c r="N559">
        <f t="shared" si="24"/>
        <v>3605859</v>
      </c>
      <c r="O559">
        <v>24255150</v>
      </c>
      <c r="P559" s="2">
        <f t="shared" si="25"/>
        <v>14.866364462804807</v>
      </c>
      <c r="Q559" s="4">
        <f t="shared" si="26"/>
        <v>24.910039050000002</v>
      </c>
    </row>
    <row r="560" spans="1:17" x14ac:dyDescent="0.4">
      <c r="A560">
        <v>20210812</v>
      </c>
      <c r="B560" s="1">
        <v>0.625</v>
      </c>
      <c r="C560">
        <v>281225</v>
      </c>
      <c r="D560">
        <v>207495</v>
      </c>
      <c r="E560">
        <v>1924921</v>
      </c>
      <c r="F560">
        <v>326654</v>
      </c>
      <c r="G560">
        <v>78506</v>
      </c>
      <c r="H560">
        <v>774407</v>
      </c>
      <c r="I560">
        <v>172617</v>
      </c>
      <c r="J560">
        <v>22821</v>
      </c>
      <c r="K560">
        <v>224374</v>
      </c>
      <c r="L560">
        <v>-33483</v>
      </c>
      <c r="M560">
        <v>10.27</v>
      </c>
      <c r="N560">
        <f t="shared" si="24"/>
        <v>3979537</v>
      </c>
      <c r="O560">
        <v>24366800</v>
      </c>
      <c r="P560" s="2">
        <f t="shared" si="25"/>
        <v>16.331799825992743</v>
      </c>
      <c r="Q560" s="4">
        <f t="shared" si="26"/>
        <v>25.024703599999999</v>
      </c>
    </row>
    <row r="561" spans="1:17" x14ac:dyDescent="0.4">
      <c r="A561">
        <v>20210812</v>
      </c>
      <c r="B561" s="1">
        <v>0.64583333333333337</v>
      </c>
      <c r="C561">
        <v>330929</v>
      </c>
      <c r="D561">
        <v>191787</v>
      </c>
      <c r="E561">
        <v>2147485</v>
      </c>
      <c r="F561">
        <v>422557</v>
      </c>
      <c r="G561">
        <v>70917</v>
      </c>
      <c r="H561">
        <v>667671</v>
      </c>
      <c r="I561">
        <v>230247</v>
      </c>
      <c r="J561">
        <v>-7316</v>
      </c>
      <c r="K561">
        <v>207860</v>
      </c>
      <c r="L561">
        <v>-39339</v>
      </c>
      <c r="M561">
        <v>10.27</v>
      </c>
      <c r="N561">
        <f t="shared" si="24"/>
        <v>4222798</v>
      </c>
      <c r="O561">
        <v>24117050</v>
      </c>
      <c r="P561" s="2">
        <f t="shared" si="25"/>
        <v>17.509595908288951</v>
      </c>
      <c r="Q561" s="4">
        <f t="shared" si="26"/>
        <v>24.76821035</v>
      </c>
    </row>
    <row r="562" spans="1:17" x14ac:dyDescent="0.4">
      <c r="A562">
        <v>20210812</v>
      </c>
      <c r="B562" s="1">
        <v>0.66666666666666663</v>
      </c>
      <c r="C562">
        <v>219073</v>
      </c>
      <c r="D562">
        <v>164559</v>
      </c>
      <c r="E562">
        <v>1804399</v>
      </c>
      <c r="F562">
        <v>163357</v>
      </c>
      <c r="G562">
        <v>60318</v>
      </c>
      <c r="H562">
        <v>719801</v>
      </c>
      <c r="I562">
        <v>243802</v>
      </c>
      <c r="J562">
        <v>12200</v>
      </c>
      <c r="K562">
        <v>259329</v>
      </c>
      <c r="L562">
        <v>-42762</v>
      </c>
      <c r="M562">
        <v>10.27</v>
      </c>
      <c r="N562">
        <f t="shared" si="24"/>
        <v>3604076</v>
      </c>
      <c r="O562">
        <v>24955400</v>
      </c>
      <c r="P562" s="2">
        <f t="shared" si="25"/>
        <v>14.442068650472443</v>
      </c>
      <c r="Q562" s="4">
        <f t="shared" si="26"/>
        <v>25.629195800000002</v>
      </c>
    </row>
    <row r="563" spans="1:17" x14ac:dyDescent="0.4">
      <c r="A563">
        <v>20210812</v>
      </c>
      <c r="B563" s="1">
        <v>0.6875</v>
      </c>
      <c r="C563">
        <v>220969</v>
      </c>
      <c r="D563">
        <v>165423</v>
      </c>
      <c r="E563">
        <v>1796226</v>
      </c>
      <c r="F563">
        <v>276668</v>
      </c>
      <c r="G563">
        <v>63989</v>
      </c>
      <c r="H563">
        <v>525767</v>
      </c>
      <c r="I563">
        <v>530867</v>
      </c>
      <c r="J563">
        <v>39478</v>
      </c>
      <c r="K563">
        <v>308134</v>
      </c>
      <c r="L563">
        <v>-35104</v>
      </c>
      <c r="M563">
        <v>10.27</v>
      </c>
      <c r="N563">
        <f t="shared" si="24"/>
        <v>3892417</v>
      </c>
      <c r="O563">
        <v>24769050</v>
      </c>
      <c r="P563" s="2">
        <f t="shared" si="25"/>
        <v>15.714841707695692</v>
      </c>
      <c r="Q563" s="4">
        <f t="shared" si="26"/>
        <v>25.43781435</v>
      </c>
    </row>
    <row r="564" spans="1:17" x14ac:dyDescent="0.4">
      <c r="A564">
        <v>20210812</v>
      </c>
      <c r="B564" s="1">
        <v>0.70833333333333337</v>
      </c>
      <c r="C564">
        <v>127621</v>
      </c>
      <c r="D564">
        <v>215726</v>
      </c>
      <c r="E564">
        <v>1824438</v>
      </c>
      <c r="F564">
        <v>477518</v>
      </c>
      <c r="G564">
        <v>54447</v>
      </c>
      <c r="H564">
        <v>758346</v>
      </c>
      <c r="I564">
        <v>459798</v>
      </c>
      <c r="J564">
        <v>78852</v>
      </c>
      <c r="K564">
        <v>241910</v>
      </c>
      <c r="L564">
        <v>-27755</v>
      </c>
      <c r="M564">
        <v>10.27</v>
      </c>
      <c r="N564">
        <f t="shared" si="24"/>
        <v>4210901</v>
      </c>
      <c r="O564">
        <v>24499200</v>
      </c>
      <c r="P564" s="2">
        <f t="shared" si="25"/>
        <v>17.187912258359457</v>
      </c>
      <c r="Q564" s="4">
        <f t="shared" si="26"/>
        <v>25.160678399999998</v>
      </c>
    </row>
    <row r="565" spans="1:17" x14ac:dyDescent="0.4">
      <c r="A565">
        <v>20210812</v>
      </c>
      <c r="B565" s="1">
        <v>0.72916666666666663</v>
      </c>
      <c r="C565">
        <v>25001</v>
      </c>
      <c r="D565">
        <v>210396</v>
      </c>
      <c r="E565">
        <v>1975447</v>
      </c>
      <c r="F565">
        <v>419271</v>
      </c>
      <c r="G565">
        <v>63072</v>
      </c>
      <c r="H565">
        <v>737290</v>
      </c>
      <c r="I565">
        <v>129990</v>
      </c>
      <c r="J565">
        <v>109265</v>
      </c>
      <c r="K565">
        <v>138217</v>
      </c>
      <c r="L565">
        <v>-26728</v>
      </c>
      <c r="M565">
        <v>10.27</v>
      </c>
      <c r="N565">
        <f t="shared" si="24"/>
        <v>3781221</v>
      </c>
      <c r="O565">
        <v>24182450</v>
      </c>
      <c r="P565" s="2">
        <f t="shared" si="25"/>
        <v>15.636219655163146</v>
      </c>
      <c r="Q565" s="4">
        <f t="shared" si="26"/>
        <v>24.835376149999998</v>
      </c>
    </row>
    <row r="566" spans="1:17" x14ac:dyDescent="0.4">
      <c r="A566">
        <v>20210812</v>
      </c>
      <c r="B566" s="1">
        <v>0.75</v>
      </c>
      <c r="C566">
        <v>33897</v>
      </c>
      <c r="D566">
        <v>223802</v>
      </c>
      <c r="E566">
        <v>1494656</v>
      </c>
      <c r="F566">
        <v>473893</v>
      </c>
      <c r="G566">
        <v>80157</v>
      </c>
      <c r="H566">
        <v>517743</v>
      </c>
      <c r="I566">
        <v>55341</v>
      </c>
      <c r="J566">
        <v>130330</v>
      </c>
      <c r="K566">
        <v>107068</v>
      </c>
      <c r="L566">
        <v>-21061</v>
      </c>
      <c r="M566">
        <v>10.130000000000001</v>
      </c>
      <c r="N566">
        <f t="shared" si="24"/>
        <v>3095826</v>
      </c>
      <c r="O566">
        <v>23977650</v>
      </c>
      <c r="P566" s="2">
        <f t="shared" si="25"/>
        <v>12.911298646864893</v>
      </c>
      <c r="Q566" s="4">
        <f t="shared" si="26"/>
        <v>24.289359450000003</v>
      </c>
    </row>
    <row r="567" spans="1:17" x14ac:dyDescent="0.4">
      <c r="A567">
        <v>20210812</v>
      </c>
      <c r="B567" s="1">
        <v>0.77083333333333337</v>
      </c>
      <c r="C567">
        <v>-21933</v>
      </c>
      <c r="D567">
        <v>201086</v>
      </c>
      <c r="E567">
        <v>1438298</v>
      </c>
      <c r="F567">
        <v>467982</v>
      </c>
      <c r="G567">
        <v>81321</v>
      </c>
      <c r="H567">
        <v>533553</v>
      </c>
      <c r="I567">
        <v>42307</v>
      </c>
      <c r="J567">
        <v>98202</v>
      </c>
      <c r="K567">
        <v>66328</v>
      </c>
      <c r="L567">
        <v>-25248</v>
      </c>
      <c r="M567">
        <v>10.01</v>
      </c>
      <c r="N567">
        <f t="shared" si="24"/>
        <v>2881896</v>
      </c>
      <c r="O567">
        <v>23900350</v>
      </c>
      <c r="P567" s="2">
        <f t="shared" si="25"/>
        <v>12.057965678326886</v>
      </c>
      <c r="Q567" s="4">
        <f t="shared" si="26"/>
        <v>23.924250350000001</v>
      </c>
    </row>
    <row r="568" spans="1:17" x14ac:dyDescent="0.4">
      <c r="A568">
        <v>20210812</v>
      </c>
      <c r="B568" s="1">
        <v>0.79166666666666663</v>
      </c>
      <c r="C568">
        <v>-13128</v>
      </c>
      <c r="D568">
        <v>310889</v>
      </c>
      <c r="E568">
        <v>1247563</v>
      </c>
      <c r="F568">
        <v>428257</v>
      </c>
      <c r="G568">
        <v>57613</v>
      </c>
      <c r="H568">
        <v>763721</v>
      </c>
      <c r="I568">
        <v>67668</v>
      </c>
      <c r="J568">
        <v>133569</v>
      </c>
      <c r="K568">
        <v>64075</v>
      </c>
      <c r="L568">
        <v>-23441</v>
      </c>
      <c r="M568">
        <v>9.74</v>
      </c>
      <c r="N568">
        <f t="shared" si="24"/>
        <v>3036786</v>
      </c>
      <c r="O568">
        <v>23332700</v>
      </c>
      <c r="P568" s="2">
        <f t="shared" si="25"/>
        <v>13.015150411225447</v>
      </c>
      <c r="Q568" s="4">
        <f t="shared" si="26"/>
        <v>22.726049799999998</v>
      </c>
    </row>
    <row r="569" spans="1:17" x14ac:dyDescent="0.4">
      <c r="A569">
        <v>20210812</v>
      </c>
      <c r="B569" s="1">
        <v>0.8125</v>
      </c>
      <c r="C569">
        <v>37993</v>
      </c>
      <c r="D569">
        <v>302463</v>
      </c>
      <c r="E569">
        <v>1293344</v>
      </c>
      <c r="F569">
        <v>449381</v>
      </c>
      <c r="G569">
        <v>51110</v>
      </c>
      <c r="H569">
        <v>862957</v>
      </c>
      <c r="I569">
        <v>116393</v>
      </c>
      <c r="J569">
        <v>134070</v>
      </c>
      <c r="K569">
        <v>111904</v>
      </c>
      <c r="L569">
        <v>-22654</v>
      </c>
      <c r="M569">
        <v>9.57</v>
      </c>
      <c r="N569">
        <f t="shared" si="24"/>
        <v>3336961</v>
      </c>
      <c r="O569">
        <v>23243100</v>
      </c>
      <c r="P569" s="2">
        <f t="shared" si="25"/>
        <v>14.356781152255939</v>
      </c>
      <c r="Q569" s="4">
        <f t="shared" si="26"/>
        <v>22.243646699999999</v>
      </c>
    </row>
    <row r="570" spans="1:17" x14ac:dyDescent="0.4">
      <c r="A570">
        <v>20210812</v>
      </c>
      <c r="B570" s="1">
        <v>0.83333333333333337</v>
      </c>
      <c r="C570">
        <v>-6240</v>
      </c>
      <c r="D570">
        <v>327468</v>
      </c>
      <c r="E570">
        <v>1281623</v>
      </c>
      <c r="F570">
        <v>576205</v>
      </c>
      <c r="G570">
        <v>33190</v>
      </c>
      <c r="H570">
        <v>985094</v>
      </c>
      <c r="I570">
        <v>110706</v>
      </c>
      <c r="J570">
        <v>121473</v>
      </c>
      <c r="K570">
        <v>63309</v>
      </c>
      <c r="L570">
        <v>-29656</v>
      </c>
      <c r="M570">
        <v>8.16</v>
      </c>
      <c r="N570">
        <f t="shared" si="24"/>
        <v>3463172</v>
      </c>
      <c r="O570">
        <v>22358550</v>
      </c>
      <c r="P570" s="2">
        <f t="shared" si="25"/>
        <v>15.489251315492284</v>
      </c>
      <c r="Q570" s="4">
        <f t="shared" si="26"/>
        <v>18.244576800000001</v>
      </c>
    </row>
    <row r="571" spans="1:17" x14ac:dyDescent="0.4">
      <c r="A571">
        <v>20210812</v>
      </c>
      <c r="B571" s="1">
        <v>0.85416666666666663</v>
      </c>
      <c r="C571">
        <v>10074</v>
      </c>
      <c r="D571">
        <v>245853</v>
      </c>
      <c r="E571">
        <v>1468877</v>
      </c>
      <c r="F571">
        <v>422727</v>
      </c>
      <c r="G571">
        <v>39100</v>
      </c>
      <c r="H571">
        <v>950197</v>
      </c>
      <c r="I571">
        <v>154195</v>
      </c>
      <c r="J571">
        <v>77207</v>
      </c>
      <c r="K571">
        <v>64522</v>
      </c>
      <c r="L571">
        <v>-18916</v>
      </c>
      <c r="M571">
        <v>7.88</v>
      </c>
      <c r="N571">
        <f t="shared" si="24"/>
        <v>3413836</v>
      </c>
      <c r="O571">
        <v>22352350</v>
      </c>
      <c r="P571" s="2">
        <f t="shared" si="25"/>
        <v>15.272828136638877</v>
      </c>
      <c r="Q571" s="4">
        <f t="shared" si="26"/>
        <v>17.6136518</v>
      </c>
    </row>
    <row r="572" spans="1:17" x14ac:dyDescent="0.4">
      <c r="A572">
        <v>20210812</v>
      </c>
      <c r="B572" s="1">
        <v>0.875</v>
      </c>
      <c r="C572">
        <v>-9558</v>
      </c>
      <c r="D572">
        <v>239375</v>
      </c>
      <c r="E572">
        <v>1173862</v>
      </c>
      <c r="F572">
        <v>479572</v>
      </c>
      <c r="G572">
        <v>41066</v>
      </c>
      <c r="H572">
        <v>828589</v>
      </c>
      <c r="I572">
        <v>124155</v>
      </c>
      <c r="J572">
        <v>75707</v>
      </c>
      <c r="K572">
        <v>65820</v>
      </c>
      <c r="L572">
        <v>-26269</v>
      </c>
      <c r="M572">
        <v>7.3</v>
      </c>
      <c r="N572">
        <f t="shared" si="24"/>
        <v>2992319</v>
      </c>
      <c r="O572">
        <v>21912600</v>
      </c>
      <c r="P572" s="2">
        <f t="shared" si="25"/>
        <v>13.655700373301206</v>
      </c>
      <c r="Q572" s="4">
        <f t="shared" si="26"/>
        <v>15.996198</v>
      </c>
    </row>
    <row r="573" spans="1:17" x14ac:dyDescent="0.4">
      <c r="A573">
        <v>20210812</v>
      </c>
      <c r="B573" s="1">
        <v>0.89583333333333337</v>
      </c>
      <c r="C573">
        <v>-37899</v>
      </c>
      <c r="D573">
        <v>263786</v>
      </c>
      <c r="E573">
        <v>1141170</v>
      </c>
      <c r="F573">
        <v>430112</v>
      </c>
      <c r="G573">
        <v>13551</v>
      </c>
      <c r="H573">
        <v>765887</v>
      </c>
      <c r="I573">
        <v>84770</v>
      </c>
      <c r="J573">
        <v>66960</v>
      </c>
      <c r="K573">
        <v>54099</v>
      </c>
      <c r="L573">
        <v>-15291</v>
      </c>
      <c r="M573">
        <v>7.15</v>
      </c>
      <c r="N573">
        <f t="shared" si="24"/>
        <v>2767145</v>
      </c>
      <c r="O573">
        <v>21825450</v>
      </c>
      <c r="P573" s="2">
        <f t="shared" si="25"/>
        <v>12.678524383231503</v>
      </c>
      <c r="Q573" s="4">
        <f t="shared" si="26"/>
        <v>15.605196749999999</v>
      </c>
    </row>
    <row r="574" spans="1:17" x14ac:dyDescent="0.4">
      <c r="A574">
        <v>20210812</v>
      </c>
      <c r="B574" s="1">
        <v>0.91666666666666663</v>
      </c>
      <c r="C574">
        <v>-11608</v>
      </c>
      <c r="D574">
        <v>259849</v>
      </c>
      <c r="E574">
        <v>1083523</v>
      </c>
      <c r="F574">
        <v>371684</v>
      </c>
      <c r="G574">
        <v>25740</v>
      </c>
      <c r="H574">
        <v>707940</v>
      </c>
      <c r="I574">
        <v>182352</v>
      </c>
      <c r="J574">
        <v>63705</v>
      </c>
      <c r="K574">
        <v>49757</v>
      </c>
      <c r="L574">
        <v>-14708</v>
      </c>
      <c r="M574">
        <v>7.04</v>
      </c>
      <c r="N574">
        <f t="shared" si="24"/>
        <v>2718234</v>
      </c>
      <c r="O574">
        <v>21391550</v>
      </c>
      <c r="P574" s="2">
        <f t="shared" si="25"/>
        <v>12.707045539009561</v>
      </c>
      <c r="Q574" s="4">
        <f t="shared" si="26"/>
        <v>15.059651199999999</v>
      </c>
    </row>
    <row r="575" spans="1:17" x14ac:dyDescent="0.4">
      <c r="A575">
        <v>20210812</v>
      </c>
      <c r="B575" s="1">
        <v>0.9375</v>
      </c>
      <c r="C575">
        <v>-48481</v>
      </c>
      <c r="D575">
        <v>236677</v>
      </c>
      <c r="E575">
        <v>1132380</v>
      </c>
      <c r="F575">
        <v>364471</v>
      </c>
      <c r="G575">
        <v>-2409</v>
      </c>
      <c r="H575">
        <v>650259</v>
      </c>
      <c r="I575">
        <v>196587</v>
      </c>
      <c r="J575">
        <v>64775</v>
      </c>
      <c r="K575">
        <v>35548</v>
      </c>
      <c r="L575">
        <v>-2639</v>
      </c>
      <c r="M575">
        <v>6.88</v>
      </c>
      <c r="N575">
        <f t="shared" si="24"/>
        <v>2627168</v>
      </c>
      <c r="O575">
        <v>21558700</v>
      </c>
      <c r="P575" s="2">
        <f t="shared" si="25"/>
        <v>12.186115118258522</v>
      </c>
      <c r="Q575" s="4">
        <f t="shared" si="26"/>
        <v>14.8323856</v>
      </c>
    </row>
    <row r="576" spans="1:17" x14ac:dyDescent="0.4">
      <c r="A576">
        <v>20210812</v>
      </c>
      <c r="B576" s="1">
        <v>0.95833333333333337</v>
      </c>
      <c r="C576">
        <v>-7364</v>
      </c>
      <c r="D576">
        <v>213072</v>
      </c>
      <c r="E576">
        <v>1092845</v>
      </c>
      <c r="F576">
        <v>398599</v>
      </c>
      <c r="G576">
        <v>-12809</v>
      </c>
      <c r="H576">
        <v>597018</v>
      </c>
      <c r="I576">
        <v>122907</v>
      </c>
      <c r="J576">
        <v>74714</v>
      </c>
      <c r="K576">
        <v>19639</v>
      </c>
      <c r="L576">
        <v>-16653</v>
      </c>
      <c r="M576">
        <v>6.91</v>
      </c>
      <c r="N576">
        <f t="shared" si="24"/>
        <v>2481968</v>
      </c>
      <c r="O576">
        <v>20937400</v>
      </c>
      <c r="P576" s="2">
        <f t="shared" si="25"/>
        <v>11.854232139616188</v>
      </c>
      <c r="Q576" s="4">
        <f t="shared" si="26"/>
        <v>14.4677434</v>
      </c>
    </row>
    <row r="577" spans="1:17" x14ac:dyDescent="0.4">
      <c r="A577">
        <v>20210812</v>
      </c>
      <c r="B577" s="1">
        <v>0.97916666666666663</v>
      </c>
      <c r="C577">
        <v>-33749</v>
      </c>
      <c r="D577">
        <v>214452</v>
      </c>
      <c r="E577">
        <v>1003309</v>
      </c>
      <c r="F577">
        <v>336972</v>
      </c>
      <c r="G577">
        <v>-18387</v>
      </c>
      <c r="H577">
        <v>531877</v>
      </c>
      <c r="I577">
        <v>163557</v>
      </c>
      <c r="J577">
        <v>60674</v>
      </c>
      <c r="K577">
        <v>-3925</v>
      </c>
      <c r="L577">
        <v>-12044</v>
      </c>
      <c r="M577">
        <v>6.5</v>
      </c>
      <c r="N577">
        <f t="shared" si="24"/>
        <v>2242736</v>
      </c>
      <c r="O577">
        <v>19892200</v>
      </c>
      <c r="P577" s="2">
        <f t="shared" si="25"/>
        <v>11.274449281627975</v>
      </c>
      <c r="Q577" s="4">
        <f t="shared" si="26"/>
        <v>12.929930000000001</v>
      </c>
    </row>
    <row r="578" spans="1:17" x14ac:dyDescent="0.4">
      <c r="A578">
        <v>20210813</v>
      </c>
      <c r="B578" s="1">
        <v>0</v>
      </c>
      <c r="C578">
        <v>28015</v>
      </c>
      <c r="D578">
        <v>300307</v>
      </c>
      <c r="E578">
        <v>594246</v>
      </c>
      <c r="F578">
        <v>312972</v>
      </c>
      <c r="G578">
        <v>58269</v>
      </c>
      <c r="H578">
        <v>290466</v>
      </c>
      <c r="I578">
        <v>104209</v>
      </c>
      <c r="J578">
        <v>118645</v>
      </c>
      <c r="K578">
        <v>239072</v>
      </c>
      <c r="L578">
        <v>-20232</v>
      </c>
      <c r="M578">
        <v>6.39</v>
      </c>
      <c r="N578">
        <f t="shared" si="24"/>
        <v>2025969</v>
      </c>
      <c r="O578">
        <v>17729900</v>
      </c>
      <c r="P578" s="2">
        <f t="shared" si="25"/>
        <v>11.426849559219173</v>
      </c>
      <c r="Q578" s="4">
        <f t="shared" si="26"/>
        <v>11.3294061</v>
      </c>
    </row>
    <row r="579" spans="1:17" x14ac:dyDescent="0.4">
      <c r="A579">
        <v>20210813</v>
      </c>
      <c r="B579" s="1">
        <v>2.0833333333333332E-2</v>
      </c>
      <c r="C579">
        <v>-12603</v>
      </c>
      <c r="D579">
        <v>212509</v>
      </c>
      <c r="E579">
        <v>562544</v>
      </c>
      <c r="F579">
        <v>211291</v>
      </c>
      <c r="G579">
        <v>51067</v>
      </c>
      <c r="H579">
        <v>230888</v>
      </c>
      <c r="I579">
        <v>122261</v>
      </c>
      <c r="J579">
        <v>121211</v>
      </c>
      <c r="K579">
        <v>147448</v>
      </c>
      <c r="L579">
        <v>-14625</v>
      </c>
      <c r="M579">
        <v>6.3</v>
      </c>
      <c r="N579">
        <f t="shared" ref="N579:N642" si="27">C579+D579+E579+F579+G579+H579+I579+J579+K579+L579</f>
        <v>1631991</v>
      </c>
      <c r="O579">
        <v>18764050</v>
      </c>
      <c r="P579" s="2">
        <f t="shared" ref="P579:P642" si="28">((N579*100)/O579)</f>
        <v>8.6974347222481292</v>
      </c>
      <c r="Q579" s="4">
        <f t="shared" ref="Q579:Q642" si="29">(M579*O579)/10^7</f>
        <v>11.8213515</v>
      </c>
    </row>
    <row r="580" spans="1:17" x14ac:dyDescent="0.4">
      <c r="A580">
        <v>20210813</v>
      </c>
      <c r="B580" s="1">
        <v>4.1666666666666664E-2</v>
      </c>
      <c r="C580">
        <v>2563</v>
      </c>
      <c r="D580">
        <v>301001</v>
      </c>
      <c r="E580">
        <v>530436</v>
      </c>
      <c r="F580">
        <v>268066</v>
      </c>
      <c r="G580">
        <v>60261</v>
      </c>
      <c r="H580">
        <v>239086</v>
      </c>
      <c r="I580">
        <v>63329</v>
      </c>
      <c r="J580">
        <v>128809</v>
      </c>
      <c r="K580">
        <v>114440</v>
      </c>
      <c r="L580">
        <v>-20174</v>
      </c>
      <c r="M580">
        <v>6.38</v>
      </c>
      <c r="N580">
        <f t="shared" si="27"/>
        <v>1687817</v>
      </c>
      <c r="O580">
        <v>18657250</v>
      </c>
      <c r="P580" s="2">
        <f t="shared" si="28"/>
        <v>9.0464403918047935</v>
      </c>
      <c r="Q580" s="4">
        <f t="shared" si="29"/>
        <v>11.903325499999999</v>
      </c>
    </row>
    <row r="581" spans="1:17" x14ac:dyDescent="0.4">
      <c r="A581">
        <v>20210813</v>
      </c>
      <c r="B581" s="1">
        <v>6.25E-2</v>
      </c>
      <c r="C581">
        <v>-30280</v>
      </c>
      <c r="D581">
        <v>306536</v>
      </c>
      <c r="E581">
        <v>476251</v>
      </c>
      <c r="F581">
        <v>179040</v>
      </c>
      <c r="G581">
        <v>45593</v>
      </c>
      <c r="H581">
        <v>191401</v>
      </c>
      <c r="I581">
        <v>31464</v>
      </c>
      <c r="J581">
        <v>124084</v>
      </c>
      <c r="K581">
        <v>92701</v>
      </c>
      <c r="L581">
        <v>-17002</v>
      </c>
      <c r="M581">
        <v>6.38</v>
      </c>
      <c r="N581">
        <f t="shared" si="27"/>
        <v>1399788</v>
      </c>
      <c r="O581">
        <v>18889800</v>
      </c>
      <c r="P581" s="2">
        <f t="shared" si="28"/>
        <v>7.4102849156687736</v>
      </c>
      <c r="Q581" s="4">
        <f t="shared" si="29"/>
        <v>12.0516924</v>
      </c>
    </row>
    <row r="582" spans="1:17" x14ac:dyDescent="0.4">
      <c r="A582">
        <v>20210813</v>
      </c>
      <c r="B582" s="1">
        <v>8.3333333333333329E-2</v>
      </c>
      <c r="C582">
        <v>-37941</v>
      </c>
      <c r="D582">
        <v>385110</v>
      </c>
      <c r="E582">
        <v>465173</v>
      </c>
      <c r="F582">
        <v>104182</v>
      </c>
      <c r="G582">
        <v>46349</v>
      </c>
      <c r="H582">
        <v>153245</v>
      </c>
      <c r="I582">
        <v>1575</v>
      </c>
      <c r="J582">
        <v>118016</v>
      </c>
      <c r="K582">
        <v>46114</v>
      </c>
      <c r="L582">
        <v>-11115</v>
      </c>
      <c r="M582">
        <v>6.49</v>
      </c>
      <c r="N582">
        <f t="shared" si="27"/>
        <v>1270708</v>
      </c>
      <c r="O582">
        <v>19101300</v>
      </c>
      <c r="P582" s="2">
        <f t="shared" si="28"/>
        <v>6.6524686801421895</v>
      </c>
      <c r="Q582" s="4">
        <f t="shared" si="29"/>
        <v>12.3967437</v>
      </c>
    </row>
    <row r="583" spans="1:17" x14ac:dyDescent="0.4">
      <c r="A583">
        <v>20210813</v>
      </c>
      <c r="B583" s="1">
        <v>0.10416666666666667</v>
      </c>
      <c r="C583">
        <v>26202</v>
      </c>
      <c r="D583">
        <v>324234</v>
      </c>
      <c r="E583">
        <v>535135</v>
      </c>
      <c r="F583">
        <v>110486</v>
      </c>
      <c r="G583">
        <v>34852</v>
      </c>
      <c r="H583">
        <v>-2233</v>
      </c>
      <c r="I583">
        <v>-18106</v>
      </c>
      <c r="J583">
        <v>86226</v>
      </c>
      <c r="K583">
        <v>-3001</v>
      </c>
      <c r="L583">
        <v>-15197</v>
      </c>
      <c r="M583">
        <v>6.49</v>
      </c>
      <c r="N583">
        <f t="shared" si="27"/>
        <v>1078598</v>
      </c>
      <c r="O583">
        <v>19109600</v>
      </c>
      <c r="P583" s="2">
        <f t="shared" si="28"/>
        <v>5.6442730355423452</v>
      </c>
      <c r="Q583" s="4">
        <f t="shared" si="29"/>
        <v>12.402130400000001</v>
      </c>
    </row>
    <row r="584" spans="1:17" x14ac:dyDescent="0.4">
      <c r="A584">
        <v>20210813</v>
      </c>
      <c r="B584" s="1">
        <v>0.125</v>
      </c>
      <c r="C584">
        <v>-22254</v>
      </c>
      <c r="D584">
        <v>332380</v>
      </c>
      <c r="E584">
        <v>504931</v>
      </c>
      <c r="F584">
        <v>89155</v>
      </c>
      <c r="G584">
        <v>55605</v>
      </c>
      <c r="H584">
        <v>-13345</v>
      </c>
      <c r="I584">
        <v>-40465</v>
      </c>
      <c r="J584">
        <v>94047</v>
      </c>
      <c r="K584">
        <v>12569</v>
      </c>
      <c r="L584">
        <v>-14081</v>
      </c>
      <c r="M584">
        <v>6.49</v>
      </c>
      <c r="N584">
        <f t="shared" si="27"/>
        <v>998542</v>
      </c>
      <c r="O584">
        <v>19241000</v>
      </c>
      <c r="P584" s="2">
        <f t="shared" si="28"/>
        <v>5.1896575022088252</v>
      </c>
      <c r="Q584" s="4">
        <f t="shared" si="29"/>
        <v>12.487409</v>
      </c>
    </row>
    <row r="585" spans="1:17" x14ac:dyDescent="0.4">
      <c r="A585">
        <v>20210813</v>
      </c>
      <c r="B585" s="1">
        <v>0.14583333333333334</v>
      </c>
      <c r="C585">
        <v>-27400</v>
      </c>
      <c r="D585">
        <v>330038</v>
      </c>
      <c r="E585">
        <v>512610</v>
      </c>
      <c r="F585">
        <v>111473</v>
      </c>
      <c r="G585">
        <v>71463</v>
      </c>
      <c r="H585">
        <v>-27336</v>
      </c>
      <c r="I585">
        <v>-35649</v>
      </c>
      <c r="J585">
        <v>87145</v>
      </c>
      <c r="K585">
        <v>3076</v>
      </c>
      <c r="L585">
        <v>-12100</v>
      </c>
      <c r="M585">
        <v>6.49</v>
      </c>
      <c r="N585">
        <f t="shared" si="27"/>
        <v>1013320</v>
      </c>
      <c r="O585">
        <v>19300800</v>
      </c>
      <c r="P585" s="2">
        <f t="shared" si="28"/>
        <v>5.2501450717068723</v>
      </c>
      <c r="Q585" s="4">
        <f t="shared" si="29"/>
        <v>12.5262192</v>
      </c>
    </row>
    <row r="586" spans="1:17" x14ac:dyDescent="0.4">
      <c r="A586">
        <v>20210813</v>
      </c>
      <c r="B586" s="1">
        <v>0.16666666666666666</v>
      </c>
      <c r="C586">
        <v>-21835</v>
      </c>
      <c r="D586">
        <v>308977</v>
      </c>
      <c r="E586">
        <v>513648</v>
      </c>
      <c r="F586">
        <v>73522</v>
      </c>
      <c r="G586">
        <v>52112</v>
      </c>
      <c r="H586">
        <v>-64419</v>
      </c>
      <c r="I586">
        <v>-54319</v>
      </c>
      <c r="J586">
        <v>72934</v>
      </c>
      <c r="K586">
        <v>-4709</v>
      </c>
      <c r="L586">
        <v>-12489</v>
      </c>
      <c r="M586">
        <v>6.49</v>
      </c>
      <c r="N586">
        <f t="shared" si="27"/>
        <v>863422</v>
      </c>
      <c r="O586">
        <v>19276200</v>
      </c>
      <c r="P586" s="2">
        <f t="shared" si="28"/>
        <v>4.4792127078988599</v>
      </c>
      <c r="Q586" s="4">
        <f t="shared" si="29"/>
        <v>12.510253799999999</v>
      </c>
    </row>
    <row r="587" spans="1:17" x14ac:dyDescent="0.4">
      <c r="A587">
        <v>20210813</v>
      </c>
      <c r="B587" s="1">
        <v>0.1875</v>
      </c>
      <c r="C587">
        <v>2811</v>
      </c>
      <c r="D587">
        <v>295259</v>
      </c>
      <c r="E587">
        <v>598022</v>
      </c>
      <c r="F587">
        <v>-16278</v>
      </c>
      <c r="G587">
        <v>41431</v>
      </c>
      <c r="H587">
        <v>-115852</v>
      </c>
      <c r="I587">
        <v>11388</v>
      </c>
      <c r="J587">
        <v>62256</v>
      </c>
      <c r="K587">
        <v>-16490</v>
      </c>
      <c r="L587">
        <v>-15175</v>
      </c>
      <c r="M587">
        <v>6.56</v>
      </c>
      <c r="N587">
        <f t="shared" si="27"/>
        <v>847372</v>
      </c>
      <c r="O587">
        <v>19220800</v>
      </c>
      <c r="P587" s="2">
        <f t="shared" si="28"/>
        <v>4.4086198285191047</v>
      </c>
      <c r="Q587" s="4">
        <f t="shared" si="29"/>
        <v>12.608844799999998</v>
      </c>
    </row>
    <row r="588" spans="1:17" x14ac:dyDescent="0.4">
      <c r="A588">
        <v>20210813</v>
      </c>
      <c r="B588" s="1">
        <v>0.20833333333333334</v>
      </c>
      <c r="C588">
        <v>11073</v>
      </c>
      <c r="D588">
        <v>358553</v>
      </c>
      <c r="E588">
        <v>484755</v>
      </c>
      <c r="F588">
        <v>-44500</v>
      </c>
      <c r="G588">
        <v>30090</v>
      </c>
      <c r="H588">
        <v>-120324</v>
      </c>
      <c r="I588">
        <v>-23008</v>
      </c>
      <c r="J588">
        <v>37133</v>
      </c>
      <c r="K588">
        <v>1052</v>
      </c>
      <c r="L588">
        <v>-17873</v>
      </c>
      <c r="M588">
        <v>6.57</v>
      </c>
      <c r="N588">
        <f t="shared" si="27"/>
        <v>716951</v>
      </c>
      <c r="O588">
        <v>19305200</v>
      </c>
      <c r="P588" s="2">
        <f t="shared" si="28"/>
        <v>3.7137714190995172</v>
      </c>
      <c r="Q588" s="4">
        <f t="shared" si="29"/>
        <v>12.6835164</v>
      </c>
    </row>
    <row r="589" spans="1:17" x14ac:dyDescent="0.4">
      <c r="A589">
        <v>20210813</v>
      </c>
      <c r="B589" s="1">
        <v>0.22916666666666666</v>
      </c>
      <c r="C589">
        <v>56169</v>
      </c>
      <c r="D589">
        <v>417400</v>
      </c>
      <c r="E589">
        <v>564385</v>
      </c>
      <c r="F589">
        <v>-65668</v>
      </c>
      <c r="G589">
        <v>35934</v>
      </c>
      <c r="H589">
        <v>-64457</v>
      </c>
      <c r="I589">
        <v>62006</v>
      </c>
      <c r="J589">
        <v>48750</v>
      </c>
      <c r="K589">
        <v>40092</v>
      </c>
      <c r="L589">
        <v>-14474</v>
      </c>
      <c r="M589">
        <v>6.57</v>
      </c>
      <c r="N589">
        <f t="shared" si="27"/>
        <v>1080137</v>
      </c>
      <c r="O589">
        <v>19391550</v>
      </c>
      <c r="P589" s="2">
        <f t="shared" si="28"/>
        <v>5.5701426652330523</v>
      </c>
      <c r="Q589" s="4">
        <f t="shared" si="29"/>
        <v>12.74024835</v>
      </c>
    </row>
    <row r="590" spans="1:17" x14ac:dyDescent="0.4">
      <c r="A590">
        <v>20210813</v>
      </c>
      <c r="B590" s="1">
        <v>0.25</v>
      </c>
      <c r="C590">
        <v>145500</v>
      </c>
      <c r="D590">
        <v>275472</v>
      </c>
      <c r="E590">
        <v>562608</v>
      </c>
      <c r="F590">
        <v>90229</v>
      </c>
      <c r="G590">
        <v>46134</v>
      </c>
      <c r="H590">
        <v>16302</v>
      </c>
      <c r="I590">
        <v>93786</v>
      </c>
      <c r="J590">
        <v>58181</v>
      </c>
      <c r="K590">
        <v>16819</v>
      </c>
      <c r="L590">
        <v>-4830</v>
      </c>
      <c r="M590">
        <v>6.48</v>
      </c>
      <c r="N590">
        <f t="shared" si="27"/>
        <v>1300201</v>
      </c>
      <c r="O590">
        <v>19749750</v>
      </c>
      <c r="P590" s="2">
        <f t="shared" si="28"/>
        <v>6.5833795364498284</v>
      </c>
      <c r="Q590" s="4">
        <f t="shared" si="29"/>
        <v>12.797838000000002</v>
      </c>
    </row>
    <row r="591" spans="1:17" x14ac:dyDescent="0.4">
      <c r="A591">
        <v>20210813</v>
      </c>
      <c r="B591" s="1">
        <v>0.27083333333333331</v>
      </c>
      <c r="C591">
        <v>119717</v>
      </c>
      <c r="D591">
        <v>256167</v>
      </c>
      <c r="E591">
        <v>691041</v>
      </c>
      <c r="F591">
        <v>70436</v>
      </c>
      <c r="G591">
        <v>59556</v>
      </c>
      <c r="H591">
        <v>73020</v>
      </c>
      <c r="I591">
        <v>180249</v>
      </c>
      <c r="J591">
        <v>64915</v>
      </c>
      <c r="K591">
        <v>95304</v>
      </c>
      <c r="L591">
        <v>-2882</v>
      </c>
      <c r="M591">
        <v>6.56</v>
      </c>
      <c r="N591">
        <f t="shared" si="27"/>
        <v>1607523</v>
      </c>
      <c r="O591">
        <v>19966150</v>
      </c>
      <c r="P591" s="2">
        <f t="shared" si="28"/>
        <v>8.0512417266223082</v>
      </c>
      <c r="Q591" s="4">
        <f t="shared" si="29"/>
        <v>13.097794399999998</v>
      </c>
    </row>
    <row r="592" spans="1:17" x14ac:dyDescent="0.4">
      <c r="A592">
        <v>20210813</v>
      </c>
      <c r="B592" s="1">
        <v>0.29166666666666669</v>
      </c>
      <c r="C592">
        <v>273119</v>
      </c>
      <c r="D592">
        <v>261572</v>
      </c>
      <c r="E592">
        <v>1071622</v>
      </c>
      <c r="F592">
        <v>131975</v>
      </c>
      <c r="G592">
        <v>91093</v>
      </c>
      <c r="H592">
        <v>5487</v>
      </c>
      <c r="I592">
        <v>170871</v>
      </c>
      <c r="J592">
        <v>40232</v>
      </c>
      <c r="K592">
        <v>223481</v>
      </c>
      <c r="L592">
        <v>8738</v>
      </c>
      <c r="M592">
        <v>6.96</v>
      </c>
      <c r="N592">
        <f t="shared" si="27"/>
        <v>2278190</v>
      </c>
      <c r="O592">
        <v>20376550</v>
      </c>
      <c r="P592" s="2">
        <f t="shared" si="28"/>
        <v>11.180450076190523</v>
      </c>
      <c r="Q592" s="4">
        <f t="shared" si="29"/>
        <v>14.182078799999999</v>
      </c>
    </row>
    <row r="593" spans="1:17" x14ac:dyDescent="0.4">
      <c r="A593">
        <v>20210813</v>
      </c>
      <c r="B593" s="1">
        <v>0.3125</v>
      </c>
      <c r="C593">
        <v>284659</v>
      </c>
      <c r="D593">
        <v>227393</v>
      </c>
      <c r="E593">
        <v>1323089</v>
      </c>
      <c r="F593">
        <v>291020</v>
      </c>
      <c r="G593">
        <v>113185</v>
      </c>
      <c r="H593">
        <v>36318</v>
      </c>
      <c r="I593">
        <v>240204</v>
      </c>
      <c r="J593">
        <v>42785</v>
      </c>
      <c r="K593">
        <v>313946</v>
      </c>
      <c r="L593">
        <v>1330</v>
      </c>
      <c r="M593">
        <v>6.99</v>
      </c>
      <c r="N593">
        <f t="shared" si="27"/>
        <v>2873929</v>
      </c>
      <c r="O593">
        <v>20435150</v>
      </c>
      <c r="P593" s="2">
        <f t="shared" si="28"/>
        <v>14.063655025776665</v>
      </c>
      <c r="Q593" s="4">
        <f t="shared" si="29"/>
        <v>14.28416985</v>
      </c>
    </row>
    <row r="594" spans="1:17" x14ac:dyDescent="0.4">
      <c r="A594">
        <v>20210813</v>
      </c>
      <c r="B594" s="1">
        <v>0.33333333333333331</v>
      </c>
      <c r="C594">
        <v>381891</v>
      </c>
      <c r="D594">
        <v>124631</v>
      </c>
      <c r="E594">
        <v>1812740</v>
      </c>
      <c r="F594">
        <v>184237</v>
      </c>
      <c r="G594">
        <v>125815</v>
      </c>
      <c r="H594">
        <v>31453</v>
      </c>
      <c r="I594">
        <v>274715</v>
      </c>
      <c r="J594">
        <v>97638</v>
      </c>
      <c r="K594">
        <v>332435</v>
      </c>
      <c r="L594">
        <v>11124</v>
      </c>
      <c r="M594">
        <v>7.08</v>
      </c>
      <c r="N594">
        <f t="shared" si="27"/>
        <v>3376679</v>
      </c>
      <c r="O594">
        <v>21183500</v>
      </c>
      <c r="P594" s="2">
        <f t="shared" si="28"/>
        <v>15.940137371067104</v>
      </c>
      <c r="Q594" s="4">
        <f t="shared" si="29"/>
        <v>14.997918</v>
      </c>
    </row>
    <row r="595" spans="1:17" x14ac:dyDescent="0.4">
      <c r="A595">
        <v>20210813</v>
      </c>
      <c r="B595" s="1">
        <v>0.35416666666666669</v>
      </c>
      <c r="C595">
        <v>395824</v>
      </c>
      <c r="D595">
        <v>197956</v>
      </c>
      <c r="E595">
        <v>1838453</v>
      </c>
      <c r="F595">
        <v>263535</v>
      </c>
      <c r="G595">
        <v>158738</v>
      </c>
      <c r="H595">
        <v>11620</v>
      </c>
      <c r="I595">
        <v>299936</v>
      </c>
      <c r="J595">
        <v>84324</v>
      </c>
      <c r="K595">
        <v>567678</v>
      </c>
      <c r="L595">
        <v>-588</v>
      </c>
      <c r="M595">
        <v>7.23</v>
      </c>
      <c r="N595">
        <f t="shared" si="27"/>
        <v>3817476</v>
      </c>
      <c r="O595">
        <v>21290950</v>
      </c>
      <c r="P595" s="2">
        <f t="shared" si="28"/>
        <v>17.930040698043065</v>
      </c>
      <c r="Q595" s="4">
        <f t="shared" si="29"/>
        <v>15.39335685</v>
      </c>
    </row>
    <row r="596" spans="1:17" x14ac:dyDescent="0.4">
      <c r="A596">
        <v>20210813</v>
      </c>
      <c r="B596" s="1">
        <v>0.375</v>
      </c>
      <c r="C596">
        <v>457260</v>
      </c>
      <c r="D596">
        <v>315953</v>
      </c>
      <c r="E596">
        <v>2433763</v>
      </c>
      <c r="F596">
        <v>300536</v>
      </c>
      <c r="G596">
        <v>166100</v>
      </c>
      <c r="H596">
        <v>70767</v>
      </c>
      <c r="I596">
        <v>361847</v>
      </c>
      <c r="J596">
        <v>80147</v>
      </c>
      <c r="K596">
        <v>610369</v>
      </c>
      <c r="L596">
        <v>8760</v>
      </c>
      <c r="M596">
        <v>7.42</v>
      </c>
      <c r="N596">
        <f t="shared" si="27"/>
        <v>4805502</v>
      </c>
      <c r="O596">
        <v>21630150</v>
      </c>
      <c r="P596" s="2">
        <f t="shared" si="28"/>
        <v>22.216683656840104</v>
      </c>
      <c r="Q596" s="4">
        <f t="shared" si="29"/>
        <v>16.0495713</v>
      </c>
    </row>
    <row r="597" spans="1:17" x14ac:dyDescent="0.4">
      <c r="A597">
        <v>20210813</v>
      </c>
      <c r="B597" s="1">
        <v>0.39583333333333331</v>
      </c>
      <c r="C597">
        <v>380037</v>
      </c>
      <c r="D597">
        <v>333348</v>
      </c>
      <c r="E597">
        <v>1993038</v>
      </c>
      <c r="F597">
        <v>300660</v>
      </c>
      <c r="G597">
        <v>153195</v>
      </c>
      <c r="H597">
        <v>72938</v>
      </c>
      <c r="I597">
        <v>401644</v>
      </c>
      <c r="J597">
        <v>91526</v>
      </c>
      <c r="K597">
        <v>637514</v>
      </c>
      <c r="L597">
        <v>6562</v>
      </c>
      <c r="M597">
        <v>7.79</v>
      </c>
      <c r="N597">
        <f t="shared" si="27"/>
        <v>4370462</v>
      </c>
      <c r="O597">
        <v>21726450</v>
      </c>
      <c r="P597" s="2">
        <f t="shared" si="28"/>
        <v>20.115858780426624</v>
      </c>
      <c r="Q597" s="4">
        <f t="shared" si="29"/>
        <v>16.924904550000001</v>
      </c>
    </row>
    <row r="598" spans="1:17" x14ac:dyDescent="0.4">
      <c r="A598">
        <v>20210813</v>
      </c>
      <c r="B598" s="1">
        <v>0.41666666666666669</v>
      </c>
      <c r="C598">
        <v>406481</v>
      </c>
      <c r="D598">
        <v>407248</v>
      </c>
      <c r="E598">
        <v>1886272</v>
      </c>
      <c r="F598">
        <v>294615</v>
      </c>
      <c r="G598">
        <v>105137</v>
      </c>
      <c r="H598">
        <v>69682</v>
      </c>
      <c r="I598">
        <v>318360</v>
      </c>
      <c r="J598">
        <v>75416</v>
      </c>
      <c r="K598">
        <v>507362</v>
      </c>
      <c r="L598">
        <v>-1358</v>
      </c>
      <c r="M598">
        <v>7.79</v>
      </c>
      <c r="N598">
        <f t="shared" si="27"/>
        <v>4069215</v>
      </c>
      <c r="O598">
        <v>21822950</v>
      </c>
      <c r="P598" s="2">
        <f t="shared" si="28"/>
        <v>18.646493714186214</v>
      </c>
      <c r="Q598" s="4">
        <f t="shared" si="29"/>
        <v>17.000078049999999</v>
      </c>
    </row>
    <row r="599" spans="1:17" x14ac:dyDescent="0.4">
      <c r="A599">
        <v>20210813</v>
      </c>
      <c r="B599" s="1">
        <v>0.4375</v>
      </c>
      <c r="C599">
        <v>404534</v>
      </c>
      <c r="D599">
        <v>332471</v>
      </c>
      <c r="E599">
        <v>1819491</v>
      </c>
      <c r="F599">
        <v>257851</v>
      </c>
      <c r="G599">
        <v>133475</v>
      </c>
      <c r="H599">
        <v>54254</v>
      </c>
      <c r="I599">
        <v>238923</v>
      </c>
      <c r="J599">
        <v>6756</v>
      </c>
      <c r="K599">
        <v>322485</v>
      </c>
      <c r="L599">
        <v>-3171</v>
      </c>
      <c r="M599">
        <v>7.85</v>
      </c>
      <c r="N599">
        <f t="shared" si="27"/>
        <v>3567069</v>
      </c>
      <c r="O599">
        <v>21992050</v>
      </c>
      <c r="P599" s="2">
        <f t="shared" si="28"/>
        <v>16.219811249974423</v>
      </c>
      <c r="Q599" s="4">
        <f t="shared" si="29"/>
        <v>17.26375925</v>
      </c>
    </row>
    <row r="600" spans="1:17" x14ac:dyDescent="0.4">
      <c r="A600">
        <v>20210813</v>
      </c>
      <c r="B600" s="1">
        <v>0.45833333333333331</v>
      </c>
      <c r="C600">
        <v>410075</v>
      </c>
      <c r="D600">
        <v>139384</v>
      </c>
      <c r="E600">
        <v>1858591</v>
      </c>
      <c r="F600">
        <v>183524</v>
      </c>
      <c r="G600">
        <v>117707</v>
      </c>
      <c r="H600">
        <v>36867</v>
      </c>
      <c r="I600">
        <v>203285</v>
      </c>
      <c r="J600">
        <v>-17063</v>
      </c>
      <c r="K600">
        <v>410896</v>
      </c>
      <c r="L600">
        <v>8531</v>
      </c>
      <c r="M600">
        <v>8.14</v>
      </c>
      <c r="N600">
        <f t="shared" si="27"/>
        <v>3351797</v>
      </c>
      <c r="O600">
        <v>22223350</v>
      </c>
      <c r="P600" s="2">
        <f t="shared" si="28"/>
        <v>15.082321072205586</v>
      </c>
      <c r="Q600" s="4">
        <f t="shared" si="29"/>
        <v>18.089806899999999</v>
      </c>
    </row>
    <row r="601" spans="1:17" x14ac:dyDescent="0.4">
      <c r="A601">
        <v>20210813</v>
      </c>
      <c r="B601" s="1">
        <v>0.47916666666666669</v>
      </c>
      <c r="C601">
        <v>444833</v>
      </c>
      <c r="D601">
        <v>213415</v>
      </c>
      <c r="E601">
        <v>1386060</v>
      </c>
      <c r="F601">
        <v>263156</v>
      </c>
      <c r="G601">
        <v>139162</v>
      </c>
      <c r="H601">
        <v>62751</v>
      </c>
      <c r="I601">
        <v>143025</v>
      </c>
      <c r="J601">
        <v>-49016</v>
      </c>
      <c r="K601">
        <v>396852</v>
      </c>
      <c r="L601">
        <v>9337</v>
      </c>
      <c r="M601">
        <v>8.64</v>
      </c>
      <c r="N601">
        <f t="shared" si="27"/>
        <v>3009575</v>
      </c>
      <c r="O601">
        <v>22347950</v>
      </c>
      <c r="P601" s="2">
        <f t="shared" si="28"/>
        <v>13.466895173830261</v>
      </c>
      <c r="Q601" s="4">
        <f t="shared" si="29"/>
        <v>19.308628800000001</v>
      </c>
    </row>
    <row r="602" spans="1:17" x14ac:dyDescent="0.4">
      <c r="A602">
        <v>20210813</v>
      </c>
      <c r="B602" s="1">
        <v>0.5</v>
      </c>
      <c r="C602">
        <v>413507</v>
      </c>
      <c r="D602">
        <v>219093</v>
      </c>
      <c r="E602">
        <v>1518984</v>
      </c>
      <c r="F602">
        <v>211250</v>
      </c>
      <c r="G602">
        <v>167483</v>
      </c>
      <c r="H602">
        <v>91797</v>
      </c>
      <c r="I602">
        <v>84742</v>
      </c>
      <c r="J602">
        <v>-8223</v>
      </c>
      <c r="K602">
        <v>379002</v>
      </c>
      <c r="L602">
        <v>24941</v>
      </c>
      <c r="M602">
        <v>8.67</v>
      </c>
      <c r="N602">
        <f t="shared" si="27"/>
        <v>3102576</v>
      </c>
      <c r="O602">
        <v>22489250</v>
      </c>
      <c r="P602" s="2">
        <f t="shared" si="28"/>
        <v>13.795818001934258</v>
      </c>
      <c r="Q602" s="4">
        <f t="shared" si="29"/>
        <v>19.498179749999998</v>
      </c>
    </row>
    <row r="603" spans="1:17" x14ac:dyDescent="0.4">
      <c r="A603">
        <v>20210813</v>
      </c>
      <c r="B603" s="1">
        <v>0.52083333333333337</v>
      </c>
      <c r="C603">
        <v>401785</v>
      </c>
      <c r="D603">
        <v>324331</v>
      </c>
      <c r="E603">
        <v>1855143</v>
      </c>
      <c r="F603">
        <v>385438</v>
      </c>
      <c r="G603">
        <v>183929</v>
      </c>
      <c r="H603">
        <v>224346</v>
      </c>
      <c r="I603">
        <v>72159</v>
      </c>
      <c r="J603">
        <v>53420</v>
      </c>
      <c r="K603">
        <v>276894</v>
      </c>
      <c r="L603">
        <v>35780</v>
      </c>
      <c r="M603">
        <v>8.86</v>
      </c>
      <c r="N603">
        <f t="shared" si="27"/>
        <v>3813225</v>
      </c>
      <c r="O603">
        <v>22476900</v>
      </c>
      <c r="P603" s="2">
        <f t="shared" si="28"/>
        <v>16.965084153063813</v>
      </c>
      <c r="Q603" s="4">
        <f t="shared" si="29"/>
        <v>19.9145334</v>
      </c>
    </row>
    <row r="604" spans="1:17" x14ac:dyDescent="0.4">
      <c r="A604">
        <v>20210813</v>
      </c>
      <c r="B604" s="1">
        <v>0.54166666666666663</v>
      </c>
      <c r="C604">
        <v>391370</v>
      </c>
      <c r="D604">
        <v>259524</v>
      </c>
      <c r="E604">
        <v>2003458</v>
      </c>
      <c r="F604">
        <v>396733</v>
      </c>
      <c r="G604">
        <v>119493</v>
      </c>
      <c r="H604">
        <v>401507</v>
      </c>
      <c r="I604">
        <v>29487</v>
      </c>
      <c r="J604">
        <v>12263</v>
      </c>
      <c r="K604">
        <v>394127</v>
      </c>
      <c r="L604">
        <v>41686</v>
      </c>
      <c r="M604">
        <v>8.5500000000000007</v>
      </c>
      <c r="N604">
        <f t="shared" si="27"/>
        <v>4049648</v>
      </c>
      <c r="O604">
        <v>22395500</v>
      </c>
      <c r="P604" s="2">
        <f t="shared" si="28"/>
        <v>18.082418342970687</v>
      </c>
      <c r="Q604" s="4">
        <f t="shared" si="29"/>
        <v>19.148152500000002</v>
      </c>
    </row>
    <row r="605" spans="1:17" x14ac:dyDescent="0.4">
      <c r="A605">
        <v>20210813</v>
      </c>
      <c r="B605" s="1">
        <v>0.5625</v>
      </c>
      <c r="C605">
        <v>394814</v>
      </c>
      <c r="D605">
        <v>270131</v>
      </c>
      <c r="E605">
        <v>1987650</v>
      </c>
      <c r="F605">
        <v>472737</v>
      </c>
      <c r="G605">
        <v>131148</v>
      </c>
      <c r="H605">
        <v>565486</v>
      </c>
      <c r="I605">
        <v>-37531</v>
      </c>
      <c r="J605">
        <v>-11879</v>
      </c>
      <c r="K605">
        <v>423808</v>
      </c>
      <c r="L605">
        <v>35198</v>
      </c>
      <c r="M605">
        <v>8.6199999999999992</v>
      </c>
      <c r="N605">
        <f t="shared" si="27"/>
        <v>4231562</v>
      </c>
      <c r="O605">
        <v>22484600</v>
      </c>
      <c r="P605" s="2">
        <f t="shared" si="28"/>
        <v>18.81982334575665</v>
      </c>
      <c r="Q605" s="4">
        <f t="shared" si="29"/>
        <v>19.381725199999998</v>
      </c>
    </row>
    <row r="606" spans="1:17" x14ac:dyDescent="0.4">
      <c r="A606">
        <v>20210813</v>
      </c>
      <c r="B606" s="1">
        <v>0.58333333333333337</v>
      </c>
      <c r="C606">
        <v>304109</v>
      </c>
      <c r="D606">
        <v>175946</v>
      </c>
      <c r="E606">
        <v>1887197</v>
      </c>
      <c r="F606">
        <v>135535</v>
      </c>
      <c r="G606">
        <v>138739</v>
      </c>
      <c r="H606">
        <v>529732</v>
      </c>
      <c r="I606">
        <v>-69978</v>
      </c>
      <c r="J606">
        <v>487</v>
      </c>
      <c r="K606">
        <v>433443</v>
      </c>
      <c r="L606">
        <v>29547</v>
      </c>
      <c r="M606">
        <v>8.86</v>
      </c>
      <c r="N606">
        <f t="shared" si="27"/>
        <v>3564757</v>
      </c>
      <c r="O606">
        <v>22578900</v>
      </c>
      <c r="P606" s="2">
        <f t="shared" si="28"/>
        <v>15.788001186948877</v>
      </c>
      <c r="Q606" s="4">
        <f t="shared" si="29"/>
        <v>20.004905399999998</v>
      </c>
    </row>
    <row r="607" spans="1:17" x14ac:dyDescent="0.4">
      <c r="A607">
        <v>20210813</v>
      </c>
      <c r="B607" s="1">
        <v>0.60416666666666663</v>
      </c>
      <c r="C607">
        <v>321931</v>
      </c>
      <c r="D607">
        <v>252420</v>
      </c>
      <c r="E607">
        <v>1923299</v>
      </c>
      <c r="F607">
        <v>124997</v>
      </c>
      <c r="G607">
        <v>125987</v>
      </c>
      <c r="H607">
        <v>624225</v>
      </c>
      <c r="I607">
        <v>-152077</v>
      </c>
      <c r="J607">
        <v>18394</v>
      </c>
      <c r="K607">
        <v>376361</v>
      </c>
      <c r="L607">
        <v>24413</v>
      </c>
      <c r="M607">
        <v>8.86</v>
      </c>
      <c r="N607">
        <f t="shared" si="27"/>
        <v>3639950</v>
      </c>
      <c r="O607">
        <v>22591850</v>
      </c>
      <c r="P607" s="2">
        <f t="shared" si="28"/>
        <v>16.111783674201096</v>
      </c>
      <c r="Q607" s="4">
        <f t="shared" si="29"/>
        <v>20.016379100000002</v>
      </c>
    </row>
    <row r="608" spans="1:17" x14ac:dyDescent="0.4">
      <c r="A608">
        <v>20210813</v>
      </c>
      <c r="B608" s="1">
        <v>0.625</v>
      </c>
      <c r="C608">
        <v>224352</v>
      </c>
      <c r="D608">
        <v>264942</v>
      </c>
      <c r="E608">
        <v>1860897</v>
      </c>
      <c r="F608">
        <v>259431</v>
      </c>
      <c r="G608">
        <v>141006</v>
      </c>
      <c r="H608">
        <v>616646</v>
      </c>
      <c r="I608">
        <v>-141514</v>
      </c>
      <c r="J608">
        <v>5496</v>
      </c>
      <c r="K608">
        <v>330961</v>
      </c>
      <c r="L608">
        <v>43876</v>
      </c>
      <c r="M608">
        <v>8.86</v>
      </c>
      <c r="N608">
        <f t="shared" si="27"/>
        <v>3606093</v>
      </c>
      <c r="O608">
        <v>22531350</v>
      </c>
      <c r="P608" s="2">
        <f t="shared" si="28"/>
        <v>16.004780006524243</v>
      </c>
      <c r="Q608" s="4">
        <f t="shared" si="29"/>
        <v>19.962776099999999</v>
      </c>
    </row>
    <row r="609" spans="1:17" x14ac:dyDescent="0.4">
      <c r="A609">
        <v>20210813</v>
      </c>
      <c r="B609" s="1">
        <v>0.64583333333333337</v>
      </c>
      <c r="C609">
        <v>266956</v>
      </c>
      <c r="D609">
        <v>297486</v>
      </c>
      <c r="E609">
        <v>1869542</v>
      </c>
      <c r="F609">
        <v>246812</v>
      </c>
      <c r="G609">
        <v>156650</v>
      </c>
      <c r="H609">
        <v>641431</v>
      </c>
      <c r="I609">
        <v>-147341</v>
      </c>
      <c r="J609">
        <v>810</v>
      </c>
      <c r="K609">
        <v>256516</v>
      </c>
      <c r="L609">
        <v>38332</v>
      </c>
      <c r="M609">
        <v>8.86</v>
      </c>
      <c r="N609">
        <f t="shared" si="27"/>
        <v>3627194</v>
      </c>
      <c r="O609">
        <v>22509450</v>
      </c>
      <c r="P609" s="2">
        <f t="shared" si="28"/>
        <v>16.114094302615126</v>
      </c>
      <c r="Q609" s="4">
        <f t="shared" si="29"/>
        <v>19.943372700000001</v>
      </c>
    </row>
    <row r="610" spans="1:17" x14ac:dyDescent="0.4">
      <c r="A610">
        <v>20210813</v>
      </c>
      <c r="B610" s="1">
        <v>0.66666666666666663</v>
      </c>
      <c r="C610">
        <v>176054</v>
      </c>
      <c r="D610">
        <v>399649</v>
      </c>
      <c r="E610">
        <v>1494038</v>
      </c>
      <c r="F610">
        <v>229489</v>
      </c>
      <c r="G610">
        <v>92510</v>
      </c>
      <c r="H610">
        <v>537139</v>
      </c>
      <c r="I610">
        <v>-116987</v>
      </c>
      <c r="J610">
        <v>-22232</v>
      </c>
      <c r="K610">
        <v>119559</v>
      </c>
      <c r="L610">
        <v>20980</v>
      </c>
      <c r="M610">
        <v>8.86</v>
      </c>
      <c r="N610">
        <f t="shared" si="27"/>
        <v>2930199</v>
      </c>
      <c r="O610">
        <v>23018050</v>
      </c>
      <c r="P610" s="2">
        <f t="shared" si="28"/>
        <v>12.730005365354581</v>
      </c>
      <c r="Q610" s="4">
        <f t="shared" si="29"/>
        <v>20.393992300000001</v>
      </c>
    </row>
    <row r="611" spans="1:17" x14ac:dyDescent="0.4">
      <c r="A611">
        <v>20210813</v>
      </c>
      <c r="B611" s="1">
        <v>0.6875</v>
      </c>
      <c r="C611">
        <v>118420</v>
      </c>
      <c r="D611">
        <v>373783</v>
      </c>
      <c r="E611">
        <v>1376500</v>
      </c>
      <c r="F611">
        <v>145929</v>
      </c>
      <c r="G611">
        <v>62637</v>
      </c>
      <c r="H611">
        <v>377531</v>
      </c>
      <c r="I611">
        <v>-107632</v>
      </c>
      <c r="J611">
        <v>-40177</v>
      </c>
      <c r="K611">
        <v>91214</v>
      </c>
      <c r="L611">
        <v>8194</v>
      </c>
      <c r="M611">
        <v>8.86</v>
      </c>
      <c r="N611">
        <f t="shared" si="27"/>
        <v>2406399</v>
      </c>
      <c r="O611">
        <v>23122100</v>
      </c>
      <c r="P611" s="2">
        <f t="shared" si="28"/>
        <v>10.407354868286186</v>
      </c>
      <c r="Q611" s="4">
        <f t="shared" si="29"/>
        <v>20.486180600000001</v>
      </c>
    </row>
    <row r="612" spans="1:17" x14ac:dyDescent="0.4">
      <c r="A612">
        <v>20210813</v>
      </c>
      <c r="B612" s="1">
        <v>0.70833333333333337</v>
      </c>
      <c r="C612">
        <v>135840</v>
      </c>
      <c r="D612">
        <v>408551</v>
      </c>
      <c r="E612">
        <v>1225249</v>
      </c>
      <c r="F612">
        <v>109656</v>
      </c>
      <c r="G612">
        <v>61047</v>
      </c>
      <c r="H612">
        <v>253490</v>
      </c>
      <c r="I612">
        <v>-39293</v>
      </c>
      <c r="J612">
        <v>-46845</v>
      </c>
      <c r="K612">
        <v>29892</v>
      </c>
      <c r="L612">
        <v>1817</v>
      </c>
      <c r="M612">
        <v>7.94</v>
      </c>
      <c r="N612">
        <f t="shared" si="27"/>
        <v>2139404</v>
      </c>
      <c r="O612">
        <v>22875750</v>
      </c>
      <c r="P612" s="2">
        <f t="shared" si="28"/>
        <v>9.3522791602461126</v>
      </c>
      <c r="Q612" s="4">
        <f t="shared" si="29"/>
        <v>18.163345499999998</v>
      </c>
    </row>
    <row r="613" spans="1:17" x14ac:dyDescent="0.4">
      <c r="A613">
        <v>20210813</v>
      </c>
      <c r="B613" s="1">
        <v>0.72916666666666663</v>
      </c>
      <c r="C613">
        <v>158086</v>
      </c>
      <c r="D613">
        <v>349228</v>
      </c>
      <c r="E613">
        <v>1225511</v>
      </c>
      <c r="F613">
        <v>97692</v>
      </c>
      <c r="G613">
        <v>32432</v>
      </c>
      <c r="H613">
        <v>213319</v>
      </c>
      <c r="I613">
        <v>-81387</v>
      </c>
      <c r="J613">
        <v>-41618</v>
      </c>
      <c r="K613">
        <v>-102987</v>
      </c>
      <c r="L613">
        <v>-4970</v>
      </c>
      <c r="M613">
        <v>8.86</v>
      </c>
      <c r="N613">
        <f t="shared" si="27"/>
        <v>1845306</v>
      </c>
      <c r="O613">
        <v>22698700</v>
      </c>
      <c r="P613" s="2">
        <f t="shared" si="28"/>
        <v>8.1295668914959887</v>
      </c>
      <c r="Q613" s="4">
        <f t="shared" si="29"/>
        <v>20.111048199999999</v>
      </c>
    </row>
    <row r="614" spans="1:17" x14ac:dyDescent="0.4">
      <c r="A614">
        <v>20210813</v>
      </c>
      <c r="B614" s="1">
        <v>0.75</v>
      </c>
      <c r="C614">
        <v>80430</v>
      </c>
      <c r="D614">
        <v>346817</v>
      </c>
      <c r="E614">
        <v>1067775</v>
      </c>
      <c r="F614">
        <v>9685</v>
      </c>
      <c r="G614">
        <v>47760</v>
      </c>
      <c r="H614">
        <v>216420</v>
      </c>
      <c r="I614">
        <v>-115167</v>
      </c>
      <c r="J614">
        <v>-31468</v>
      </c>
      <c r="K614">
        <v>-110683</v>
      </c>
      <c r="L614">
        <v>-3756</v>
      </c>
      <c r="M614">
        <v>8.14</v>
      </c>
      <c r="N614">
        <f t="shared" si="27"/>
        <v>1507813</v>
      </c>
      <c r="O614">
        <v>22188150</v>
      </c>
      <c r="P614" s="2">
        <f t="shared" si="28"/>
        <v>6.7955778196920429</v>
      </c>
      <c r="Q614" s="4">
        <f t="shared" si="29"/>
        <v>18.0611541</v>
      </c>
    </row>
    <row r="615" spans="1:17" x14ac:dyDescent="0.4">
      <c r="A615">
        <v>20210813</v>
      </c>
      <c r="B615" s="1">
        <v>0.77083333333333337</v>
      </c>
      <c r="C615">
        <v>126985</v>
      </c>
      <c r="D615">
        <v>368741</v>
      </c>
      <c r="E615">
        <v>1126345</v>
      </c>
      <c r="F615">
        <v>28636</v>
      </c>
      <c r="G615">
        <v>37522</v>
      </c>
      <c r="H615">
        <v>83271</v>
      </c>
      <c r="I615">
        <v>-61304</v>
      </c>
      <c r="J615">
        <v>-20908</v>
      </c>
      <c r="K615">
        <v>-124730</v>
      </c>
      <c r="L615">
        <v>-4151</v>
      </c>
      <c r="M615">
        <v>8.11</v>
      </c>
      <c r="N615">
        <f t="shared" si="27"/>
        <v>1560407</v>
      </c>
      <c r="O615">
        <v>21940500</v>
      </c>
      <c r="P615" s="2">
        <f t="shared" si="28"/>
        <v>7.1119938014174702</v>
      </c>
      <c r="Q615" s="4">
        <f t="shared" si="29"/>
        <v>17.7937455</v>
      </c>
    </row>
    <row r="616" spans="1:17" x14ac:dyDescent="0.4">
      <c r="A616">
        <v>20210813</v>
      </c>
      <c r="B616" s="1">
        <v>0.79166666666666663</v>
      </c>
      <c r="C616">
        <v>127123</v>
      </c>
      <c r="D616">
        <v>410861</v>
      </c>
      <c r="E616">
        <v>1207165</v>
      </c>
      <c r="F616">
        <v>73975</v>
      </c>
      <c r="G616">
        <v>39231</v>
      </c>
      <c r="H616">
        <v>153338</v>
      </c>
      <c r="I616">
        <v>-41969</v>
      </c>
      <c r="J616">
        <v>-17628</v>
      </c>
      <c r="K616">
        <v>-129560</v>
      </c>
      <c r="L616">
        <v>-7919</v>
      </c>
      <c r="M616">
        <v>7.93</v>
      </c>
      <c r="N616">
        <f t="shared" si="27"/>
        <v>1814617</v>
      </c>
      <c r="O616">
        <v>21323550</v>
      </c>
      <c r="P616" s="2">
        <f t="shared" si="28"/>
        <v>8.5099197835257261</v>
      </c>
      <c r="Q616" s="4">
        <f t="shared" si="29"/>
        <v>16.909575149999998</v>
      </c>
    </row>
    <row r="617" spans="1:17" x14ac:dyDescent="0.4">
      <c r="A617">
        <v>20210813</v>
      </c>
      <c r="B617" s="1">
        <v>0.8125</v>
      </c>
      <c r="C617">
        <v>81746</v>
      </c>
      <c r="D617">
        <v>448614</v>
      </c>
      <c r="E617">
        <v>1104318</v>
      </c>
      <c r="F617">
        <v>25281</v>
      </c>
      <c r="G617">
        <v>36198</v>
      </c>
      <c r="H617">
        <v>73121</v>
      </c>
      <c r="I617">
        <v>-13374</v>
      </c>
      <c r="J617">
        <v>-107</v>
      </c>
      <c r="K617">
        <v>82471</v>
      </c>
      <c r="L617">
        <v>-9251</v>
      </c>
      <c r="M617">
        <v>7.59</v>
      </c>
      <c r="N617">
        <f t="shared" si="27"/>
        <v>1829017</v>
      </c>
      <c r="O617">
        <v>21555400</v>
      </c>
      <c r="P617" s="2">
        <f t="shared" si="28"/>
        <v>8.4851916457129075</v>
      </c>
      <c r="Q617" s="4">
        <f t="shared" si="29"/>
        <v>16.360548600000001</v>
      </c>
    </row>
    <row r="618" spans="1:17" x14ac:dyDescent="0.4">
      <c r="A618">
        <v>20210813</v>
      </c>
      <c r="B618" s="1">
        <v>0.83333333333333337</v>
      </c>
      <c r="C618">
        <v>38827</v>
      </c>
      <c r="D618">
        <v>433021</v>
      </c>
      <c r="E618">
        <v>1012802</v>
      </c>
      <c r="F618">
        <v>-958</v>
      </c>
      <c r="G618">
        <v>40121</v>
      </c>
      <c r="H618">
        <v>172883</v>
      </c>
      <c r="I618">
        <v>-13750</v>
      </c>
      <c r="J618">
        <v>5435</v>
      </c>
      <c r="K618">
        <v>83076</v>
      </c>
      <c r="L618">
        <v>-18101</v>
      </c>
      <c r="M618">
        <v>7.35</v>
      </c>
      <c r="N618">
        <f t="shared" si="27"/>
        <v>1753356</v>
      </c>
      <c r="O618">
        <v>20601550</v>
      </c>
      <c r="P618" s="2">
        <f t="shared" si="28"/>
        <v>8.5107965177377434</v>
      </c>
      <c r="Q618" s="4">
        <f t="shared" si="29"/>
        <v>15.14213925</v>
      </c>
    </row>
    <row r="619" spans="1:17" x14ac:dyDescent="0.4">
      <c r="A619">
        <v>20210813</v>
      </c>
      <c r="B619" s="1">
        <v>0.85416666666666663</v>
      </c>
      <c r="C619">
        <v>44840</v>
      </c>
      <c r="D619">
        <v>438699</v>
      </c>
      <c r="E619">
        <v>901494</v>
      </c>
      <c r="F619">
        <v>-51445</v>
      </c>
      <c r="G619">
        <v>29142</v>
      </c>
      <c r="H619">
        <v>49099</v>
      </c>
      <c r="I619">
        <v>-6005</v>
      </c>
      <c r="J619">
        <v>7380</v>
      </c>
      <c r="K619">
        <v>45682</v>
      </c>
      <c r="L619">
        <v>-10637</v>
      </c>
      <c r="M619">
        <v>7.16</v>
      </c>
      <c r="N619">
        <f t="shared" si="27"/>
        <v>1448249</v>
      </c>
      <c r="O619">
        <v>20738600</v>
      </c>
      <c r="P619" s="2">
        <f t="shared" si="28"/>
        <v>6.9833498886135033</v>
      </c>
      <c r="Q619" s="4">
        <f t="shared" si="29"/>
        <v>14.8488376</v>
      </c>
    </row>
    <row r="620" spans="1:17" x14ac:dyDescent="0.4">
      <c r="A620">
        <v>20210813</v>
      </c>
      <c r="B620" s="1">
        <v>0.875</v>
      </c>
      <c r="C620">
        <v>38251</v>
      </c>
      <c r="D620">
        <v>413703</v>
      </c>
      <c r="E620">
        <v>820963</v>
      </c>
      <c r="F620">
        <v>-3308</v>
      </c>
      <c r="G620">
        <v>3673</v>
      </c>
      <c r="H620">
        <v>-10562</v>
      </c>
      <c r="I620">
        <v>-21195</v>
      </c>
      <c r="J620">
        <v>7033</v>
      </c>
      <c r="K620">
        <v>66972</v>
      </c>
      <c r="L620">
        <v>-17353</v>
      </c>
      <c r="M620">
        <v>7.03</v>
      </c>
      <c r="N620">
        <f t="shared" si="27"/>
        <v>1298177</v>
      </c>
      <c r="O620">
        <v>20633450</v>
      </c>
      <c r="P620" s="2">
        <f t="shared" si="28"/>
        <v>6.291613860018562</v>
      </c>
      <c r="Q620" s="4">
        <f t="shared" si="29"/>
        <v>14.50531535</v>
      </c>
    </row>
    <row r="621" spans="1:17" x14ac:dyDescent="0.4">
      <c r="A621">
        <v>20210813</v>
      </c>
      <c r="B621" s="1">
        <v>0.89583333333333337</v>
      </c>
      <c r="C621">
        <v>62005</v>
      </c>
      <c r="D621">
        <v>414379</v>
      </c>
      <c r="E621">
        <v>758695</v>
      </c>
      <c r="F621">
        <v>-43496</v>
      </c>
      <c r="G621">
        <v>-13643</v>
      </c>
      <c r="H621">
        <v>-33687</v>
      </c>
      <c r="I621">
        <v>-14213</v>
      </c>
      <c r="J621">
        <v>5943</v>
      </c>
      <c r="K621">
        <v>59531</v>
      </c>
      <c r="L621">
        <v>-9693</v>
      </c>
      <c r="M621">
        <v>6.95</v>
      </c>
      <c r="N621">
        <f t="shared" si="27"/>
        <v>1185821</v>
      </c>
      <c r="O621">
        <v>20469250</v>
      </c>
      <c r="P621" s="2">
        <f t="shared" si="28"/>
        <v>5.7931824566117465</v>
      </c>
      <c r="Q621" s="4">
        <f t="shared" si="29"/>
        <v>14.226128750000001</v>
      </c>
    </row>
    <row r="622" spans="1:17" x14ac:dyDescent="0.4">
      <c r="A622">
        <v>20210813</v>
      </c>
      <c r="B622" s="1">
        <v>0.91666666666666663</v>
      </c>
      <c r="C622">
        <v>63869</v>
      </c>
      <c r="D622">
        <v>442454</v>
      </c>
      <c r="E622">
        <v>525789</v>
      </c>
      <c r="F622">
        <v>-7183</v>
      </c>
      <c r="G622">
        <v>-14575</v>
      </c>
      <c r="H622">
        <v>-160826</v>
      </c>
      <c r="I622">
        <v>-36286</v>
      </c>
      <c r="J622">
        <v>11177</v>
      </c>
      <c r="K622">
        <v>55576</v>
      </c>
      <c r="L622">
        <v>-8461</v>
      </c>
      <c r="M622">
        <v>6.95</v>
      </c>
      <c r="N622">
        <f t="shared" si="27"/>
        <v>871534</v>
      </c>
      <c r="O622">
        <v>20375250</v>
      </c>
      <c r="P622" s="2">
        <f t="shared" si="28"/>
        <v>4.2774150010429324</v>
      </c>
      <c r="Q622" s="4">
        <f t="shared" si="29"/>
        <v>14.16079875</v>
      </c>
    </row>
    <row r="623" spans="1:17" x14ac:dyDescent="0.4">
      <c r="A623">
        <v>20210813</v>
      </c>
      <c r="B623" s="1">
        <v>0.9375</v>
      </c>
      <c r="C623">
        <v>28537</v>
      </c>
      <c r="D623">
        <v>349916</v>
      </c>
      <c r="E623">
        <v>344586</v>
      </c>
      <c r="F623">
        <v>-53191</v>
      </c>
      <c r="G623">
        <v>-22391</v>
      </c>
      <c r="H623">
        <v>-197262</v>
      </c>
      <c r="I623">
        <v>-13581</v>
      </c>
      <c r="J623">
        <v>-9456</v>
      </c>
      <c r="K623">
        <v>70062</v>
      </c>
      <c r="L623">
        <v>365</v>
      </c>
      <c r="M623">
        <v>6.87</v>
      </c>
      <c r="N623">
        <f t="shared" si="27"/>
        <v>497585</v>
      </c>
      <c r="O623">
        <v>20032600</v>
      </c>
      <c r="P623" s="2">
        <f t="shared" si="28"/>
        <v>2.4838762816608928</v>
      </c>
      <c r="Q623" s="4">
        <f t="shared" si="29"/>
        <v>13.7623962</v>
      </c>
    </row>
    <row r="624" spans="1:17" x14ac:dyDescent="0.4">
      <c r="A624">
        <v>20210813</v>
      </c>
      <c r="B624" s="1">
        <v>0.95833333333333337</v>
      </c>
      <c r="C624">
        <v>62054</v>
      </c>
      <c r="D624">
        <v>313773</v>
      </c>
      <c r="E624">
        <v>288221</v>
      </c>
      <c r="F624">
        <v>-98997</v>
      </c>
      <c r="G624">
        <v>-27844</v>
      </c>
      <c r="H624">
        <v>-208153</v>
      </c>
      <c r="I624">
        <v>-64533</v>
      </c>
      <c r="J624">
        <v>3571</v>
      </c>
      <c r="K624">
        <v>-40726</v>
      </c>
      <c r="L624">
        <v>-15617</v>
      </c>
      <c r="M624">
        <v>6.99</v>
      </c>
      <c r="N624">
        <f t="shared" si="27"/>
        <v>211749</v>
      </c>
      <c r="O624">
        <v>19506900</v>
      </c>
      <c r="P624" s="2">
        <f t="shared" si="28"/>
        <v>1.0855082047890747</v>
      </c>
      <c r="Q624" s="4">
        <f t="shared" si="29"/>
        <v>13.635323100000001</v>
      </c>
    </row>
    <row r="625" spans="1:17" x14ac:dyDescent="0.4">
      <c r="A625">
        <v>20210813</v>
      </c>
      <c r="B625" s="1">
        <v>0.97916666666666663</v>
      </c>
      <c r="C625">
        <v>51943</v>
      </c>
      <c r="D625">
        <v>339705</v>
      </c>
      <c r="E625">
        <v>179664</v>
      </c>
      <c r="F625">
        <v>-158982</v>
      </c>
      <c r="G625">
        <v>-38211</v>
      </c>
      <c r="H625">
        <v>-155701</v>
      </c>
      <c r="I625">
        <v>-100792</v>
      </c>
      <c r="J625">
        <v>-12837</v>
      </c>
      <c r="K625">
        <v>-9453</v>
      </c>
      <c r="L625">
        <v>-9262</v>
      </c>
      <c r="M625">
        <v>6.55</v>
      </c>
      <c r="N625">
        <f t="shared" si="27"/>
        <v>86074</v>
      </c>
      <c r="O625">
        <v>18651150</v>
      </c>
      <c r="P625" s="2">
        <f t="shared" si="28"/>
        <v>0.46149433144873103</v>
      </c>
      <c r="Q625" s="4">
        <f t="shared" si="29"/>
        <v>12.216503250000001</v>
      </c>
    </row>
    <row r="626" spans="1:17" x14ac:dyDescent="0.4">
      <c r="A626">
        <v>20210814</v>
      </c>
      <c r="B626" s="1">
        <v>0</v>
      </c>
      <c r="C626">
        <v>83170</v>
      </c>
      <c r="D626">
        <v>324654</v>
      </c>
      <c r="E626">
        <v>413804</v>
      </c>
      <c r="F626">
        <v>-177026</v>
      </c>
      <c r="G626">
        <v>22694</v>
      </c>
      <c r="H626">
        <v>-175898</v>
      </c>
      <c r="I626">
        <v>-77756</v>
      </c>
      <c r="J626">
        <v>28402</v>
      </c>
      <c r="K626">
        <v>58998</v>
      </c>
      <c r="L626">
        <v>-13022</v>
      </c>
      <c r="M626">
        <v>6.27</v>
      </c>
      <c r="N626">
        <f t="shared" si="27"/>
        <v>488020</v>
      </c>
      <c r="O626">
        <v>17774450</v>
      </c>
      <c r="P626" s="2">
        <f t="shared" si="28"/>
        <v>2.7456264469505385</v>
      </c>
      <c r="Q626" s="4">
        <f t="shared" si="29"/>
        <v>11.144580149999998</v>
      </c>
    </row>
    <row r="627" spans="1:17" x14ac:dyDescent="0.4">
      <c r="A627">
        <v>20210814</v>
      </c>
      <c r="B627" s="1">
        <v>2.0833333333333332E-2</v>
      </c>
      <c r="C627">
        <v>92625</v>
      </c>
      <c r="D627">
        <v>271894</v>
      </c>
      <c r="E627">
        <v>462178</v>
      </c>
      <c r="F627">
        <v>-97176</v>
      </c>
      <c r="G627">
        <v>3632</v>
      </c>
      <c r="H627">
        <v>-250380</v>
      </c>
      <c r="I627">
        <v>-141706</v>
      </c>
      <c r="J627">
        <v>19502</v>
      </c>
      <c r="K627">
        <v>5644</v>
      </c>
      <c r="L627">
        <v>-2836</v>
      </c>
      <c r="M627">
        <v>6.15</v>
      </c>
      <c r="N627">
        <f t="shared" si="27"/>
        <v>363377</v>
      </c>
      <c r="O627">
        <v>18497450</v>
      </c>
      <c r="P627" s="2">
        <f t="shared" si="28"/>
        <v>1.9644707784045909</v>
      </c>
      <c r="Q627" s="4">
        <f t="shared" si="29"/>
        <v>11.375931749999999</v>
      </c>
    </row>
    <row r="628" spans="1:17" x14ac:dyDescent="0.4">
      <c r="A628">
        <v>20210814</v>
      </c>
      <c r="B628" s="1">
        <v>4.1666666666666664E-2</v>
      </c>
      <c r="C628">
        <v>62711</v>
      </c>
      <c r="D628">
        <v>227622</v>
      </c>
      <c r="E628">
        <v>249280</v>
      </c>
      <c r="F628">
        <v>-106794</v>
      </c>
      <c r="G628">
        <v>2222</v>
      </c>
      <c r="H628">
        <v>-248615</v>
      </c>
      <c r="I628">
        <v>-63914</v>
      </c>
      <c r="J628">
        <v>17959</v>
      </c>
      <c r="K628">
        <v>-15697</v>
      </c>
      <c r="L628">
        <v>-10192</v>
      </c>
      <c r="M628">
        <v>6.19</v>
      </c>
      <c r="N628">
        <f t="shared" si="27"/>
        <v>114582</v>
      </c>
      <c r="O628">
        <v>18712850</v>
      </c>
      <c r="P628" s="2">
        <f t="shared" si="28"/>
        <v>0.61231720448782523</v>
      </c>
      <c r="Q628" s="4">
        <f t="shared" si="29"/>
        <v>11.58325415</v>
      </c>
    </row>
    <row r="629" spans="1:17" x14ac:dyDescent="0.4">
      <c r="A629">
        <v>20210814</v>
      </c>
      <c r="B629" s="1">
        <v>6.25E-2</v>
      </c>
      <c r="C629">
        <v>80548</v>
      </c>
      <c r="D629">
        <v>239872</v>
      </c>
      <c r="E629">
        <v>282755</v>
      </c>
      <c r="F629">
        <v>-94412</v>
      </c>
      <c r="G629">
        <v>-2928</v>
      </c>
      <c r="H629">
        <v>-251424</v>
      </c>
      <c r="I629">
        <v>-98091</v>
      </c>
      <c r="J629">
        <v>15995</v>
      </c>
      <c r="K629">
        <v>25522</v>
      </c>
      <c r="L629">
        <v>-6428</v>
      </c>
      <c r="M629">
        <v>6.08</v>
      </c>
      <c r="N629">
        <f t="shared" si="27"/>
        <v>191409</v>
      </c>
      <c r="O629">
        <v>18462700</v>
      </c>
      <c r="P629" s="2">
        <f t="shared" si="28"/>
        <v>1.0367335221825627</v>
      </c>
      <c r="Q629" s="4">
        <f t="shared" si="29"/>
        <v>11.225321599999999</v>
      </c>
    </row>
    <row r="630" spans="1:17" x14ac:dyDescent="0.4">
      <c r="A630">
        <v>20210814</v>
      </c>
      <c r="B630" s="1">
        <v>8.3333333333333329E-2</v>
      </c>
      <c r="C630">
        <v>69858</v>
      </c>
      <c r="D630">
        <v>270960</v>
      </c>
      <c r="E630">
        <v>92619</v>
      </c>
      <c r="F630">
        <v>-155651</v>
      </c>
      <c r="G630">
        <v>-9653</v>
      </c>
      <c r="H630">
        <v>-177122</v>
      </c>
      <c r="I630">
        <v>-77065</v>
      </c>
      <c r="J630">
        <v>25460</v>
      </c>
      <c r="K630">
        <v>-7030</v>
      </c>
      <c r="L630">
        <v>941</v>
      </c>
      <c r="M630">
        <v>6.08</v>
      </c>
      <c r="N630">
        <f t="shared" si="27"/>
        <v>33317</v>
      </c>
      <c r="O630">
        <v>18807200</v>
      </c>
      <c r="P630" s="2">
        <f t="shared" si="28"/>
        <v>0.17715024033348931</v>
      </c>
      <c r="Q630" s="4">
        <f t="shared" si="29"/>
        <v>11.4347776</v>
      </c>
    </row>
    <row r="631" spans="1:17" x14ac:dyDescent="0.4">
      <c r="A631">
        <v>20210814</v>
      </c>
      <c r="B631" s="1">
        <v>0.10416666666666667</v>
      </c>
      <c r="C631">
        <v>62653</v>
      </c>
      <c r="D631">
        <v>270377</v>
      </c>
      <c r="E631">
        <v>109652</v>
      </c>
      <c r="F631">
        <v>-139438</v>
      </c>
      <c r="G631">
        <v>-21663</v>
      </c>
      <c r="H631">
        <v>-218941</v>
      </c>
      <c r="I631">
        <v>-146898</v>
      </c>
      <c r="J631">
        <v>7963</v>
      </c>
      <c r="K631">
        <v>-29654</v>
      </c>
      <c r="L631">
        <v>-4032</v>
      </c>
      <c r="M631">
        <v>6.17</v>
      </c>
      <c r="N631">
        <f t="shared" si="27"/>
        <v>-109981</v>
      </c>
      <c r="O631">
        <v>19123250</v>
      </c>
      <c r="P631" s="2">
        <f t="shared" si="28"/>
        <v>-0.57511667734302485</v>
      </c>
      <c r="Q631" s="4">
        <f t="shared" si="29"/>
        <v>11.799045250000001</v>
      </c>
    </row>
    <row r="632" spans="1:17" x14ac:dyDescent="0.4">
      <c r="A632">
        <v>20210814</v>
      </c>
      <c r="B632" s="1">
        <v>0.125</v>
      </c>
      <c r="C632">
        <v>77253</v>
      </c>
      <c r="D632">
        <v>303763</v>
      </c>
      <c r="E632">
        <v>4697</v>
      </c>
      <c r="F632">
        <v>-223469</v>
      </c>
      <c r="G632">
        <v>-68217</v>
      </c>
      <c r="H632">
        <v>-196269</v>
      </c>
      <c r="I632">
        <v>-122888</v>
      </c>
      <c r="J632">
        <v>25282</v>
      </c>
      <c r="K632">
        <v>-64333</v>
      </c>
      <c r="L632">
        <v>-5224</v>
      </c>
      <c r="M632">
        <v>6.33</v>
      </c>
      <c r="N632">
        <f t="shared" si="27"/>
        <v>-269405</v>
      </c>
      <c r="O632">
        <v>19023350</v>
      </c>
      <c r="P632" s="2">
        <f t="shared" si="28"/>
        <v>-1.4161806411594173</v>
      </c>
      <c r="Q632" s="4">
        <f t="shared" si="29"/>
        <v>12.04178055</v>
      </c>
    </row>
    <row r="633" spans="1:17" x14ac:dyDescent="0.4">
      <c r="A633">
        <v>20210814</v>
      </c>
      <c r="B633" s="1">
        <v>0.14583333333333334</v>
      </c>
      <c r="C633">
        <v>57753</v>
      </c>
      <c r="D633">
        <v>250034</v>
      </c>
      <c r="E633">
        <v>157683</v>
      </c>
      <c r="F633">
        <v>-148321</v>
      </c>
      <c r="G633">
        <v>-64355</v>
      </c>
      <c r="H633">
        <v>-254837</v>
      </c>
      <c r="I633">
        <v>-54976</v>
      </c>
      <c r="J633">
        <v>21765</v>
      </c>
      <c r="K633">
        <v>-116385</v>
      </c>
      <c r="L633">
        <v>244</v>
      </c>
      <c r="M633">
        <v>6.33</v>
      </c>
      <c r="N633">
        <f t="shared" si="27"/>
        <v>-151395</v>
      </c>
      <c r="O633">
        <v>19139850</v>
      </c>
      <c r="P633" s="2">
        <f t="shared" si="28"/>
        <v>-0.7909936598249202</v>
      </c>
      <c r="Q633" s="4">
        <f t="shared" si="29"/>
        <v>12.11552505</v>
      </c>
    </row>
    <row r="634" spans="1:17" x14ac:dyDescent="0.4">
      <c r="A634">
        <v>20210814</v>
      </c>
      <c r="B634" s="1">
        <v>0.16666666666666666</v>
      </c>
      <c r="C634">
        <v>89638</v>
      </c>
      <c r="D634">
        <v>312799</v>
      </c>
      <c r="E634">
        <v>73092</v>
      </c>
      <c r="F634">
        <v>-154207</v>
      </c>
      <c r="G634">
        <v>-45178</v>
      </c>
      <c r="H634">
        <v>-238651</v>
      </c>
      <c r="I634">
        <v>-47234</v>
      </c>
      <c r="J634">
        <v>43803</v>
      </c>
      <c r="K634">
        <v>-130307</v>
      </c>
      <c r="L634">
        <v>-2258</v>
      </c>
      <c r="M634">
        <v>6.36</v>
      </c>
      <c r="N634">
        <f t="shared" si="27"/>
        <v>-98503</v>
      </c>
      <c r="O634">
        <v>18845850</v>
      </c>
      <c r="P634" s="2">
        <f t="shared" si="28"/>
        <v>-0.52267740643165472</v>
      </c>
      <c r="Q634" s="4">
        <f t="shared" si="29"/>
        <v>11.9859606</v>
      </c>
    </row>
    <row r="635" spans="1:17" x14ac:dyDescent="0.4">
      <c r="A635">
        <v>20210814</v>
      </c>
      <c r="B635" s="1">
        <v>0.1875</v>
      </c>
      <c r="C635">
        <v>38922</v>
      </c>
      <c r="D635">
        <v>285639</v>
      </c>
      <c r="E635">
        <v>135556</v>
      </c>
      <c r="F635">
        <v>-107524</v>
      </c>
      <c r="G635">
        <v>-57955</v>
      </c>
      <c r="H635">
        <v>-233348</v>
      </c>
      <c r="I635">
        <v>-40149</v>
      </c>
      <c r="J635">
        <v>35315</v>
      </c>
      <c r="K635">
        <v>-89804</v>
      </c>
      <c r="L635">
        <v>-4929</v>
      </c>
      <c r="M635">
        <v>6.35</v>
      </c>
      <c r="N635">
        <f t="shared" si="27"/>
        <v>-38277</v>
      </c>
      <c r="O635">
        <v>19016900</v>
      </c>
      <c r="P635" s="2">
        <f t="shared" si="28"/>
        <v>-0.20127886248547344</v>
      </c>
      <c r="Q635" s="4">
        <f t="shared" si="29"/>
        <v>12.0757315</v>
      </c>
    </row>
    <row r="636" spans="1:17" x14ac:dyDescent="0.4">
      <c r="A636">
        <v>20210814</v>
      </c>
      <c r="B636" s="1">
        <v>0.20833333333333334</v>
      </c>
      <c r="C636">
        <v>58058</v>
      </c>
      <c r="D636">
        <v>325520</v>
      </c>
      <c r="E636">
        <v>127282</v>
      </c>
      <c r="F636">
        <v>-131146</v>
      </c>
      <c r="G636">
        <v>-42897</v>
      </c>
      <c r="H636">
        <v>-203040</v>
      </c>
      <c r="I636">
        <v>-68458</v>
      </c>
      <c r="J636">
        <v>47406</v>
      </c>
      <c r="K636">
        <v>-18544</v>
      </c>
      <c r="L636">
        <v>-9164</v>
      </c>
      <c r="M636">
        <v>6.35</v>
      </c>
      <c r="N636">
        <f t="shared" si="27"/>
        <v>85017</v>
      </c>
      <c r="O636">
        <v>18978100</v>
      </c>
      <c r="P636" s="2">
        <f t="shared" si="28"/>
        <v>0.44797424399702818</v>
      </c>
      <c r="Q636" s="4">
        <f t="shared" si="29"/>
        <v>12.0510935</v>
      </c>
    </row>
    <row r="637" spans="1:17" x14ac:dyDescent="0.4">
      <c r="A637">
        <v>20210814</v>
      </c>
      <c r="B637" s="1">
        <v>0.22916666666666666</v>
      </c>
      <c r="C637">
        <v>82854</v>
      </c>
      <c r="D637">
        <v>362801</v>
      </c>
      <c r="E637">
        <v>179249</v>
      </c>
      <c r="F637">
        <v>-20775</v>
      </c>
      <c r="G637">
        <v>14331</v>
      </c>
      <c r="H637">
        <v>-151931</v>
      </c>
      <c r="I637">
        <v>-90131</v>
      </c>
      <c r="J637">
        <v>47381</v>
      </c>
      <c r="K637">
        <v>-69439</v>
      </c>
      <c r="L637">
        <v>-4879</v>
      </c>
      <c r="M637">
        <v>6.35</v>
      </c>
      <c r="N637">
        <f t="shared" si="27"/>
        <v>349461</v>
      </c>
      <c r="O637">
        <v>19116250</v>
      </c>
      <c r="P637" s="2">
        <f t="shared" si="28"/>
        <v>1.8280834368665402</v>
      </c>
      <c r="Q637" s="4">
        <f t="shared" si="29"/>
        <v>12.13881875</v>
      </c>
    </row>
    <row r="638" spans="1:17" x14ac:dyDescent="0.4">
      <c r="A638">
        <v>20210814</v>
      </c>
      <c r="B638" s="1">
        <v>0.25</v>
      </c>
      <c r="C638">
        <v>139297</v>
      </c>
      <c r="D638">
        <v>359952</v>
      </c>
      <c r="E638">
        <v>274615</v>
      </c>
      <c r="F638">
        <v>-62833</v>
      </c>
      <c r="G638">
        <v>34062</v>
      </c>
      <c r="H638">
        <v>-167742</v>
      </c>
      <c r="I638">
        <v>8704</v>
      </c>
      <c r="J638">
        <v>51228</v>
      </c>
      <c r="K638">
        <v>-16962</v>
      </c>
      <c r="L638">
        <v>-1560</v>
      </c>
      <c r="M638">
        <v>6.28</v>
      </c>
      <c r="N638">
        <f t="shared" si="27"/>
        <v>618761</v>
      </c>
      <c r="O638">
        <v>19291900</v>
      </c>
      <c r="P638" s="2">
        <f t="shared" si="28"/>
        <v>3.207361638822511</v>
      </c>
      <c r="Q638" s="4">
        <f t="shared" si="29"/>
        <v>12.115313199999999</v>
      </c>
    </row>
    <row r="639" spans="1:17" x14ac:dyDescent="0.4">
      <c r="A639">
        <v>20210814</v>
      </c>
      <c r="B639" s="1">
        <v>0.27083333333333331</v>
      </c>
      <c r="C639">
        <v>116669</v>
      </c>
      <c r="D639">
        <v>342684</v>
      </c>
      <c r="E639">
        <v>515936</v>
      </c>
      <c r="F639">
        <v>-13557</v>
      </c>
      <c r="G639">
        <v>62477</v>
      </c>
      <c r="H639">
        <v>-73217</v>
      </c>
      <c r="I639">
        <v>24685</v>
      </c>
      <c r="J639">
        <v>27133</v>
      </c>
      <c r="K639">
        <v>-35035</v>
      </c>
      <c r="L639">
        <v>-4940</v>
      </c>
      <c r="M639">
        <v>6.35</v>
      </c>
      <c r="N639">
        <f t="shared" si="27"/>
        <v>962835</v>
      </c>
      <c r="O639">
        <v>19599750</v>
      </c>
      <c r="P639" s="2">
        <f t="shared" si="28"/>
        <v>4.9124861286495998</v>
      </c>
      <c r="Q639" s="4">
        <f t="shared" si="29"/>
        <v>12.445841250000001</v>
      </c>
    </row>
    <row r="640" spans="1:17" x14ac:dyDescent="0.4">
      <c r="A640">
        <v>20210814</v>
      </c>
      <c r="B640" s="1">
        <v>0.29166666666666669</v>
      </c>
      <c r="C640">
        <v>188772</v>
      </c>
      <c r="D640">
        <v>374549</v>
      </c>
      <c r="E640">
        <v>518093</v>
      </c>
      <c r="F640">
        <v>-84504</v>
      </c>
      <c r="G640">
        <v>92600</v>
      </c>
      <c r="H640">
        <v>-30746</v>
      </c>
      <c r="I640">
        <v>64431</v>
      </c>
      <c r="J640">
        <v>22792</v>
      </c>
      <c r="K640">
        <v>-127547</v>
      </c>
      <c r="L640">
        <v>3270</v>
      </c>
      <c r="M640">
        <v>6.48</v>
      </c>
      <c r="N640">
        <f t="shared" si="27"/>
        <v>1021710</v>
      </c>
      <c r="O640">
        <v>19815700</v>
      </c>
      <c r="P640" s="2">
        <f t="shared" si="28"/>
        <v>5.1560631216661532</v>
      </c>
      <c r="Q640" s="4">
        <f t="shared" si="29"/>
        <v>12.840573600000001</v>
      </c>
    </row>
    <row r="641" spans="1:17" x14ac:dyDescent="0.4">
      <c r="A641">
        <v>20210814</v>
      </c>
      <c r="B641" s="1">
        <v>0.3125</v>
      </c>
      <c r="C641">
        <v>168281</v>
      </c>
      <c r="D641">
        <v>352040</v>
      </c>
      <c r="E641">
        <v>545223</v>
      </c>
      <c r="F641">
        <v>-172177</v>
      </c>
      <c r="G641">
        <v>98329</v>
      </c>
      <c r="H641">
        <v>110619</v>
      </c>
      <c r="I641">
        <v>41319</v>
      </c>
      <c r="J641">
        <v>-24889</v>
      </c>
      <c r="K641">
        <v>-46386</v>
      </c>
      <c r="L641">
        <v>-2611</v>
      </c>
      <c r="M641">
        <v>6.54</v>
      </c>
      <c r="N641">
        <f t="shared" si="27"/>
        <v>1069748</v>
      </c>
      <c r="O641">
        <v>19794750</v>
      </c>
      <c r="P641" s="2">
        <f t="shared" si="28"/>
        <v>5.4042006087472689</v>
      </c>
      <c r="Q641" s="4">
        <f t="shared" si="29"/>
        <v>12.9457665</v>
      </c>
    </row>
    <row r="642" spans="1:17" x14ac:dyDescent="0.4">
      <c r="A642">
        <v>20210814</v>
      </c>
      <c r="B642" s="1">
        <v>0.33333333333333331</v>
      </c>
      <c r="C642">
        <v>179978</v>
      </c>
      <c r="D642">
        <v>450522</v>
      </c>
      <c r="E642">
        <v>719995</v>
      </c>
      <c r="F642">
        <v>590</v>
      </c>
      <c r="G642">
        <v>102624</v>
      </c>
      <c r="H642">
        <v>74291</v>
      </c>
      <c r="I642">
        <v>-83364</v>
      </c>
      <c r="J642">
        <v>-27256</v>
      </c>
      <c r="K642">
        <v>-29748</v>
      </c>
      <c r="L642">
        <v>5079</v>
      </c>
      <c r="M642">
        <v>7.36</v>
      </c>
      <c r="N642">
        <f t="shared" si="27"/>
        <v>1392711</v>
      </c>
      <c r="O642">
        <v>20095250</v>
      </c>
      <c r="P642" s="2">
        <f t="shared" si="28"/>
        <v>6.9305482638932085</v>
      </c>
      <c r="Q642" s="4">
        <f t="shared" si="29"/>
        <v>14.790103999999999</v>
      </c>
    </row>
    <row r="643" spans="1:17" x14ac:dyDescent="0.4">
      <c r="A643">
        <v>20210814</v>
      </c>
      <c r="B643" s="1">
        <v>0.35416666666666669</v>
      </c>
      <c r="C643">
        <v>180937</v>
      </c>
      <c r="D643">
        <v>327223</v>
      </c>
      <c r="E643">
        <v>451000</v>
      </c>
      <c r="F643">
        <v>71969</v>
      </c>
      <c r="G643">
        <v>55082</v>
      </c>
      <c r="H643">
        <v>162788</v>
      </c>
      <c r="I643">
        <v>-88683</v>
      </c>
      <c r="J643">
        <v>-28513</v>
      </c>
      <c r="K643">
        <v>93715</v>
      </c>
      <c r="L643">
        <v>-468</v>
      </c>
      <c r="M643">
        <v>8.57</v>
      </c>
      <c r="N643">
        <f t="shared" ref="N643:N706" si="30">C643+D643+E643+F643+G643+H643+I643+J643+K643+L643</f>
        <v>1225050</v>
      </c>
      <c r="O643">
        <v>19995050</v>
      </c>
      <c r="P643" s="2">
        <f t="shared" ref="P643:P706" si="31">((N643*100)/O643)</f>
        <v>6.1267663746777323</v>
      </c>
      <c r="Q643" s="4">
        <f t="shared" ref="Q643:Q706" si="32">(M643*O643)/10^7</f>
        <v>17.135757850000001</v>
      </c>
    </row>
    <row r="644" spans="1:17" x14ac:dyDescent="0.4">
      <c r="A644">
        <v>20210814</v>
      </c>
      <c r="B644" s="1">
        <v>0.375</v>
      </c>
      <c r="C644">
        <v>225465</v>
      </c>
      <c r="D644">
        <v>244330</v>
      </c>
      <c r="E644">
        <v>761129</v>
      </c>
      <c r="F644">
        <v>207931</v>
      </c>
      <c r="G644">
        <v>-38806</v>
      </c>
      <c r="H644">
        <v>180725</v>
      </c>
      <c r="I644">
        <v>-48047</v>
      </c>
      <c r="J644">
        <v>-11351</v>
      </c>
      <c r="K644">
        <v>16553</v>
      </c>
      <c r="L644">
        <v>10411</v>
      </c>
      <c r="M644">
        <v>7.23</v>
      </c>
      <c r="N644">
        <f t="shared" si="30"/>
        <v>1548340</v>
      </c>
      <c r="O644">
        <v>20122100</v>
      </c>
      <c r="P644" s="2">
        <f t="shared" si="31"/>
        <v>7.6947237117398286</v>
      </c>
      <c r="Q644" s="4">
        <f t="shared" si="32"/>
        <v>14.5482783</v>
      </c>
    </row>
    <row r="645" spans="1:17" x14ac:dyDescent="0.4">
      <c r="A645">
        <v>20210814</v>
      </c>
      <c r="B645" s="1">
        <v>0.39583333333333331</v>
      </c>
      <c r="C645">
        <v>210893</v>
      </c>
      <c r="D645">
        <v>251257</v>
      </c>
      <c r="E645">
        <v>834686</v>
      </c>
      <c r="F645">
        <v>266958</v>
      </c>
      <c r="G645">
        <v>-38287</v>
      </c>
      <c r="H645">
        <v>66213</v>
      </c>
      <c r="I645">
        <v>-27339</v>
      </c>
      <c r="J645">
        <v>4923</v>
      </c>
      <c r="K645">
        <v>-37024</v>
      </c>
      <c r="L645">
        <v>12876</v>
      </c>
      <c r="M645">
        <v>7.37</v>
      </c>
      <c r="N645">
        <f t="shared" si="30"/>
        <v>1545156</v>
      </c>
      <c r="O645">
        <v>20122800</v>
      </c>
      <c r="P645" s="2">
        <f t="shared" si="31"/>
        <v>7.6786331921998929</v>
      </c>
      <c r="Q645" s="4">
        <f t="shared" si="32"/>
        <v>14.8305036</v>
      </c>
    </row>
    <row r="646" spans="1:17" x14ac:dyDescent="0.4">
      <c r="A646">
        <v>20210814</v>
      </c>
      <c r="B646" s="1">
        <v>0.41666666666666669</v>
      </c>
      <c r="C646">
        <v>261725</v>
      </c>
      <c r="D646">
        <v>198527</v>
      </c>
      <c r="E646">
        <v>668876</v>
      </c>
      <c r="F646">
        <v>333331</v>
      </c>
      <c r="G646">
        <v>-28600</v>
      </c>
      <c r="H646">
        <v>149834</v>
      </c>
      <c r="I646">
        <v>-52901</v>
      </c>
      <c r="J646">
        <v>30307</v>
      </c>
      <c r="K646">
        <v>124608</v>
      </c>
      <c r="L646">
        <v>12231</v>
      </c>
      <c r="M646">
        <v>8.14</v>
      </c>
      <c r="N646">
        <f t="shared" si="30"/>
        <v>1697938</v>
      </c>
      <c r="O646">
        <v>20332500</v>
      </c>
      <c r="P646" s="2">
        <f t="shared" si="31"/>
        <v>8.350857002336161</v>
      </c>
      <c r="Q646" s="4">
        <f t="shared" si="32"/>
        <v>16.550654999999999</v>
      </c>
    </row>
    <row r="647" spans="1:17" x14ac:dyDescent="0.4">
      <c r="A647">
        <v>20210814</v>
      </c>
      <c r="B647" s="1">
        <v>0.4375</v>
      </c>
      <c r="C647">
        <v>267697</v>
      </c>
      <c r="D647">
        <v>215316</v>
      </c>
      <c r="E647">
        <v>793185</v>
      </c>
      <c r="F647">
        <v>399064</v>
      </c>
      <c r="G647">
        <v>-18236</v>
      </c>
      <c r="H647">
        <v>96332</v>
      </c>
      <c r="I647">
        <v>-20795</v>
      </c>
      <c r="J647">
        <v>75312</v>
      </c>
      <c r="K647">
        <v>136474</v>
      </c>
      <c r="L647">
        <v>10672</v>
      </c>
      <c r="M647">
        <v>7.92</v>
      </c>
      <c r="N647">
        <f t="shared" si="30"/>
        <v>1955021</v>
      </c>
      <c r="O647">
        <v>20500550</v>
      </c>
      <c r="P647" s="2">
        <f t="shared" si="31"/>
        <v>9.5364319493867242</v>
      </c>
      <c r="Q647" s="4">
        <f t="shared" si="32"/>
        <v>16.2364356</v>
      </c>
    </row>
    <row r="648" spans="1:17" x14ac:dyDescent="0.4">
      <c r="A648">
        <v>20210814</v>
      </c>
      <c r="B648" s="1">
        <v>0.45833333333333331</v>
      </c>
      <c r="C648">
        <v>299000</v>
      </c>
      <c r="D648">
        <v>156495</v>
      </c>
      <c r="E648">
        <v>177319</v>
      </c>
      <c r="F648">
        <v>332191</v>
      </c>
      <c r="G648">
        <v>-41620</v>
      </c>
      <c r="H648">
        <v>-56005</v>
      </c>
      <c r="I648">
        <v>40439</v>
      </c>
      <c r="J648">
        <v>151831</v>
      </c>
      <c r="K648">
        <v>315531</v>
      </c>
      <c r="L648">
        <v>9588</v>
      </c>
      <c r="M648">
        <v>8.14</v>
      </c>
      <c r="N648">
        <f t="shared" si="30"/>
        <v>1384769</v>
      </c>
      <c r="O648">
        <v>20689300</v>
      </c>
      <c r="P648" s="2">
        <f t="shared" si="31"/>
        <v>6.6931650660002999</v>
      </c>
      <c r="Q648" s="4">
        <f t="shared" si="32"/>
        <v>16.8410902</v>
      </c>
    </row>
    <row r="649" spans="1:17" x14ac:dyDescent="0.4">
      <c r="A649">
        <v>20210814</v>
      </c>
      <c r="B649" s="1">
        <v>0.47916666666666669</v>
      </c>
      <c r="C649">
        <v>297510</v>
      </c>
      <c r="D649">
        <v>135760</v>
      </c>
      <c r="E649">
        <v>-90651</v>
      </c>
      <c r="F649">
        <v>346339</v>
      </c>
      <c r="G649">
        <v>-48169</v>
      </c>
      <c r="H649">
        <v>53338</v>
      </c>
      <c r="I649">
        <v>25319</v>
      </c>
      <c r="J649">
        <v>145308</v>
      </c>
      <c r="K649">
        <v>306021</v>
      </c>
      <c r="L649">
        <v>6212</v>
      </c>
      <c r="M649">
        <v>8.65</v>
      </c>
      <c r="N649">
        <f t="shared" si="30"/>
        <v>1176987</v>
      </c>
      <c r="O649">
        <v>20791500</v>
      </c>
      <c r="P649" s="2">
        <f t="shared" si="31"/>
        <v>5.6609046966308343</v>
      </c>
      <c r="Q649" s="4">
        <f t="shared" si="32"/>
        <v>17.984647500000001</v>
      </c>
    </row>
    <row r="650" spans="1:17" x14ac:dyDescent="0.4">
      <c r="A650">
        <v>20210814</v>
      </c>
      <c r="B650" s="1">
        <v>0.5</v>
      </c>
      <c r="C650">
        <v>288485</v>
      </c>
      <c r="D650">
        <v>137237</v>
      </c>
      <c r="E650">
        <v>-288470</v>
      </c>
      <c r="F650">
        <v>86476</v>
      </c>
      <c r="G650">
        <v>-40181</v>
      </c>
      <c r="H650">
        <v>47824</v>
      </c>
      <c r="I650">
        <v>112702</v>
      </c>
      <c r="J650">
        <v>137996</v>
      </c>
      <c r="K650">
        <v>133194</v>
      </c>
      <c r="L650">
        <v>17764</v>
      </c>
      <c r="M650">
        <v>8.1199999999999992</v>
      </c>
      <c r="N650">
        <f t="shared" si="30"/>
        <v>633027</v>
      </c>
      <c r="O650">
        <v>20885800</v>
      </c>
      <c r="P650" s="2">
        <f t="shared" si="31"/>
        <v>3.0308965900276741</v>
      </c>
      <c r="Q650" s="4">
        <f t="shared" si="32"/>
        <v>16.959269599999995</v>
      </c>
    </row>
    <row r="651" spans="1:17" x14ac:dyDescent="0.4">
      <c r="A651">
        <v>20210814</v>
      </c>
      <c r="B651" s="1">
        <v>0.52083333333333337</v>
      </c>
      <c r="C651">
        <v>296647</v>
      </c>
      <c r="D651">
        <v>131740</v>
      </c>
      <c r="E651">
        <v>-221956</v>
      </c>
      <c r="F651">
        <v>93093</v>
      </c>
      <c r="G651">
        <v>-70549</v>
      </c>
      <c r="H651">
        <v>203413</v>
      </c>
      <c r="I651">
        <v>120134</v>
      </c>
      <c r="J651">
        <v>126096</v>
      </c>
      <c r="K651">
        <v>212240</v>
      </c>
      <c r="L651">
        <v>20571</v>
      </c>
      <c r="M651">
        <v>8.1199999999999992</v>
      </c>
      <c r="N651">
        <f t="shared" si="30"/>
        <v>911429</v>
      </c>
      <c r="O651">
        <v>20920700</v>
      </c>
      <c r="P651" s="2">
        <f t="shared" si="31"/>
        <v>4.356589406664213</v>
      </c>
      <c r="Q651" s="4">
        <f t="shared" si="32"/>
        <v>16.987608399999996</v>
      </c>
    </row>
    <row r="652" spans="1:17" x14ac:dyDescent="0.4">
      <c r="A652">
        <v>20210814</v>
      </c>
      <c r="B652" s="1">
        <v>0.54166666666666663</v>
      </c>
      <c r="C652">
        <v>261417</v>
      </c>
      <c r="D652">
        <v>234918</v>
      </c>
      <c r="E652">
        <v>247455</v>
      </c>
      <c r="F652">
        <v>305546</v>
      </c>
      <c r="G652">
        <v>-65741</v>
      </c>
      <c r="H652">
        <v>256343</v>
      </c>
      <c r="I652">
        <v>-453</v>
      </c>
      <c r="J652">
        <v>-49078</v>
      </c>
      <c r="K652">
        <v>148729</v>
      </c>
      <c r="L652">
        <v>35289</v>
      </c>
      <c r="M652">
        <v>8.14</v>
      </c>
      <c r="N652">
        <f t="shared" si="30"/>
        <v>1374425</v>
      </c>
      <c r="O652">
        <v>21268050</v>
      </c>
      <c r="P652" s="2">
        <f t="shared" si="31"/>
        <v>6.4623931201967268</v>
      </c>
      <c r="Q652" s="4">
        <f t="shared" si="32"/>
        <v>17.312192700000001</v>
      </c>
    </row>
    <row r="653" spans="1:17" x14ac:dyDescent="0.4">
      <c r="A653">
        <v>20210814</v>
      </c>
      <c r="B653" s="1">
        <v>0.5625</v>
      </c>
      <c r="C653">
        <v>285020</v>
      </c>
      <c r="D653">
        <v>298437</v>
      </c>
      <c r="E653">
        <v>591431</v>
      </c>
      <c r="F653">
        <v>176413</v>
      </c>
      <c r="G653">
        <v>-59337</v>
      </c>
      <c r="H653">
        <v>123436</v>
      </c>
      <c r="I653">
        <v>-40310</v>
      </c>
      <c r="J653">
        <v>-57967</v>
      </c>
      <c r="K653">
        <v>198545</v>
      </c>
      <c r="L653">
        <v>35258</v>
      </c>
      <c r="M653">
        <v>8.1199999999999992</v>
      </c>
      <c r="N653">
        <f t="shared" si="30"/>
        <v>1550926</v>
      </c>
      <c r="O653">
        <v>21559450</v>
      </c>
      <c r="P653" s="2">
        <f t="shared" si="31"/>
        <v>7.1937178360301397</v>
      </c>
      <c r="Q653" s="4">
        <f t="shared" si="32"/>
        <v>17.506273399999998</v>
      </c>
    </row>
    <row r="654" spans="1:17" x14ac:dyDescent="0.4">
      <c r="A654">
        <v>20210814</v>
      </c>
      <c r="B654" s="1">
        <v>0.58333333333333337</v>
      </c>
      <c r="C654">
        <v>216282</v>
      </c>
      <c r="D654">
        <v>367109</v>
      </c>
      <c r="E654">
        <v>915744</v>
      </c>
      <c r="F654">
        <v>125625</v>
      </c>
      <c r="G654">
        <v>-53406</v>
      </c>
      <c r="H654">
        <v>113340</v>
      </c>
      <c r="I654">
        <v>15735</v>
      </c>
      <c r="J654">
        <v>-63640</v>
      </c>
      <c r="K654">
        <v>266337</v>
      </c>
      <c r="L654">
        <v>35160</v>
      </c>
      <c r="M654">
        <v>7.7</v>
      </c>
      <c r="N654">
        <f t="shared" si="30"/>
        <v>1938286</v>
      </c>
      <c r="O654">
        <v>21459450</v>
      </c>
      <c r="P654" s="2">
        <f t="shared" si="31"/>
        <v>9.0323190948509868</v>
      </c>
      <c r="Q654" s="4">
        <f t="shared" si="32"/>
        <v>16.5237765</v>
      </c>
    </row>
    <row r="655" spans="1:17" x14ac:dyDescent="0.4">
      <c r="A655">
        <v>20210814</v>
      </c>
      <c r="B655" s="1">
        <v>0.60416666666666663</v>
      </c>
      <c r="C655">
        <v>236432</v>
      </c>
      <c r="D655">
        <v>365502</v>
      </c>
      <c r="E655">
        <v>941865</v>
      </c>
      <c r="F655">
        <v>183430</v>
      </c>
      <c r="G655">
        <v>-76241</v>
      </c>
      <c r="H655">
        <v>27480</v>
      </c>
      <c r="I655">
        <v>22112</v>
      </c>
      <c r="J655">
        <v>-60863</v>
      </c>
      <c r="K655">
        <v>242048</v>
      </c>
      <c r="L655">
        <v>28855</v>
      </c>
      <c r="M655">
        <v>7.59</v>
      </c>
      <c r="N655">
        <f t="shared" si="30"/>
        <v>1910620</v>
      </c>
      <c r="O655">
        <v>21334500</v>
      </c>
      <c r="P655" s="2">
        <f t="shared" si="31"/>
        <v>8.9555414938245566</v>
      </c>
      <c r="Q655" s="4">
        <f t="shared" si="32"/>
        <v>16.192885499999999</v>
      </c>
    </row>
    <row r="656" spans="1:17" x14ac:dyDescent="0.4">
      <c r="A656">
        <v>20210814</v>
      </c>
      <c r="B656" s="1">
        <v>0.625</v>
      </c>
      <c r="C656">
        <v>146703</v>
      </c>
      <c r="D656">
        <v>354701</v>
      </c>
      <c r="E656">
        <v>1021838</v>
      </c>
      <c r="F656">
        <v>139669</v>
      </c>
      <c r="G656">
        <v>-78478</v>
      </c>
      <c r="H656">
        <v>-66862</v>
      </c>
      <c r="I656">
        <v>-8065</v>
      </c>
      <c r="J656">
        <v>-31540</v>
      </c>
      <c r="K656">
        <v>231490</v>
      </c>
      <c r="L656">
        <v>25307</v>
      </c>
      <c r="M656">
        <v>7.75</v>
      </c>
      <c r="N656">
        <f t="shared" si="30"/>
        <v>1734763</v>
      </c>
      <c r="O656">
        <v>21073200</v>
      </c>
      <c r="P656" s="2">
        <f t="shared" si="31"/>
        <v>8.232081506368278</v>
      </c>
      <c r="Q656" s="4">
        <f t="shared" si="32"/>
        <v>16.33173</v>
      </c>
    </row>
    <row r="657" spans="1:17" x14ac:dyDescent="0.4">
      <c r="A657">
        <v>20210814</v>
      </c>
      <c r="B657" s="1">
        <v>0.64583333333333337</v>
      </c>
      <c r="C657">
        <v>183594</v>
      </c>
      <c r="D657">
        <v>388370</v>
      </c>
      <c r="E657">
        <v>1376396</v>
      </c>
      <c r="F657">
        <v>150429</v>
      </c>
      <c r="G657">
        <v>-71113</v>
      </c>
      <c r="H657">
        <v>48924</v>
      </c>
      <c r="I657">
        <v>19651</v>
      </c>
      <c r="J657">
        <v>-29355</v>
      </c>
      <c r="K657">
        <v>242973</v>
      </c>
      <c r="L657">
        <v>12820</v>
      </c>
      <c r="M657">
        <v>7.79</v>
      </c>
      <c r="N657">
        <f t="shared" si="30"/>
        <v>2322689</v>
      </c>
      <c r="O657">
        <v>20906100</v>
      </c>
      <c r="P657" s="2">
        <f t="shared" si="31"/>
        <v>11.11010183630615</v>
      </c>
      <c r="Q657" s="4">
        <f t="shared" si="32"/>
        <v>16.285851900000001</v>
      </c>
    </row>
    <row r="658" spans="1:17" x14ac:dyDescent="0.4">
      <c r="A658">
        <v>20210814</v>
      </c>
      <c r="B658" s="1">
        <v>0.66666666666666663</v>
      </c>
      <c r="C658">
        <v>125457</v>
      </c>
      <c r="D658">
        <v>373777</v>
      </c>
      <c r="E658">
        <v>1076077</v>
      </c>
      <c r="F658">
        <v>172791</v>
      </c>
      <c r="G658">
        <v>-65141</v>
      </c>
      <c r="H658">
        <v>36500</v>
      </c>
      <c r="I658">
        <v>222884</v>
      </c>
      <c r="J658">
        <v>-23890</v>
      </c>
      <c r="K658">
        <v>272625</v>
      </c>
      <c r="L658">
        <v>11620</v>
      </c>
      <c r="M658">
        <v>8.1199999999999992</v>
      </c>
      <c r="N658">
        <f t="shared" si="30"/>
        <v>2202700</v>
      </c>
      <c r="O658">
        <v>21507850</v>
      </c>
      <c r="P658" s="2">
        <f t="shared" si="31"/>
        <v>10.241376985612231</v>
      </c>
      <c r="Q658" s="4">
        <f t="shared" si="32"/>
        <v>17.464374199999998</v>
      </c>
    </row>
    <row r="659" spans="1:17" x14ac:dyDescent="0.4">
      <c r="A659">
        <v>20210814</v>
      </c>
      <c r="B659" s="1">
        <v>0.6875</v>
      </c>
      <c r="C659">
        <v>154788</v>
      </c>
      <c r="D659">
        <v>357126</v>
      </c>
      <c r="E659">
        <v>1164202</v>
      </c>
      <c r="F659">
        <v>46656</v>
      </c>
      <c r="G659">
        <v>-45739</v>
      </c>
      <c r="H659">
        <v>-57515</v>
      </c>
      <c r="I659">
        <v>71083</v>
      </c>
      <c r="J659">
        <v>-22695</v>
      </c>
      <c r="K659">
        <v>203914</v>
      </c>
      <c r="L659">
        <v>-1046</v>
      </c>
      <c r="M659">
        <v>8.14</v>
      </c>
      <c r="N659">
        <f t="shared" si="30"/>
        <v>1870774</v>
      </c>
      <c r="O659">
        <v>21618850</v>
      </c>
      <c r="P659" s="2">
        <f t="shared" si="31"/>
        <v>8.6534390127134415</v>
      </c>
      <c r="Q659" s="4">
        <f t="shared" si="32"/>
        <v>17.597743900000001</v>
      </c>
    </row>
    <row r="660" spans="1:17" x14ac:dyDescent="0.4">
      <c r="A660">
        <v>20210814</v>
      </c>
      <c r="B660" s="1">
        <v>0.70833333333333337</v>
      </c>
      <c r="C660">
        <v>98364</v>
      </c>
      <c r="D660">
        <v>278484</v>
      </c>
      <c r="E660">
        <v>1380253</v>
      </c>
      <c r="F660">
        <v>-16980</v>
      </c>
      <c r="G660">
        <v>-36831</v>
      </c>
      <c r="H660">
        <v>-199305</v>
      </c>
      <c r="I660">
        <v>58140</v>
      </c>
      <c r="J660">
        <v>-38380</v>
      </c>
      <c r="K660">
        <v>216688</v>
      </c>
      <c r="L660">
        <v>-4078</v>
      </c>
      <c r="M660">
        <v>7.92</v>
      </c>
      <c r="N660">
        <f t="shared" si="30"/>
        <v>1736355</v>
      </c>
      <c r="O660">
        <v>21857100</v>
      </c>
      <c r="P660" s="2">
        <f t="shared" si="31"/>
        <v>7.9441234198498432</v>
      </c>
      <c r="Q660" s="4">
        <f t="shared" si="32"/>
        <v>17.310823200000002</v>
      </c>
    </row>
    <row r="661" spans="1:17" x14ac:dyDescent="0.4">
      <c r="A661">
        <v>20210814</v>
      </c>
      <c r="B661" s="1">
        <v>0.72916666666666663</v>
      </c>
      <c r="C661">
        <v>92466</v>
      </c>
      <c r="D661">
        <v>235257</v>
      </c>
      <c r="E661">
        <v>1550453</v>
      </c>
      <c r="F661">
        <v>17084</v>
      </c>
      <c r="G661">
        <v>-47403</v>
      </c>
      <c r="H661">
        <v>-283371</v>
      </c>
      <c r="I661">
        <v>1104</v>
      </c>
      <c r="J661">
        <v>-27928</v>
      </c>
      <c r="K661">
        <v>229748</v>
      </c>
      <c r="L661">
        <v>-14520</v>
      </c>
      <c r="M661">
        <v>8.14</v>
      </c>
      <c r="N661">
        <f t="shared" si="30"/>
        <v>1752890</v>
      </c>
      <c r="O661">
        <v>21484900</v>
      </c>
      <c r="P661" s="2">
        <f t="shared" si="31"/>
        <v>8.1587068126917046</v>
      </c>
      <c r="Q661" s="4">
        <f t="shared" si="32"/>
        <v>17.488708599999999</v>
      </c>
    </row>
    <row r="662" spans="1:17" x14ac:dyDescent="0.4">
      <c r="A662">
        <v>20210814</v>
      </c>
      <c r="B662" s="1">
        <v>0.75</v>
      </c>
      <c r="C662">
        <v>89741</v>
      </c>
      <c r="D662">
        <v>219808</v>
      </c>
      <c r="E662">
        <v>1687417</v>
      </c>
      <c r="F662">
        <v>-8235</v>
      </c>
      <c r="G662">
        <v>-56517</v>
      </c>
      <c r="H662">
        <v>-259807</v>
      </c>
      <c r="I662">
        <v>-9937</v>
      </c>
      <c r="J662">
        <v>-3993</v>
      </c>
      <c r="K662">
        <v>268889</v>
      </c>
      <c r="L662">
        <v>-12467</v>
      </c>
      <c r="M662">
        <v>8.73</v>
      </c>
      <c r="N662">
        <f t="shared" si="30"/>
        <v>1914899</v>
      </c>
      <c r="O662">
        <v>21112000</v>
      </c>
      <c r="P662" s="2">
        <f t="shared" si="31"/>
        <v>9.0701923076923077</v>
      </c>
      <c r="Q662" s="4">
        <f t="shared" si="32"/>
        <v>18.430776000000002</v>
      </c>
    </row>
    <row r="663" spans="1:17" x14ac:dyDescent="0.4">
      <c r="A663">
        <v>20210814</v>
      </c>
      <c r="B663" s="1">
        <v>0.77083333333333337</v>
      </c>
      <c r="C663">
        <v>82277</v>
      </c>
      <c r="D663">
        <v>249428</v>
      </c>
      <c r="E663">
        <v>1175757</v>
      </c>
      <c r="F663">
        <v>-7835</v>
      </c>
      <c r="G663">
        <v>-25495</v>
      </c>
      <c r="H663">
        <v>-390009</v>
      </c>
      <c r="I663">
        <v>-50068</v>
      </c>
      <c r="J663">
        <v>8542</v>
      </c>
      <c r="K663">
        <v>221047</v>
      </c>
      <c r="L663">
        <v>-13292</v>
      </c>
      <c r="M663">
        <v>8.86</v>
      </c>
      <c r="N663">
        <f t="shared" si="30"/>
        <v>1250352</v>
      </c>
      <c r="O663">
        <v>20966350</v>
      </c>
      <c r="P663" s="2">
        <f t="shared" si="31"/>
        <v>5.9636131229326992</v>
      </c>
      <c r="Q663" s="4">
        <f t="shared" si="32"/>
        <v>18.576186100000001</v>
      </c>
    </row>
    <row r="664" spans="1:17" x14ac:dyDescent="0.4">
      <c r="A664">
        <v>20210814</v>
      </c>
      <c r="B664" s="1">
        <v>0.79166666666666663</v>
      </c>
      <c r="C664">
        <v>52100</v>
      </c>
      <c r="D664">
        <v>228251</v>
      </c>
      <c r="E664">
        <v>1176984</v>
      </c>
      <c r="F664">
        <v>-20751</v>
      </c>
      <c r="G664">
        <v>-2179</v>
      </c>
      <c r="H664">
        <v>-351392</v>
      </c>
      <c r="I664">
        <v>1202</v>
      </c>
      <c r="J664">
        <v>37625</v>
      </c>
      <c r="K664">
        <v>186797</v>
      </c>
      <c r="L664">
        <v>-12628</v>
      </c>
      <c r="M664">
        <v>8.86</v>
      </c>
      <c r="N664">
        <f t="shared" si="30"/>
        <v>1296009</v>
      </c>
      <c r="O664">
        <v>20883100</v>
      </c>
      <c r="P664" s="2">
        <f t="shared" si="31"/>
        <v>6.2060182635719796</v>
      </c>
      <c r="Q664" s="4">
        <f t="shared" si="32"/>
        <v>18.5024266</v>
      </c>
    </row>
    <row r="665" spans="1:17" x14ac:dyDescent="0.4">
      <c r="A665">
        <v>20210814</v>
      </c>
      <c r="B665" s="1">
        <v>0.8125</v>
      </c>
      <c r="C665">
        <v>54624</v>
      </c>
      <c r="D665">
        <v>241894</v>
      </c>
      <c r="E665">
        <v>1241390</v>
      </c>
      <c r="F665">
        <v>-3073</v>
      </c>
      <c r="G665">
        <v>-12535</v>
      </c>
      <c r="H665">
        <v>-217035</v>
      </c>
      <c r="I665">
        <v>77216</v>
      </c>
      <c r="J665">
        <v>38031</v>
      </c>
      <c r="K665">
        <v>226407</v>
      </c>
      <c r="L665">
        <v>-14302</v>
      </c>
      <c r="M665">
        <v>8.8000000000000007</v>
      </c>
      <c r="N665">
        <f t="shared" si="30"/>
        <v>1632617</v>
      </c>
      <c r="O665">
        <v>20677400</v>
      </c>
      <c r="P665" s="2">
        <f t="shared" si="31"/>
        <v>7.8956590286979988</v>
      </c>
      <c r="Q665" s="4">
        <f t="shared" si="32"/>
        <v>18.196111999999999</v>
      </c>
    </row>
    <row r="666" spans="1:17" x14ac:dyDescent="0.4">
      <c r="A666">
        <v>20210814</v>
      </c>
      <c r="B666" s="1">
        <v>0.83333333333333337</v>
      </c>
      <c r="C666">
        <v>87962</v>
      </c>
      <c r="D666">
        <v>249089</v>
      </c>
      <c r="E666">
        <v>1282524</v>
      </c>
      <c r="F666">
        <v>53653</v>
      </c>
      <c r="G666">
        <v>23065</v>
      </c>
      <c r="H666">
        <v>-156475</v>
      </c>
      <c r="I666">
        <v>137454</v>
      </c>
      <c r="J666">
        <v>64855</v>
      </c>
      <c r="K666">
        <v>242235</v>
      </c>
      <c r="L666">
        <v>-24669</v>
      </c>
      <c r="M666">
        <v>7.91</v>
      </c>
      <c r="N666">
        <f t="shared" si="30"/>
        <v>1959693</v>
      </c>
      <c r="O666">
        <v>20399050</v>
      </c>
      <c r="P666" s="2">
        <f t="shared" si="31"/>
        <v>9.606785610114196</v>
      </c>
      <c r="Q666" s="4">
        <f t="shared" si="32"/>
        <v>16.135648549999999</v>
      </c>
    </row>
    <row r="667" spans="1:17" x14ac:dyDescent="0.4">
      <c r="A667">
        <v>20210814</v>
      </c>
      <c r="B667" s="1">
        <v>0.85416666666666663</v>
      </c>
      <c r="C667">
        <v>136674</v>
      </c>
      <c r="D667">
        <v>197965</v>
      </c>
      <c r="E667">
        <v>1125045</v>
      </c>
      <c r="F667">
        <v>36683</v>
      </c>
      <c r="G667">
        <v>13497</v>
      </c>
      <c r="H667">
        <v>-152084</v>
      </c>
      <c r="I667">
        <v>127168</v>
      </c>
      <c r="J667">
        <v>33466</v>
      </c>
      <c r="K667">
        <v>160182</v>
      </c>
      <c r="L667">
        <v>-18693</v>
      </c>
      <c r="M667">
        <v>7.41</v>
      </c>
      <c r="N667">
        <f t="shared" si="30"/>
        <v>1659903</v>
      </c>
      <c r="O667">
        <v>20395550</v>
      </c>
      <c r="P667" s="2">
        <f t="shared" si="31"/>
        <v>8.138554733753196</v>
      </c>
      <c r="Q667" s="4">
        <f t="shared" si="32"/>
        <v>15.113102550000001</v>
      </c>
    </row>
    <row r="668" spans="1:17" x14ac:dyDescent="0.4">
      <c r="A668">
        <v>20210814</v>
      </c>
      <c r="B668" s="1">
        <v>0.875</v>
      </c>
      <c r="C668">
        <v>111146</v>
      </c>
      <c r="D668">
        <v>210104</v>
      </c>
      <c r="E668">
        <v>838964</v>
      </c>
      <c r="F668">
        <v>-9341</v>
      </c>
      <c r="G668">
        <v>36018</v>
      </c>
      <c r="H668">
        <v>-20785</v>
      </c>
      <c r="I668">
        <v>93063</v>
      </c>
      <c r="J668">
        <v>38152</v>
      </c>
      <c r="K668">
        <v>84449</v>
      </c>
      <c r="L668">
        <v>-20357</v>
      </c>
      <c r="M668">
        <v>7.06</v>
      </c>
      <c r="N668">
        <f t="shared" si="30"/>
        <v>1361413</v>
      </c>
      <c r="O668">
        <v>20013300</v>
      </c>
      <c r="P668" s="2">
        <f t="shared" si="31"/>
        <v>6.8025413100288308</v>
      </c>
      <c r="Q668" s="4">
        <f t="shared" si="32"/>
        <v>14.1293898</v>
      </c>
    </row>
    <row r="669" spans="1:17" x14ac:dyDescent="0.4">
      <c r="A669">
        <v>20210814</v>
      </c>
      <c r="B669" s="1">
        <v>0.89583333333333337</v>
      </c>
      <c r="C669">
        <v>128944</v>
      </c>
      <c r="D669">
        <v>190394</v>
      </c>
      <c r="E669">
        <v>817317</v>
      </c>
      <c r="F669">
        <v>-36667</v>
      </c>
      <c r="G669">
        <v>55375</v>
      </c>
      <c r="H669">
        <v>70807</v>
      </c>
      <c r="I669">
        <v>22820</v>
      </c>
      <c r="J669">
        <v>26790</v>
      </c>
      <c r="K669">
        <v>120401</v>
      </c>
      <c r="L669">
        <v>-13586</v>
      </c>
      <c r="M669">
        <v>6.99</v>
      </c>
      <c r="N669">
        <f t="shared" si="30"/>
        <v>1382595</v>
      </c>
      <c r="O669">
        <v>20205950</v>
      </c>
      <c r="P669" s="2">
        <f t="shared" si="31"/>
        <v>6.8425142099233147</v>
      </c>
      <c r="Q669" s="4">
        <f t="shared" si="32"/>
        <v>14.12395905</v>
      </c>
    </row>
    <row r="670" spans="1:17" x14ac:dyDescent="0.4">
      <c r="A670">
        <v>20210814</v>
      </c>
      <c r="B670" s="1">
        <v>0.91666666666666663</v>
      </c>
      <c r="C670">
        <v>126020</v>
      </c>
      <c r="D670">
        <v>231545</v>
      </c>
      <c r="E670">
        <v>760116</v>
      </c>
      <c r="F670">
        <v>-79698</v>
      </c>
      <c r="G670">
        <v>46644</v>
      </c>
      <c r="H670">
        <v>87950</v>
      </c>
      <c r="I670">
        <v>-41262</v>
      </c>
      <c r="J670">
        <v>32598</v>
      </c>
      <c r="K670">
        <v>42578</v>
      </c>
      <c r="L670">
        <v>-21819</v>
      </c>
      <c r="M670">
        <v>6.81</v>
      </c>
      <c r="N670">
        <f t="shared" si="30"/>
        <v>1184672</v>
      </c>
      <c r="O670">
        <v>19579900</v>
      </c>
      <c r="P670" s="2">
        <f t="shared" si="31"/>
        <v>6.0504496958615723</v>
      </c>
      <c r="Q670" s="4">
        <f t="shared" si="32"/>
        <v>13.333911899999999</v>
      </c>
    </row>
    <row r="671" spans="1:17" x14ac:dyDescent="0.4">
      <c r="A671">
        <v>20210814</v>
      </c>
      <c r="B671" s="1">
        <v>0.9375</v>
      </c>
      <c r="C671">
        <v>77862</v>
      </c>
      <c r="D671">
        <v>99834</v>
      </c>
      <c r="E671">
        <v>704282</v>
      </c>
      <c r="F671">
        <v>-55939</v>
      </c>
      <c r="G671">
        <v>43403</v>
      </c>
      <c r="H671">
        <v>106339</v>
      </c>
      <c r="I671">
        <v>19617</v>
      </c>
      <c r="J671">
        <v>14464</v>
      </c>
      <c r="K671">
        <v>62249</v>
      </c>
      <c r="L671">
        <v>-19571</v>
      </c>
      <c r="M671">
        <v>6.71</v>
      </c>
      <c r="N671">
        <f t="shared" si="30"/>
        <v>1052540</v>
      </c>
      <c r="O671">
        <v>19424250</v>
      </c>
      <c r="P671" s="2">
        <f t="shared" si="31"/>
        <v>5.4186905543328567</v>
      </c>
      <c r="Q671" s="4">
        <f t="shared" si="32"/>
        <v>13.03367175</v>
      </c>
    </row>
    <row r="672" spans="1:17" x14ac:dyDescent="0.4">
      <c r="A672">
        <v>20210814</v>
      </c>
      <c r="B672" s="1">
        <v>0.95833333333333337</v>
      </c>
      <c r="C672">
        <v>141621</v>
      </c>
      <c r="D672">
        <v>84427</v>
      </c>
      <c r="E672">
        <v>647713</v>
      </c>
      <c r="F672">
        <v>-76006</v>
      </c>
      <c r="G672">
        <v>28141</v>
      </c>
      <c r="H672">
        <v>91845</v>
      </c>
      <c r="I672">
        <v>-818</v>
      </c>
      <c r="J672">
        <v>30765</v>
      </c>
      <c r="K672">
        <v>44414</v>
      </c>
      <c r="L672">
        <v>-11680</v>
      </c>
      <c r="M672">
        <v>6.89</v>
      </c>
      <c r="N672">
        <f t="shared" si="30"/>
        <v>980422</v>
      </c>
      <c r="O672">
        <v>18895800</v>
      </c>
      <c r="P672" s="2">
        <f t="shared" si="31"/>
        <v>5.1885710051969225</v>
      </c>
      <c r="Q672" s="4">
        <f t="shared" si="32"/>
        <v>13.019206199999999</v>
      </c>
    </row>
    <row r="673" spans="1:17" x14ac:dyDescent="0.4">
      <c r="A673">
        <v>20210814</v>
      </c>
      <c r="B673" s="1">
        <v>0.97916666666666663</v>
      </c>
      <c r="C673">
        <v>88560</v>
      </c>
      <c r="D673">
        <v>143281</v>
      </c>
      <c r="E673">
        <v>665012</v>
      </c>
      <c r="F673">
        <v>-181048</v>
      </c>
      <c r="G673">
        <v>37939</v>
      </c>
      <c r="H673">
        <v>65443</v>
      </c>
      <c r="I673">
        <v>41549</v>
      </c>
      <c r="J673">
        <v>34106</v>
      </c>
      <c r="K673">
        <v>39876</v>
      </c>
      <c r="L673">
        <v>-9597</v>
      </c>
      <c r="M673">
        <v>6.28</v>
      </c>
      <c r="N673">
        <f t="shared" si="30"/>
        <v>925121</v>
      </c>
      <c r="O673">
        <v>18198800</v>
      </c>
      <c r="P673" s="2">
        <f t="shared" si="31"/>
        <v>5.0834175879728329</v>
      </c>
      <c r="Q673" s="4">
        <f t="shared" si="32"/>
        <v>11.428846399999999</v>
      </c>
    </row>
    <row r="674" spans="1:17" x14ac:dyDescent="0.4">
      <c r="A674">
        <v>20210815</v>
      </c>
      <c r="B674" s="1">
        <v>0</v>
      </c>
      <c r="C674">
        <v>112257</v>
      </c>
      <c r="D674">
        <v>281028</v>
      </c>
      <c r="E674">
        <v>711394</v>
      </c>
      <c r="F674">
        <v>-92652</v>
      </c>
      <c r="G674">
        <v>45004</v>
      </c>
      <c r="H674">
        <v>161895</v>
      </c>
      <c r="I674">
        <v>-39834</v>
      </c>
      <c r="J674">
        <v>-6844</v>
      </c>
      <c r="K674">
        <v>34397</v>
      </c>
      <c r="L674">
        <v>-20911</v>
      </c>
      <c r="M674">
        <v>6.48</v>
      </c>
      <c r="N674">
        <f t="shared" si="30"/>
        <v>1185734</v>
      </c>
      <c r="O674">
        <v>17748900</v>
      </c>
      <c r="P674" s="2">
        <f t="shared" si="31"/>
        <v>6.6806055586543396</v>
      </c>
      <c r="Q674" s="4">
        <f t="shared" si="32"/>
        <v>11.501287200000002</v>
      </c>
    </row>
    <row r="675" spans="1:17" x14ac:dyDescent="0.4">
      <c r="A675">
        <v>20210815</v>
      </c>
      <c r="B675" s="1">
        <v>2.0833333333333332E-2</v>
      </c>
      <c r="C675">
        <v>129501</v>
      </c>
      <c r="D675">
        <v>283945</v>
      </c>
      <c r="E675">
        <v>875695</v>
      </c>
      <c r="F675">
        <v>-92741</v>
      </c>
      <c r="G675">
        <v>35195</v>
      </c>
      <c r="H675">
        <v>122381</v>
      </c>
      <c r="I675">
        <v>-55121</v>
      </c>
      <c r="J675">
        <v>8379</v>
      </c>
      <c r="K675">
        <v>81749</v>
      </c>
      <c r="L675">
        <v>-17399</v>
      </c>
      <c r="M675">
        <v>6.43</v>
      </c>
      <c r="N675">
        <f t="shared" si="30"/>
        <v>1371584</v>
      </c>
      <c r="O675">
        <v>18536800</v>
      </c>
      <c r="P675" s="2">
        <f t="shared" si="31"/>
        <v>7.3992490613266586</v>
      </c>
      <c r="Q675" s="4">
        <f t="shared" si="32"/>
        <v>11.919162399999999</v>
      </c>
    </row>
    <row r="676" spans="1:17" x14ac:dyDescent="0.4">
      <c r="A676">
        <v>20210815</v>
      </c>
      <c r="B676" s="1">
        <v>4.1666666666666664E-2</v>
      </c>
      <c r="C676">
        <v>102990</v>
      </c>
      <c r="D676">
        <v>289960</v>
      </c>
      <c r="E676">
        <v>636534</v>
      </c>
      <c r="F676">
        <v>-149986</v>
      </c>
      <c r="G676">
        <v>-25111</v>
      </c>
      <c r="H676">
        <v>95259</v>
      </c>
      <c r="I676">
        <v>-28698</v>
      </c>
      <c r="J676">
        <v>-2834</v>
      </c>
      <c r="K676">
        <v>90210</v>
      </c>
      <c r="L676">
        <v>-10265</v>
      </c>
      <c r="M676">
        <v>6.26</v>
      </c>
      <c r="N676">
        <f t="shared" si="30"/>
        <v>998059</v>
      </c>
      <c r="O676">
        <v>18830550</v>
      </c>
      <c r="P676" s="2">
        <f t="shared" si="31"/>
        <v>5.3002116241957884</v>
      </c>
      <c r="Q676" s="4">
        <f t="shared" si="32"/>
        <v>11.7879243</v>
      </c>
    </row>
    <row r="677" spans="1:17" x14ac:dyDescent="0.4">
      <c r="A677">
        <v>20210815</v>
      </c>
      <c r="B677" s="1">
        <v>6.25E-2</v>
      </c>
      <c r="C677">
        <v>138946</v>
      </c>
      <c r="D677">
        <v>282370</v>
      </c>
      <c r="E677">
        <v>591954</v>
      </c>
      <c r="F677">
        <v>-131085</v>
      </c>
      <c r="G677">
        <v>-15173</v>
      </c>
      <c r="H677">
        <v>45926</v>
      </c>
      <c r="I677">
        <v>1977</v>
      </c>
      <c r="J677">
        <v>-171</v>
      </c>
      <c r="K677">
        <v>121698</v>
      </c>
      <c r="L677">
        <v>-13770</v>
      </c>
      <c r="M677">
        <v>6</v>
      </c>
      <c r="N677">
        <f t="shared" si="30"/>
        <v>1022672</v>
      </c>
      <c r="O677">
        <v>18764800</v>
      </c>
      <c r="P677" s="2">
        <f t="shared" si="31"/>
        <v>5.4499488403819916</v>
      </c>
      <c r="Q677" s="4">
        <f t="shared" si="32"/>
        <v>11.25888</v>
      </c>
    </row>
    <row r="678" spans="1:17" x14ac:dyDescent="0.4">
      <c r="A678">
        <v>20210815</v>
      </c>
      <c r="B678" s="1">
        <v>8.3333333333333329E-2</v>
      </c>
      <c r="C678">
        <v>90166</v>
      </c>
      <c r="D678">
        <v>250286</v>
      </c>
      <c r="E678">
        <v>635176</v>
      </c>
      <c r="F678">
        <v>-166703</v>
      </c>
      <c r="G678">
        <v>-10429</v>
      </c>
      <c r="H678">
        <v>7384</v>
      </c>
      <c r="I678">
        <v>-56555</v>
      </c>
      <c r="J678">
        <v>11076</v>
      </c>
      <c r="K678">
        <v>94313</v>
      </c>
      <c r="L678">
        <v>-3930</v>
      </c>
      <c r="M678">
        <v>6</v>
      </c>
      <c r="N678">
        <f t="shared" si="30"/>
        <v>850784</v>
      </c>
      <c r="O678">
        <v>19021600</v>
      </c>
      <c r="P678" s="2">
        <f t="shared" si="31"/>
        <v>4.4727257433654373</v>
      </c>
      <c r="Q678" s="4">
        <f t="shared" si="32"/>
        <v>11.41296</v>
      </c>
    </row>
    <row r="679" spans="1:17" x14ac:dyDescent="0.4">
      <c r="A679">
        <v>20210815</v>
      </c>
      <c r="B679" s="1">
        <v>0.10416666666666667</v>
      </c>
      <c r="C679">
        <v>105215</v>
      </c>
      <c r="D679">
        <v>263387</v>
      </c>
      <c r="E679">
        <v>510379</v>
      </c>
      <c r="F679">
        <v>-94688</v>
      </c>
      <c r="G679">
        <v>-35200</v>
      </c>
      <c r="H679">
        <v>54322</v>
      </c>
      <c r="I679">
        <v>-6674</v>
      </c>
      <c r="J679">
        <v>18573</v>
      </c>
      <c r="K679">
        <v>118840</v>
      </c>
      <c r="L679">
        <v>-15559</v>
      </c>
      <c r="M679">
        <v>5.96</v>
      </c>
      <c r="N679">
        <f t="shared" si="30"/>
        <v>918595</v>
      </c>
      <c r="O679">
        <v>18924650</v>
      </c>
      <c r="P679" s="2">
        <f t="shared" si="31"/>
        <v>4.8539603110229255</v>
      </c>
      <c r="Q679" s="4">
        <f t="shared" si="32"/>
        <v>11.2790914</v>
      </c>
    </row>
    <row r="680" spans="1:17" x14ac:dyDescent="0.4">
      <c r="A680">
        <v>20210815</v>
      </c>
      <c r="B680" s="1">
        <v>0.125</v>
      </c>
      <c r="C680">
        <v>103478</v>
      </c>
      <c r="D680">
        <v>236748</v>
      </c>
      <c r="E680">
        <v>485382</v>
      </c>
      <c r="F680">
        <v>-222446</v>
      </c>
      <c r="G680">
        <v>-42533</v>
      </c>
      <c r="H680">
        <v>53729</v>
      </c>
      <c r="I680">
        <v>82975</v>
      </c>
      <c r="J680">
        <v>27000</v>
      </c>
      <c r="K680">
        <v>116474</v>
      </c>
      <c r="L680">
        <v>-7697</v>
      </c>
      <c r="M680">
        <v>5.96</v>
      </c>
      <c r="N680">
        <f t="shared" si="30"/>
        <v>833110</v>
      </c>
      <c r="O680">
        <v>18781100</v>
      </c>
      <c r="P680" s="2">
        <f t="shared" si="31"/>
        <v>4.4358956610635163</v>
      </c>
      <c r="Q680" s="4">
        <f t="shared" si="32"/>
        <v>11.193535600000001</v>
      </c>
    </row>
    <row r="681" spans="1:17" x14ac:dyDescent="0.4">
      <c r="A681">
        <v>20210815</v>
      </c>
      <c r="B681" s="1">
        <v>0.14583333333333334</v>
      </c>
      <c r="C681">
        <v>70780</v>
      </c>
      <c r="D681">
        <v>228384</v>
      </c>
      <c r="E681">
        <v>485666</v>
      </c>
      <c r="F681">
        <v>-6185</v>
      </c>
      <c r="G681">
        <v>-30761</v>
      </c>
      <c r="H681">
        <v>57215</v>
      </c>
      <c r="I681">
        <v>-55158</v>
      </c>
      <c r="J681">
        <v>19161</v>
      </c>
      <c r="K681">
        <v>103050</v>
      </c>
      <c r="L681">
        <v>-9005</v>
      </c>
      <c r="M681">
        <v>5.96</v>
      </c>
      <c r="N681">
        <f t="shared" si="30"/>
        <v>863147</v>
      </c>
      <c r="O681">
        <v>18723700</v>
      </c>
      <c r="P681" s="2">
        <f t="shared" si="31"/>
        <v>4.6099168433589517</v>
      </c>
      <c r="Q681" s="4">
        <f t="shared" si="32"/>
        <v>11.1593252</v>
      </c>
    </row>
    <row r="682" spans="1:17" x14ac:dyDescent="0.4">
      <c r="A682">
        <v>20210815</v>
      </c>
      <c r="B682" s="1">
        <v>0.16666666666666666</v>
      </c>
      <c r="C682">
        <v>97181</v>
      </c>
      <c r="D682">
        <v>255207</v>
      </c>
      <c r="E682">
        <v>386496</v>
      </c>
      <c r="F682">
        <v>-11023</v>
      </c>
      <c r="G682">
        <v>-57213</v>
      </c>
      <c r="H682">
        <v>167618</v>
      </c>
      <c r="I682">
        <v>-63679</v>
      </c>
      <c r="J682">
        <v>19367</v>
      </c>
      <c r="K682">
        <v>142767</v>
      </c>
      <c r="L682">
        <v>-4629</v>
      </c>
      <c r="M682">
        <v>6.22</v>
      </c>
      <c r="N682">
        <f t="shared" si="30"/>
        <v>932092</v>
      </c>
      <c r="O682">
        <v>18627800</v>
      </c>
      <c r="P682" s="2">
        <f t="shared" si="31"/>
        <v>5.0037685609680151</v>
      </c>
      <c r="Q682" s="4">
        <f t="shared" si="32"/>
        <v>11.5864916</v>
      </c>
    </row>
    <row r="683" spans="1:17" x14ac:dyDescent="0.4">
      <c r="A683">
        <v>20210815</v>
      </c>
      <c r="B683" s="1">
        <v>0.1875</v>
      </c>
      <c r="C683">
        <v>103184</v>
      </c>
      <c r="D683">
        <v>222077</v>
      </c>
      <c r="E683">
        <v>308394</v>
      </c>
      <c r="F683">
        <v>6085</v>
      </c>
      <c r="G683">
        <v>-90515</v>
      </c>
      <c r="H683">
        <v>173228</v>
      </c>
      <c r="I683">
        <v>-89967</v>
      </c>
      <c r="J683">
        <v>18997</v>
      </c>
      <c r="K683">
        <v>104260</v>
      </c>
      <c r="L683">
        <v>-9920</v>
      </c>
      <c r="M683">
        <v>6.26</v>
      </c>
      <c r="N683">
        <f t="shared" si="30"/>
        <v>745823</v>
      </c>
      <c r="O683">
        <v>18617350</v>
      </c>
      <c r="P683" s="2">
        <f t="shared" si="31"/>
        <v>4.0060642357800651</v>
      </c>
      <c r="Q683" s="4">
        <f t="shared" si="32"/>
        <v>11.654461100000001</v>
      </c>
    </row>
    <row r="684" spans="1:17" x14ac:dyDescent="0.4">
      <c r="A684">
        <v>20210815</v>
      </c>
      <c r="B684" s="1">
        <v>0.20833333333333334</v>
      </c>
      <c r="C684">
        <v>99519</v>
      </c>
      <c r="D684">
        <v>267268</v>
      </c>
      <c r="E684">
        <v>271078</v>
      </c>
      <c r="F684">
        <v>-58153</v>
      </c>
      <c r="G684">
        <v>-83775</v>
      </c>
      <c r="H684">
        <v>215156</v>
      </c>
      <c r="I684">
        <v>-130381</v>
      </c>
      <c r="J684">
        <v>20649</v>
      </c>
      <c r="K684">
        <v>167550</v>
      </c>
      <c r="L684">
        <v>-6310</v>
      </c>
      <c r="M684">
        <v>6</v>
      </c>
      <c r="N684">
        <f t="shared" si="30"/>
        <v>762601</v>
      </c>
      <c r="O684">
        <v>18747750</v>
      </c>
      <c r="P684" s="2">
        <f t="shared" si="31"/>
        <v>4.0676934565481195</v>
      </c>
      <c r="Q684" s="4">
        <f t="shared" si="32"/>
        <v>11.24865</v>
      </c>
    </row>
    <row r="685" spans="1:17" x14ac:dyDescent="0.4">
      <c r="A685">
        <v>20210815</v>
      </c>
      <c r="B685" s="1">
        <v>0.22916666666666666</v>
      </c>
      <c r="C685">
        <v>40015</v>
      </c>
      <c r="D685">
        <v>321626</v>
      </c>
      <c r="E685">
        <v>613054</v>
      </c>
      <c r="F685">
        <v>-609</v>
      </c>
      <c r="G685">
        <v>-101385</v>
      </c>
      <c r="H685">
        <v>278723</v>
      </c>
      <c r="I685">
        <v>26293</v>
      </c>
      <c r="J685">
        <v>36044</v>
      </c>
      <c r="K685">
        <v>186034</v>
      </c>
      <c r="L685">
        <v>-3099</v>
      </c>
      <c r="M685">
        <v>6</v>
      </c>
      <c r="N685">
        <f t="shared" si="30"/>
        <v>1396696</v>
      </c>
      <c r="O685">
        <v>18818150</v>
      </c>
      <c r="P685" s="2">
        <f t="shared" si="31"/>
        <v>7.4220685880386759</v>
      </c>
      <c r="Q685" s="4">
        <f t="shared" si="32"/>
        <v>11.290889999999999</v>
      </c>
    </row>
    <row r="686" spans="1:17" x14ac:dyDescent="0.4">
      <c r="A686">
        <v>20210815</v>
      </c>
      <c r="B686" s="1">
        <v>0.25</v>
      </c>
      <c r="C686">
        <v>117825</v>
      </c>
      <c r="D686">
        <v>295077</v>
      </c>
      <c r="E686">
        <v>289518</v>
      </c>
      <c r="F686">
        <v>69877</v>
      </c>
      <c r="G686">
        <v>-96995</v>
      </c>
      <c r="H686">
        <v>222480</v>
      </c>
      <c r="I686">
        <v>97303</v>
      </c>
      <c r="J686">
        <v>44169</v>
      </c>
      <c r="K686">
        <v>230151</v>
      </c>
      <c r="L686">
        <v>-1926</v>
      </c>
      <c r="M686">
        <v>5.96</v>
      </c>
      <c r="N686">
        <f t="shared" si="30"/>
        <v>1267479</v>
      </c>
      <c r="O686">
        <v>18593550</v>
      </c>
      <c r="P686" s="2">
        <f t="shared" si="31"/>
        <v>6.8167671047217988</v>
      </c>
      <c r="Q686" s="4">
        <f t="shared" si="32"/>
        <v>11.0817558</v>
      </c>
    </row>
    <row r="687" spans="1:17" x14ac:dyDescent="0.4">
      <c r="A687">
        <v>20210815</v>
      </c>
      <c r="B687" s="1">
        <v>0.27083333333333331</v>
      </c>
      <c r="C687">
        <v>54795</v>
      </c>
      <c r="D687">
        <v>330450</v>
      </c>
      <c r="E687">
        <v>244909</v>
      </c>
      <c r="F687">
        <v>-3624</v>
      </c>
      <c r="G687">
        <v>-83893</v>
      </c>
      <c r="H687">
        <v>381067</v>
      </c>
      <c r="I687">
        <v>196708</v>
      </c>
      <c r="J687">
        <v>36861</v>
      </c>
      <c r="K687">
        <v>368157</v>
      </c>
      <c r="L687">
        <v>-573</v>
      </c>
      <c r="M687">
        <v>5.96</v>
      </c>
      <c r="N687">
        <f t="shared" si="30"/>
        <v>1524857</v>
      </c>
      <c r="O687">
        <v>19088850</v>
      </c>
      <c r="P687" s="2">
        <f t="shared" si="31"/>
        <v>7.9882077757434313</v>
      </c>
      <c r="Q687" s="4">
        <f t="shared" si="32"/>
        <v>11.376954599999999</v>
      </c>
    </row>
    <row r="688" spans="1:17" x14ac:dyDescent="0.4">
      <c r="A688">
        <v>20210815</v>
      </c>
      <c r="B688" s="1">
        <v>0.29166666666666669</v>
      </c>
      <c r="C688">
        <v>101352</v>
      </c>
      <c r="D688">
        <v>303049</v>
      </c>
      <c r="E688">
        <v>341674</v>
      </c>
      <c r="F688">
        <v>28919</v>
      </c>
      <c r="G688">
        <v>-51481</v>
      </c>
      <c r="H688">
        <v>496237</v>
      </c>
      <c r="I688">
        <v>354301</v>
      </c>
      <c r="J688">
        <v>46407</v>
      </c>
      <c r="K688">
        <v>463732</v>
      </c>
      <c r="L688">
        <v>9008</v>
      </c>
      <c r="M688">
        <v>5.99</v>
      </c>
      <c r="N688">
        <f t="shared" si="30"/>
        <v>2093198</v>
      </c>
      <c r="O688">
        <v>19251700</v>
      </c>
      <c r="P688" s="2">
        <f t="shared" si="31"/>
        <v>10.872795649215394</v>
      </c>
      <c r="Q688" s="4">
        <f t="shared" si="32"/>
        <v>11.5317683</v>
      </c>
    </row>
    <row r="689" spans="1:17" x14ac:dyDescent="0.4">
      <c r="A689">
        <v>20210815</v>
      </c>
      <c r="B689" s="1">
        <v>0.3125</v>
      </c>
      <c r="C689">
        <v>44059</v>
      </c>
      <c r="D689">
        <v>388653</v>
      </c>
      <c r="E689">
        <v>334963</v>
      </c>
      <c r="F689">
        <v>-78105</v>
      </c>
      <c r="G689">
        <v>-29729</v>
      </c>
      <c r="H689">
        <v>584377</v>
      </c>
      <c r="I689">
        <v>467486</v>
      </c>
      <c r="J689">
        <v>66606</v>
      </c>
      <c r="K689">
        <v>519356</v>
      </c>
      <c r="L689">
        <v>-667</v>
      </c>
      <c r="M689">
        <v>6.08</v>
      </c>
      <c r="N689">
        <f t="shared" si="30"/>
        <v>2296999</v>
      </c>
      <c r="O689">
        <v>19469400</v>
      </c>
      <c r="P689" s="2">
        <f t="shared" si="31"/>
        <v>11.797995829352727</v>
      </c>
      <c r="Q689" s="4">
        <f t="shared" si="32"/>
        <v>11.8373952</v>
      </c>
    </row>
    <row r="690" spans="1:17" x14ac:dyDescent="0.4">
      <c r="A690">
        <v>20210815</v>
      </c>
      <c r="B690" s="1">
        <v>0.33333333333333331</v>
      </c>
      <c r="C690">
        <v>41875</v>
      </c>
      <c r="D690">
        <v>377813</v>
      </c>
      <c r="E690">
        <v>241416</v>
      </c>
      <c r="F690">
        <v>-73575</v>
      </c>
      <c r="G690">
        <v>504</v>
      </c>
      <c r="H690">
        <v>701541</v>
      </c>
      <c r="I690">
        <v>235143</v>
      </c>
      <c r="J690">
        <v>80228</v>
      </c>
      <c r="K690">
        <v>653581</v>
      </c>
      <c r="L690">
        <v>14029</v>
      </c>
      <c r="M690">
        <v>6</v>
      </c>
      <c r="N690">
        <f t="shared" si="30"/>
        <v>2272555</v>
      </c>
      <c r="O690">
        <v>19871750</v>
      </c>
      <c r="P690" s="2">
        <f t="shared" si="31"/>
        <v>11.436109049278498</v>
      </c>
      <c r="Q690" s="4">
        <f t="shared" si="32"/>
        <v>11.92305</v>
      </c>
    </row>
    <row r="691" spans="1:17" x14ac:dyDescent="0.4">
      <c r="A691">
        <v>20210815</v>
      </c>
      <c r="B691" s="1">
        <v>0.35416666666666669</v>
      </c>
      <c r="C691">
        <v>3584</v>
      </c>
      <c r="D691">
        <v>347597</v>
      </c>
      <c r="E691">
        <v>240708</v>
      </c>
      <c r="F691">
        <v>59045</v>
      </c>
      <c r="G691">
        <v>49239</v>
      </c>
      <c r="H691">
        <v>809729</v>
      </c>
      <c r="I691">
        <v>291766</v>
      </c>
      <c r="J691">
        <v>77791</v>
      </c>
      <c r="K691">
        <v>860741</v>
      </c>
      <c r="L691">
        <v>6371</v>
      </c>
      <c r="M691">
        <v>6.06</v>
      </c>
      <c r="N691">
        <f t="shared" si="30"/>
        <v>2746571</v>
      </c>
      <c r="O691">
        <v>20231000</v>
      </c>
      <c r="P691" s="2">
        <f t="shared" si="31"/>
        <v>13.576051603974099</v>
      </c>
      <c r="Q691" s="4">
        <f t="shared" si="32"/>
        <v>12.259985999999998</v>
      </c>
    </row>
    <row r="692" spans="1:17" x14ac:dyDescent="0.4">
      <c r="A692">
        <v>20210815</v>
      </c>
      <c r="B692" s="1">
        <v>0.375</v>
      </c>
      <c r="C692">
        <v>-21944</v>
      </c>
      <c r="D692">
        <v>377469</v>
      </c>
      <c r="E692">
        <v>633771</v>
      </c>
      <c r="F692">
        <v>135064</v>
      </c>
      <c r="G692">
        <v>97077</v>
      </c>
      <c r="H692">
        <v>953836</v>
      </c>
      <c r="I692">
        <v>492078</v>
      </c>
      <c r="J692">
        <v>98835</v>
      </c>
      <c r="K692">
        <v>1088926</v>
      </c>
      <c r="L692">
        <v>14081</v>
      </c>
      <c r="M692">
        <v>6.31</v>
      </c>
      <c r="N692">
        <f t="shared" si="30"/>
        <v>3869193</v>
      </c>
      <c r="O692">
        <v>21528100</v>
      </c>
      <c r="P692" s="2">
        <f t="shared" si="31"/>
        <v>17.972756536805385</v>
      </c>
      <c r="Q692" s="4">
        <f t="shared" si="32"/>
        <v>13.5842311</v>
      </c>
    </row>
    <row r="693" spans="1:17" x14ac:dyDescent="0.4">
      <c r="A693">
        <v>20210815</v>
      </c>
      <c r="B693" s="1">
        <v>0.39583333333333331</v>
      </c>
      <c r="C693">
        <v>-50962</v>
      </c>
      <c r="D693">
        <v>350328</v>
      </c>
      <c r="E693">
        <v>592264</v>
      </c>
      <c r="F693">
        <v>321722</v>
      </c>
      <c r="G693">
        <v>148847</v>
      </c>
      <c r="H693">
        <v>1156575</v>
      </c>
      <c r="I693">
        <v>477279</v>
      </c>
      <c r="J693">
        <v>153244</v>
      </c>
      <c r="K693">
        <v>1194788</v>
      </c>
      <c r="L693">
        <v>21874</v>
      </c>
      <c r="M693">
        <v>6.33</v>
      </c>
      <c r="N693">
        <f t="shared" si="30"/>
        <v>4365959</v>
      </c>
      <c r="O693">
        <v>21684600</v>
      </c>
      <c r="P693" s="2">
        <f t="shared" si="31"/>
        <v>20.13391531317156</v>
      </c>
      <c r="Q693" s="4">
        <f t="shared" si="32"/>
        <v>13.7263518</v>
      </c>
    </row>
    <row r="694" spans="1:17" x14ac:dyDescent="0.4">
      <c r="A694">
        <v>20210815</v>
      </c>
      <c r="B694" s="1">
        <v>0.41666666666666669</v>
      </c>
      <c r="C694">
        <v>-29242</v>
      </c>
      <c r="D694">
        <v>375007</v>
      </c>
      <c r="E694">
        <v>478005</v>
      </c>
      <c r="F694">
        <v>534085</v>
      </c>
      <c r="G694">
        <v>151517</v>
      </c>
      <c r="H694">
        <v>1182617</v>
      </c>
      <c r="I694">
        <v>441426</v>
      </c>
      <c r="J694">
        <v>175998</v>
      </c>
      <c r="K694">
        <v>994828</v>
      </c>
      <c r="L694">
        <v>20035</v>
      </c>
      <c r="M694">
        <v>6.47</v>
      </c>
      <c r="N694">
        <f t="shared" si="30"/>
        <v>4324276</v>
      </c>
      <c r="O694">
        <v>21961400</v>
      </c>
      <c r="P694" s="2">
        <f t="shared" si="31"/>
        <v>19.690347609897366</v>
      </c>
      <c r="Q694" s="4">
        <f t="shared" si="32"/>
        <v>14.209025799999999</v>
      </c>
    </row>
    <row r="695" spans="1:17" x14ac:dyDescent="0.4">
      <c r="A695">
        <v>20210815</v>
      </c>
      <c r="B695" s="1">
        <v>0.4375</v>
      </c>
      <c r="C695">
        <v>-35452</v>
      </c>
      <c r="D695">
        <v>322606</v>
      </c>
      <c r="E695">
        <v>163978</v>
      </c>
      <c r="F695">
        <v>882404</v>
      </c>
      <c r="G695">
        <v>167250</v>
      </c>
      <c r="H695">
        <v>1153079</v>
      </c>
      <c r="I695">
        <v>411522</v>
      </c>
      <c r="J695">
        <v>169080</v>
      </c>
      <c r="K695">
        <v>969972</v>
      </c>
      <c r="L695">
        <v>18724</v>
      </c>
      <c r="M695">
        <v>6.57</v>
      </c>
      <c r="N695">
        <f t="shared" si="30"/>
        <v>4223163</v>
      </c>
      <c r="O695">
        <v>22035850</v>
      </c>
      <c r="P695" s="2">
        <f t="shared" si="31"/>
        <v>19.164965272499131</v>
      </c>
      <c r="Q695" s="4">
        <f t="shared" si="32"/>
        <v>14.47755345</v>
      </c>
    </row>
    <row r="696" spans="1:17" x14ac:dyDescent="0.4">
      <c r="A696">
        <v>20210815</v>
      </c>
      <c r="B696" s="1">
        <v>0.45833333333333331</v>
      </c>
      <c r="C696">
        <v>25279</v>
      </c>
      <c r="D696">
        <v>300787</v>
      </c>
      <c r="E696">
        <v>12588</v>
      </c>
      <c r="F696">
        <v>1033581</v>
      </c>
      <c r="G696">
        <v>199880</v>
      </c>
      <c r="H696">
        <v>1081331</v>
      </c>
      <c r="I696">
        <v>338966</v>
      </c>
      <c r="J696">
        <v>237275</v>
      </c>
      <c r="K696">
        <v>811425</v>
      </c>
      <c r="L696">
        <v>23041</v>
      </c>
      <c r="M696">
        <v>6.55</v>
      </c>
      <c r="N696">
        <f t="shared" si="30"/>
        <v>4064153</v>
      </c>
      <c r="O696">
        <v>22206000</v>
      </c>
      <c r="P696" s="2">
        <f t="shared" si="31"/>
        <v>18.30204899576691</v>
      </c>
      <c r="Q696" s="4">
        <f t="shared" si="32"/>
        <v>14.544930000000001</v>
      </c>
    </row>
    <row r="697" spans="1:17" x14ac:dyDescent="0.4">
      <c r="A697">
        <v>20210815</v>
      </c>
      <c r="B697" s="1">
        <v>0.47916666666666669</v>
      </c>
      <c r="C697">
        <v>-8351</v>
      </c>
      <c r="D697">
        <v>317341</v>
      </c>
      <c r="E697">
        <v>12213</v>
      </c>
      <c r="F697">
        <v>1005006</v>
      </c>
      <c r="G697">
        <v>171968</v>
      </c>
      <c r="H697">
        <v>993857</v>
      </c>
      <c r="I697">
        <v>357220</v>
      </c>
      <c r="J697">
        <v>322655</v>
      </c>
      <c r="K697">
        <v>525139</v>
      </c>
      <c r="L697">
        <v>24750</v>
      </c>
      <c r="M697">
        <v>6.55</v>
      </c>
      <c r="N697">
        <f t="shared" si="30"/>
        <v>3721798</v>
      </c>
      <c r="O697">
        <v>22258100</v>
      </c>
      <c r="P697" s="2">
        <f t="shared" si="31"/>
        <v>16.721094792457578</v>
      </c>
      <c r="Q697" s="4">
        <f t="shared" si="32"/>
        <v>14.579055500000001</v>
      </c>
    </row>
    <row r="698" spans="1:17" x14ac:dyDescent="0.4">
      <c r="A698">
        <v>20210815</v>
      </c>
      <c r="B698" s="1">
        <v>0.5</v>
      </c>
      <c r="C698">
        <v>-65134</v>
      </c>
      <c r="D698">
        <v>358904</v>
      </c>
      <c r="E698">
        <v>-2197</v>
      </c>
      <c r="F698">
        <v>952899</v>
      </c>
      <c r="G698">
        <v>153699</v>
      </c>
      <c r="H698">
        <v>1048043</v>
      </c>
      <c r="I698">
        <v>225902</v>
      </c>
      <c r="J698">
        <v>365191</v>
      </c>
      <c r="K698">
        <v>329482</v>
      </c>
      <c r="L698">
        <v>38172</v>
      </c>
      <c r="M698">
        <v>6.63</v>
      </c>
      <c r="N698">
        <f t="shared" si="30"/>
        <v>3404961</v>
      </c>
      <c r="O698">
        <v>22339950</v>
      </c>
      <c r="P698" s="2">
        <f t="shared" si="31"/>
        <v>15.241578427883679</v>
      </c>
      <c r="Q698" s="4">
        <f t="shared" si="32"/>
        <v>14.81138685</v>
      </c>
    </row>
    <row r="699" spans="1:17" x14ac:dyDescent="0.4">
      <c r="A699">
        <v>20210815</v>
      </c>
      <c r="B699" s="1">
        <v>0.52083333333333337</v>
      </c>
      <c r="C699">
        <v>4448</v>
      </c>
      <c r="D699">
        <v>323789</v>
      </c>
      <c r="E699">
        <v>105014</v>
      </c>
      <c r="F699">
        <v>963184</v>
      </c>
      <c r="G699">
        <v>143943</v>
      </c>
      <c r="H699">
        <v>1152117</v>
      </c>
      <c r="I699">
        <v>164887</v>
      </c>
      <c r="J699">
        <v>363112</v>
      </c>
      <c r="K699">
        <v>214287</v>
      </c>
      <c r="L699">
        <v>41074</v>
      </c>
      <c r="M699">
        <v>6.63</v>
      </c>
      <c r="N699">
        <f t="shared" si="30"/>
        <v>3475855</v>
      </c>
      <c r="O699">
        <v>22331400</v>
      </c>
      <c r="P699" s="2">
        <f t="shared" si="31"/>
        <v>15.564877258031292</v>
      </c>
      <c r="Q699" s="4">
        <f t="shared" si="32"/>
        <v>14.805718199999999</v>
      </c>
    </row>
    <row r="700" spans="1:17" x14ac:dyDescent="0.4">
      <c r="A700">
        <v>20210815</v>
      </c>
      <c r="B700" s="1">
        <v>0.54166666666666663</v>
      </c>
      <c r="C700">
        <v>-70945</v>
      </c>
      <c r="D700">
        <v>379666</v>
      </c>
      <c r="E700">
        <v>176108</v>
      </c>
      <c r="F700">
        <v>744465</v>
      </c>
      <c r="G700">
        <v>131457</v>
      </c>
      <c r="H700">
        <v>1092410</v>
      </c>
      <c r="I700">
        <v>227359</v>
      </c>
      <c r="J700">
        <v>302653</v>
      </c>
      <c r="K700">
        <v>295538</v>
      </c>
      <c r="L700">
        <v>47044</v>
      </c>
      <c r="M700">
        <v>6.63</v>
      </c>
      <c r="N700">
        <f t="shared" si="30"/>
        <v>3325755</v>
      </c>
      <c r="O700">
        <v>21870500</v>
      </c>
      <c r="P700" s="2">
        <f t="shared" si="31"/>
        <v>15.206579639240072</v>
      </c>
      <c r="Q700" s="4">
        <f t="shared" si="32"/>
        <v>14.5001415</v>
      </c>
    </row>
    <row r="701" spans="1:17" x14ac:dyDescent="0.4">
      <c r="A701">
        <v>20210815</v>
      </c>
      <c r="B701" s="1">
        <v>0.5625</v>
      </c>
      <c r="C701">
        <v>-55846</v>
      </c>
      <c r="D701">
        <v>360353</v>
      </c>
      <c r="E701">
        <v>310751</v>
      </c>
      <c r="F701">
        <v>773481</v>
      </c>
      <c r="G701">
        <v>118254</v>
      </c>
      <c r="H701">
        <v>1068267</v>
      </c>
      <c r="I701">
        <v>225935</v>
      </c>
      <c r="J701">
        <v>242815</v>
      </c>
      <c r="K701">
        <v>338336</v>
      </c>
      <c r="L701">
        <v>44207</v>
      </c>
      <c r="M701">
        <v>6.63</v>
      </c>
      <c r="N701">
        <f t="shared" si="30"/>
        <v>3426553</v>
      </c>
      <c r="O701">
        <v>21871250</v>
      </c>
      <c r="P701" s="2">
        <f t="shared" si="31"/>
        <v>15.666928044807682</v>
      </c>
      <c r="Q701" s="4">
        <f t="shared" si="32"/>
        <v>14.50063875</v>
      </c>
    </row>
    <row r="702" spans="1:17" x14ac:dyDescent="0.4">
      <c r="A702">
        <v>20210815</v>
      </c>
      <c r="B702" s="1">
        <v>0.58333333333333337</v>
      </c>
      <c r="C702">
        <v>-52005</v>
      </c>
      <c r="D702">
        <v>361378</v>
      </c>
      <c r="E702">
        <v>1056967</v>
      </c>
      <c r="F702">
        <v>653562</v>
      </c>
      <c r="G702">
        <v>113409</v>
      </c>
      <c r="H702">
        <v>1021124</v>
      </c>
      <c r="I702">
        <v>178454</v>
      </c>
      <c r="J702">
        <v>169652</v>
      </c>
      <c r="K702">
        <v>323556</v>
      </c>
      <c r="L702">
        <v>38318</v>
      </c>
      <c r="M702">
        <v>6.72</v>
      </c>
      <c r="N702">
        <f t="shared" si="30"/>
        <v>3864415</v>
      </c>
      <c r="O702">
        <v>21793750</v>
      </c>
      <c r="P702" s="2">
        <f t="shared" si="31"/>
        <v>17.731757958130199</v>
      </c>
      <c r="Q702" s="4">
        <f t="shared" si="32"/>
        <v>14.6454</v>
      </c>
    </row>
    <row r="703" spans="1:17" x14ac:dyDescent="0.4">
      <c r="A703">
        <v>20210815</v>
      </c>
      <c r="B703" s="1">
        <v>0.60416666666666663</v>
      </c>
      <c r="C703">
        <v>-44983</v>
      </c>
      <c r="D703">
        <v>343632</v>
      </c>
      <c r="E703">
        <v>1575073</v>
      </c>
      <c r="F703">
        <v>787197</v>
      </c>
      <c r="G703">
        <v>82866</v>
      </c>
      <c r="H703">
        <v>1012842</v>
      </c>
      <c r="I703">
        <v>-39809</v>
      </c>
      <c r="J703">
        <v>118492</v>
      </c>
      <c r="K703">
        <v>273198</v>
      </c>
      <c r="L703">
        <v>35247</v>
      </c>
      <c r="M703">
        <v>6.74</v>
      </c>
      <c r="N703">
        <f t="shared" si="30"/>
        <v>4143755</v>
      </c>
      <c r="O703">
        <v>21671500</v>
      </c>
      <c r="P703" s="2">
        <f t="shared" si="31"/>
        <v>19.120757677133561</v>
      </c>
      <c r="Q703" s="4">
        <f t="shared" si="32"/>
        <v>14.606591</v>
      </c>
    </row>
    <row r="704" spans="1:17" x14ac:dyDescent="0.4">
      <c r="A704">
        <v>20210815</v>
      </c>
      <c r="B704" s="1">
        <v>0.625</v>
      </c>
      <c r="C704">
        <v>-84081</v>
      </c>
      <c r="D704">
        <v>362747</v>
      </c>
      <c r="E704">
        <v>1651918</v>
      </c>
      <c r="F704">
        <v>687597</v>
      </c>
      <c r="G704">
        <v>69997</v>
      </c>
      <c r="H704">
        <v>894378</v>
      </c>
      <c r="I704">
        <v>-96720</v>
      </c>
      <c r="J704">
        <v>48743</v>
      </c>
      <c r="K704">
        <v>372905</v>
      </c>
      <c r="L704">
        <v>44973</v>
      </c>
      <c r="M704">
        <v>7.23</v>
      </c>
      <c r="N704">
        <f t="shared" si="30"/>
        <v>3952457</v>
      </c>
      <c r="O704">
        <v>21505150</v>
      </c>
      <c r="P704" s="2">
        <f t="shared" si="31"/>
        <v>18.379118490222108</v>
      </c>
      <c r="Q704" s="4">
        <f t="shared" si="32"/>
        <v>15.54822345</v>
      </c>
    </row>
    <row r="705" spans="1:17" x14ac:dyDescent="0.4">
      <c r="A705">
        <v>20210815</v>
      </c>
      <c r="B705" s="1">
        <v>0.64583333333333337</v>
      </c>
      <c r="C705">
        <v>-29828</v>
      </c>
      <c r="D705">
        <v>344316</v>
      </c>
      <c r="E705">
        <v>1652531</v>
      </c>
      <c r="F705">
        <v>642018</v>
      </c>
      <c r="G705">
        <v>41136</v>
      </c>
      <c r="H705">
        <v>533101</v>
      </c>
      <c r="I705">
        <v>-70541</v>
      </c>
      <c r="J705">
        <v>39395</v>
      </c>
      <c r="K705">
        <v>320494</v>
      </c>
      <c r="L705">
        <v>34851</v>
      </c>
      <c r="M705">
        <v>7.79</v>
      </c>
      <c r="N705">
        <f t="shared" si="30"/>
        <v>3507473</v>
      </c>
      <c r="O705">
        <v>21025650</v>
      </c>
      <c r="P705" s="2">
        <f t="shared" si="31"/>
        <v>16.681876660174595</v>
      </c>
      <c r="Q705" s="4">
        <f t="shared" si="32"/>
        <v>16.37898135</v>
      </c>
    </row>
    <row r="706" spans="1:17" x14ac:dyDescent="0.4">
      <c r="A706">
        <v>20210815</v>
      </c>
      <c r="B706" s="1">
        <v>0.66666666666666663</v>
      </c>
      <c r="C706">
        <v>-51088</v>
      </c>
      <c r="D706">
        <v>344770</v>
      </c>
      <c r="E706">
        <v>1603165</v>
      </c>
      <c r="F706">
        <v>474412</v>
      </c>
      <c r="G706">
        <v>-19471</v>
      </c>
      <c r="H706">
        <v>551404</v>
      </c>
      <c r="I706">
        <v>-23226</v>
      </c>
      <c r="J706">
        <v>23885</v>
      </c>
      <c r="K706">
        <v>297194</v>
      </c>
      <c r="L706">
        <v>24563</v>
      </c>
      <c r="M706">
        <v>6.91</v>
      </c>
      <c r="N706">
        <f t="shared" si="30"/>
        <v>3225608</v>
      </c>
      <c r="O706">
        <v>21300900</v>
      </c>
      <c r="P706" s="2">
        <f t="shared" si="31"/>
        <v>15.143059682924196</v>
      </c>
      <c r="Q706" s="4">
        <f t="shared" si="32"/>
        <v>14.7189219</v>
      </c>
    </row>
    <row r="707" spans="1:17" x14ac:dyDescent="0.4">
      <c r="A707">
        <v>20210815</v>
      </c>
      <c r="B707" s="1">
        <v>0.6875</v>
      </c>
      <c r="C707">
        <v>-13081</v>
      </c>
      <c r="D707">
        <v>292668</v>
      </c>
      <c r="E707">
        <v>1580255</v>
      </c>
      <c r="F707">
        <v>379746</v>
      </c>
      <c r="G707">
        <v>-16540</v>
      </c>
      <c r="H707">
        <v>493842</v>
      </c>
      <c r="I707">
        <v>-78584</v>
      </c>
      <c r="J707">
        <v>13423</v>
      </c>
      <c r="K707">
        <v>306232</v>
      </c>
      <c r="L707">
        <v>11077</v>
      </c>
      <c r="M707">
        <v>7</v>
      </c>
      <c r="N707">
        <f t="shared" ref="N707:N770" si="33">C707+D707+E707+F707+G707+H707+I707+J707+K707+L707</f>
        <v>2969038</v>
      </c>
      <c r="O707">
        <v>21200650</v>
      </c>
      <c r="P707" s="2">
        <f t="shared" ref="P707:P770" si="34">((N707*100)/O707)</f>
        <v>14.004466844176948</v>
      </c>
      <c r="Q707" s="4">
        <f t="shared" ref="Q707:Q770" si="35">(M707*O707)/10^7</f>
        <v>14.840455</v>
      </c>
    </row>
    <row r="708" spans="1:17" x14ac:dyDescent="0.4">
      <c r="A708">
        <v>20210815</v>
      </c>
      <c r="B708" s="1">
        <v>0.70833333333333337</v>
      </c>
      <c r="C708">
        <v>-15071</v>
      </c>
      <c r="D708">
        <v>238695</v>
      </c>
      <c r="E708">
        <v>1503535</v>
      </c>
      <c r="F708">
        <v>256086</v>
      </c>
      <c r="G708">
        <v>-65530</v>
      </c>
      <c r="H708">
        <v>420537</v>
      </c>
      <c r="I708">
        <v>-43573</v>
      </c>
      <c r="J708">
        <v>38191</v>
      </c>
      <c r="K708">
        <v>197238</v>
      </c>
      <c r="L708">
        <v>8630</v>
      </c>
      <c r="M708">
        <v>7.08</v>
      </c>
      <c r="N708">
        <f t="shared" si="33"/>
        <v>2538738</v>
      </c>
      <c r="O708">
        <v>21169950</v>
      </c>
      <c r="P708" s="2">
        <f t="shared" si="34"/>
        <v>11.992177591350003</v>
      </c>
      <c r="Q708" s="4">
        <f t="shared" si="35"/>
        <v>14.9883246</v>
      </c>
    </row>
    <row r="709" spans="1:17" x14ac:dyDescent="0.4">
      <c r="A709">
        <v>20210815</v>
      </c>
      <c r="B709" s="1">
        <v>0.72916666666666663</v>
      </c>
      <c r="C709">
        <v>-9099</v>
      </c>
      <c r="D709">
        <v>204350</v>
      </c>
      <c r="E709">
        <v>1618334</v>
      </c>
      <c r="F709">
        <v>251317</v>
      </c>
      <c r="G709">
        <v>-94654</v>
      </c>
      <c r="H709">
        <v>377968</v>
      </c>
      <c r="I709">
        <v>-123532</v>
      </c>
      <c r="J709">
        <v>36002</v>
      </c>
      <c r="K709">
        <v>175808</v>
      </c>
      <c r="L709">
        <v>-2558</v>
      </c>
      <c r="M709">
        <v>7.09</v>
      </c>
      <c r="N709">
        <f t="shared" si="33"/>
        <v>2433936</v>
      </c>
      <c r="O709">
        <v>20890250</v>
      </c>
      <c r="P709" s="2">
        <f t="shared" si="34"/>
        <v>11.651062098347316</v>
      </c>
      <c r="Q709" s="4">
        <f t="shared" si="35"/>
        <v>14.81118725</v>
      </c>
    </row>
    <row r="710" spans="1:17" x14ac:dyDescent="0.4">
      <c r="A710">
        <v>20210815</v>
      </c>
      <c r="B710" s="1">
        <v>0.75</v>
      </c>
      <c r="C710">
        <v>-13858</v>
      </c>
      <c r="D710">
        <v>101205</v>
      </c>
      <c r="E710">
        <v>1551869</v>
      </c>
      <c r="F710">
        <v>296530</v>
      </c>
      <c r="G710">
        <v>-51218</v>
      </c>
      <c r="H710">
        <v>285385</v>
      </c>
      <c r="I710">
        <v>-31407</v>
      </c>
      <c r="J710">
        <v>47856</v>
      </c>
      <c r="K710">
        <v>132271</v>
      </c>
      <c r="L710">
        <v>53</v>
      </c>
      <c r="M710">
        <v>7.54</v>
      </c>
      <c r="N710">
        <f t="shared" si="33"/>
        <v>2318686</v>
      </c>
      <c r="O710">
        <v>20725550</v>
      </c>
      <c r="P710" s="2">
        <f t="shared" si="34"/>
        <v>11.187572826776611</v>
      </c>
      <c r="Q710" s="4">
        <f t="shared" si="35"/>
        <v>15.6270647</v>
      </c>
    </row>
    <row r="711" spans="1:17" x14ac:dyDescent="0.4">
      <c r="A711">
        <v>20210815</v>
      </c>
      <c r="B711" s="1">
        <v>0.77083333333333337</v>
      </c>
      <c r="C711">
        <v>25451</v>
      </c>
      <c r="D711">
        <v>125165</v>
      </c>
      <c r="E711">
        <v>1485698</v>
      </c>
      <c r="F711">
        <v>184356</v>
      </c>
      <c r="G711">
        <v>-70540</v>
      </c>
      <c r="H711">
        <v>237081</v>
      </c>
      <c r="I711">
        <v>-135296</v>
      </c>
      <c r="J711">
        <v>54279</v>
      </c>
      <c r="K711">
        <v>98422</v>
      </c>
      <c r="L711">
        <v>-5717</v>
      </c>
      <c r="M711">
        <v>7.54</v>
      </c>
      <c r="N711">
        <f t="shared" si="33"/>
        <v>1998899</v>
      </c>
      <c r="O711">
        <v>20674800</v>
      </c>
      <c r="P711" s="2">
        <f t="shared" si="34"/>
        <v>9.6682869967303198</v>
      </c>
      <c r="Q711" s="4">
        <f t="shared" si="35"/>
        <v>15.5887992</v>
      </c>
    </row>
    <row r="712" spans="1:17" x14ac:dyDescent="0.4">
      <c r="A712">
        <v>20210815</v>
      </c>
      <c r="B712" s="1">
        <v>0.79166666666666663</v>
      </c>
      <c r="C712">
        <v>21498</v>
      </c>
      <c r="D712">
        <v>120112</v>
      </c>
      <c r="E712">
        <v>1519209</v>
      </c>
      <c r="F712">
        <v>212359</v>
      </c>
      <c r="G712">
        <v>-66390</v>
      </c>
      <c r="H712">
        <v>138065</v>
      </c>
      <c r="I712">
        <v>-105108</v>
      </c>
      <c r="J712">
        <v>63652</v>
      </c>
      <c r="K712">
        <v>185258</v>
      </c>
      <c r="L712">
        <v>-4972</v>
      </c>
      <c r="M712">
        <v>7.44</v>
      </c>
      <c r="N712">
        <f t="shared" si="33"/>
        <v>2083683</v>
      </c>
      <c r="O712">
        <v>20557400</v>
      </c>
      <c r="P712" s="2">
        <f t="shared" si="34"/>
        <v>10.135926722250868</v>
      </c>
      <c r="Q712" s="4">
        <f t="shared" si="35"/>
        <v>15.2947056</v>
      </c>
    </row>
    <row r="713" spans="1:17" x14ac:dyDescent="0.4">
      <c r="A713">
        <v>20210815</v>
      </c>
      <c r="B713" s="1">
        <v>0.8125</v>
      </c>
      <c r="C713">
        <v>-6826</v>
      </c>
      <c r="D713">
        <v>91550</v>
      </c>
      <c r="E713">
        <v>1578400</v>
      </c>
      <c r="F713">
        <v>195843</v>
      </c>
      <c r="G713">
        <v>-50298</v>
      </c>
      <c r="H713">
        <v>46845</v>
      </c>
      <c r="I713">
        <v>-151475</v>
      </c>
      <c r="J713">
        <v>60890</v>
      </c>
      <c r="K713">
        <v>170960</v>
      </c>
      <c r="L713">
        <v>-8003</v>
      </c>
      <c r="M713">
        <v>7.44</v>
      </c>
      <c r="N713">
        <f t="shared" si="33"/>
        <v>1927886</v>
      </c>
      <c r="O713">
        <v>20432050</v>
      </c>
      <c r="P713" s="2">
        <f t="shared" si="34"/>
        <v>9.4355975049003895</v>
      </c>
      <c r="Q713" s="4">
        <f t="shared" si="35"/>
        <v>15.2014452</v>
      </c>
    </row>
    <row r="714" spans="1:17" x14ac:dyDescent="0.4">
      <c r="A714">
        <v>20210815</v>
      </c>
      <c r="B714" s="1">
        <v>0.83333333333333337</v>
      </c>
      <c r="C714">
        <v>62098</v>
      </c>
      <c r="D714">
        <v>102360</v>
      </c>
      <c r="E714">
        <v>985900</v>
      </c>
      <c r="F714">
        <v>254180</v>
      </c>
      <c r="G714">
        <v>-7870</v>
      </c>
      <c r="H714">
        <v>237454</v>
      </c>
      <c r="I714">
        <v>-226530</v>
      </c>
      <c r="J714">
        <v>64566</v>
      </c>
      <c r="K714">
        <v>167138</v>
      </c>
      <c r="L714">
        <v>-14262</v>
      </c>
      <c r="M714">
        <v>7.1</v>
      </c>
      <c r="N714">
        <f t="shared" si="33"/>
        <v>1625034</v>
      </c>
      <c r="O714">
        <v>20267050</v>
      </c>
      <c r="P714" s="2">
        <f t="shared" si="34"/>
        <v>8.018108210124316</v>
      </c>
      <c r="Q714" s="4">
        <f t="shared" si="35"/>
        <v>14.3896055</v>
      </c>
    </row>
    <row r="715" spans="1:17" x14ac:dyDescent="0.4">
      <c r="A715">
        <v>20210815</v>
      </c>
      <c r="B715" s="1">
        <v>0.85416666666666663</v>
      </c>
      <c r="C715">
        <v>34136</v>
      </c>
      <c r="D715">
        <v>76913</v>
      </c>
      <c r="E715">
        <v>1003823</v>
      </c>
      <c r="F715">
        <v>187017</v>
      </c>
      <c r="G715">
        <v>6329</v>
      </c>
      <c r="H715">
        <v>124085</v>
      </c>
      <c r="I715">
        <v>-197962</v>
      </c>
      <c r="J715">
        <v>63097</v>
      </c>
      <c r="K715">
        <v>196378</v>
      </c>
      <c r="L715">
        <v>-9731</v>
      </c>
      <c r="M715">
        <v>7.09</v>
      </c>
      <c r="N715">
        <f t="shared" si="33"/>
        <v>1484085</v>
      </c>
      <c r="O715">
        <v>20381150</v>
      </c>
      <c r="P715" s="2">
        <f t="shared" si="34"/>
        <v>7.2816548624586934</v>
      </c>
      <c r="Q715" s="4">
        <f t="shared" si="35"/>
        <v>14.45023535</v>
      </c>
    </row>
    <row r="716" spans="1:17" x14ac:dyDescent="0.4">
      <c r="A716">
        <v>20210815</v>
      </c>
      <c r="B716" s="1">
        <v>0.875</v>
      </c>
      <c r="C716">
        <v>35277</v>
      </c>
      <c r="D716">
        <v>109230</v>
      </c>
      <c r="E716">
        <v>756007</v>
      </c>
      <c r="F716">
        <v>228343</v>
      </c>
      <c r="G716">
        <v>7623</v>
      </c>
      <c r="H716">
        <v>155429</v>
      </c>
      <c r="I716">
        <v>-221400</v>
      </c>
      <c r="J716">
        <v>53767</v>
      </c>
      <c r="K716">
        <v>118417</v>
      </c>
      <c r="L716">
        <v>-23536</v>
      </c>
      <c r="M716">
        <v>7.06</v>
      </c>
      <c r="N716">
        <f t="shared" si="33"/>
        <v>1219157</v>
      </c>
      <c r="O716">
        <v>20315900</v>
      </c>
      <c r="P716" s="2">
        <f t="shared" si="34"/>
        <v>6.0009992173617706</v>
      </c>
      <c r="Q716" s="4">
        <f t="shared" si="35"/>
        <v>14.3430254</v>
      </c>
    </row>
    <row r="717" spans="1:17" x14ac:dyDescent="0.4">
      <c r="A717">
        <v>20210815</v>
      </c>
      <c r="B717" s="1">
        <v>0.89583333333333337</v>
      </c>
      <c r="C717">
        <v>56889</v>
      </c>
      <c r="D717">
        <v>48641</v>
      </c>
      <c r="E717">
        <v>960001</v>
      </c>
      <c r="F717">
        <v>165524</v>
      </c>
      <c r="G717">
        <v>26128</v>
      </c>
      <c r="H717">
        <v>218706</v>
      </c>
      <c r="I717">
        <v>-147912</v>
      </c>
      <c r="J717">
        <v>54408</v>
      </c>
      <c r="K717">
        <v>124443</v>
      </c>
      <c r="L717">
        <v>-22591</v>
      </c>
      <c r="M717">
        <v>6.99</v>
      </c>
      <c r="N717">
        <f t="shared" si="33"/>
        <v>1484237</v>
      </c>
      <c r="O717">
        <v>20164300</v>
      </c>
      <c r="P717" s="2">
        <f t="shared" si="34"/>
        <v>7.360716712209201</v>
      </c>
      <c r="Q717" s="4">
        <f t="shared" si="35"/>
        <v>14.0948457</v>
      </c>
    </row>
    <row r="718" spans="1:17" x14ac:dyDescent="0.4">
      <c r="A718">
        <v>20210815</v>
      </c>
      <c r="B718" s="1">
        <v>0.91666666666666663</v>
      </c>
      <c r="C718">
        <v>56615</v>
      </c>
      <c r="D718">
        <v>151668</v>
      </c>
      <c r="E718">
        <v>773103</v>
      </c>
      <c r="F718">
        <v>220191</v>
      </c>
      <c r="G718">
        <v>47587</v>
      </c>
      <c r="H718">
        <v>217642</v>
      </c>
      <c r="I718">
        <v>-124851</v>
      </c>
      <c r="J718">
        <v>64609</v>
      </c>
      <c r="K718">
        <v>185678</v>
      </c>
      <c r="L718">
        <v>-33574</v>
      </c>
      <c r="M718">
        <v>7.38</v>
      </c>
      <c r="N718">
        <f t="shared" si="33"/>
        <v>1558668</v>
      </c>
      <c r="O718">
        <v>19790900</v>
      </c>
      <c r="P718" s="2">
        <f t="shared" si="34"/>
        <v>7.8756802368765442</v>
      </c>
      <c r="Q718" s="4">
        <f t="shared" si="35"/>
        <v>14.605684200000001</v>
      </c>
    </row>
    <row r="719" spans="1:17" x14ac:dyDescent="0.4">
      <c r="A719">
        <v>20210815</v>
      </c>
      <c r="B719" s="1">
        <v>0.9375</v>
      </c>
      <c r="C719">
        <v>54242</v>
      </c>
      <c r="D719">
        <v>141267</v>
      </c>
      <c r="E719">
        <v>633345</v>
      </c>
      <c r="F719">
        <v>184912</v>
      </c>
      <c r="G719">
        <v>47820</v>
      </c>
      <c r="H719">
        <v>241236</v>
      </c>
      <c r="I719">
        <v>-68127</v>
      </c>
      <c r="J719">
        <v>65968</v>
      </c>
      <c r="K719">
        <v>189088</v>
      </c>
      <c r="L719">
        <v>-19851</v>
      </c>
      <c r="M719">
        <v>6.99</v>
      </c>
      <c r="N719">
        <f t="shared" si="33"/>
        <v>1469900</v>
      </c>
      <c r="O719">
        <v>19670800</v>
      </c>
      <c r="P719" s="2">
        <f t="shared" si="34"/>
        <v>7.4724973056510153</v>
      </c>
      <c r="Q719" s="4">
        <f t="shared" si="35"/>
        <v>13.7498892</v>
      </c>
    </row>
    <row r="720" spans="1:17" x14ac:dyDescent="0.4">
      <c r="A720">
        <v>20210815</v>
      </c>
      <c r="B720" s="1">
        <v>0.95833333333333337</v>
      </c>
      <c r="C720">
        <v>81896</v>
      </c>
      <c r="D720">
        <v>174881</v>
      </c>
      <c r="E720">
        <v>514680</v>
      </c>
      <c r="F720">
        <v>223243</v>
      </c>
      <c r="G720">
        <v>68027</v>
      </c>
      <c r="H720">
        <v>189458</v>
      </c>
      <c r="I720">
        <v>-10698</v>
      </c>
      <c r="J720">
        <v>65185</v>
      </c>
      <c r="K720">
        <v>115702</v>
      </c>
      <c r="L720">
        <v>-22082</v>
      </c>
      <c r="M720">
        <v>6.52</v>
      </c>
      <c r="N720">
        <f t="shared" si="33"/>
        <v>1400292</v>
      </c>
      <c r="O720">
        <v>18965450</v>
      </c>
      <c r="P720" s="2">
        <f t="shared" si="34"/>
        <v>7.3833839956341665</v>
      </c>
      <c r="Q720" s="4">
        <f t="shared" si="35"/>
        <v>12.365473399999999</v>
      </c>
    </row>
    <row r="721" spans="1:17" x14ac:dyDescent="0.4">
      <c r="A721">
        <v>20210815</v>
      </c>
      <c r="B721" s="1">
        <v>0.97916666666666663</v>
      </c>
      <c r="C721">
        <v>77783</v>
      </c>
      <c r="D721">
        <v>190166</v>
      </c>
      <c r="E721">
        <v>604493</v>
      </c>
      <c r="F721">
        <v>205188</v>
      </c>
      <c r="G721">
        <v>69309</v>
      </c>
      <c r="H721">
        <v>267988</v>
      </c>
      <c r="I721">
        <v>59356</v>
      </c>
      <c r="J721">
        <v>53411</v>
      </c>
      <c r="K721">
        <v>133313</v>
      </c>
      <c r="L721">
        <v>-10867</v>
      </c>
      <c r="M721">
        <v>6.18</v>
      </c>
      <c r="N721">
        <f t="shared" si="33"/>
        <v>1650140</v>
      </c>
      <c r="O721">
        <v>18519850</v>
      </c>
      <c r="P721" s="2">
        <f t="shared" si="34"/>
        <v>8.9101153627054206</v>
      </c>
      <c r="Q721" s="4">
        <f t="shared" si="35"/>
        <v>11.445267299999999</v>
      </c>
    </row>
    <row r="722" spans="1:17" x14ac:dyDescent="0.4">
      <c r="A722">
        <v>20210816</v>
      </c>
      <c r="B722" s="1">
        <v>0</v>
      </c>
      <c r="C722">
        <v>66823</v>
      </c>
      <c r="D722">
        <v>226825</v>
      </c>
      <c r="E722">
        <v>510618</v>
      </c>
      <c r="F722">
        <v>154640</v>
      </c>
      <c r="G722">
        <v>181542</v>
      </c>
      <c r="H722">
        <v>454188</v>
      </c>
      <c r="I722">
        <v>-51857</v>
      </c>
      <c r="J722">
        <v>69691</v>
      </c>
      <c r="K722">
        <v>193863</v>
      </c>
      <c r="L722">
        <v>-23086</v>
      </c>
      <c r="M722">
        <v>6.15</v>
      </c>
      <c r="N722">
        <f t="shared" si="33"/>
        <v>1783247</v>
      </c>
      <c r="O722">
        <v>18199450</v>
      </c>
      <c r="P722" s="2">
        <f t="shared" si="34"/>
        <v>9.7983565437417059</v>
      </c>
      <c r="Q722" s="4">
        <f t="shared" si="35"/>
        <v>11.192661749999999</v>
      </c>
    </row>
    <row r="723" spans="1:17" x14ac:dyDescent="0.4">
      <c r="A723">
        <v>20210816</v>
      </c>
      <c r="B723" s="1">
        <v>2.0833333333333332E-2</v>
      </c>
      <c r="C723">
        <v>47274</v>
      </c>
      <c r="D723">
        <v>100523</v>
      </c>
      <c r="E723">
        <v>533976</v>
      </c>
      <c r="F723">
        <v>110704</v>
      </c>
      <c r="G723">
        <v>185494</v>
      </c>
      <c r="H723">
        <v>464978</v>
      </c>
      <c r="I723">
        <v>-47627</v>
      </c>
      <c r="J723">
        <v>78738</v>
      </c>
      <c r="K723">
        <v>186646</v>
      </c>
      <c r="L723">
        <v>-9050</v>
      </c>
      <c r="M723">
        <v>5.9</v>
      </c>
      <c r="N723">
        <f t="shared" si="33"/>
        <v>1651656</v>
      </c>
      <c r="O723">
        <v>19075350</v>
      </c>
      <c r="P723" s="2">
        <f t="shared" si="34"/>
        <v>8.658588177936446</v>
      </c>
      <c r="Q723" s="4">
        <f t="shared" si="35"/>
        <v>11.2544565</v>
      </c>
    </row>
    <row r="724" spans="1:17" x14ac:dyDescent="0.4">
      <c r="A724">
        <v>20210816</v>
      </c>
      <c r="B724" s="1">
        <v>4.1666666666666664E-2</v>
      </c>
      <c r="C724">
        <v>81880</v>
      </c>
      <c r="D724">
        <v>158172</v>
      </c>
      <c r="E724">
        <v>496092</v>
      </c>
      <c r="F724">
        <v>226751</v>
      </c>
      <c r="G724">
        <v>155681</v>
      </c>
      <c r="H724">
        <v>396246</v>
      </c>
      <c r="I724">
        <v>-33326</v>
      </c>
      <c r="J724">
        <v>73823</v>
      </c>
      <c r="K724">
        <v>155155</v>
      </c>
      <c r="L724">
        <v>-17664</v>
      </c>
      <c r="M724">
        <v>5.87</v>
      </c>
      <c r="N724">
        <f t="shared" si="33"/>
        <v>1692810</v>
      </c>
      <c r="O724">
        <v>19260050</v>
      </c>
      <c r="P724" s="2">
        <f t="shared" si="34"/>
        <v>8.7892295191341656</v>
      </c>
      <c r="Q724" s="4">
        <f t="shared" si="35"/>
        <v>11.305649349999999</v>
      </c>
    </row>
    <row r="725" spans="1:17" x14ac:dyDescent="0.4">
      <c r="A725">
        <v>20210816</v>
      </c>
      <c r="B725" s="1">
        <v>6.25E-2</v>
      </c>
      <c r="C725">
        <v>41110</v>
      </c>
      <c r="D725">
        <v>188174</v>
      </c>
      <c r="E725">
        <v>441103</v>
      </c>
      <c r="F725">
        <v>248050</v>
      </c>
      <c r="G725">
        <v>178055</v>
      </c>
      <c r="H725">
        <v>228048</v>
      </c>
      <c r="I725">
        <v>-27806</v>
      </c>
      <c r="J725">
        <v>62321</v>
      </c>
      <c r="K725">
        <v>172007</v>
      </c>
      <c r="L725">
        <v>-6041</v>
      </c>
      <c r="M725">
        <v>5.76</v>
      </c>
      <c r="N725">
        <f t="shared" si="33"/>
        <v>1525021</v>
      </c>
      <c r="O725">
        <v>19381700</v>
      </c>
      <c r="P725" s="2">
        <f t="shared" si="34"/>
        <v>7.8683552010401563</v>
      </c>
      <c r="Q725" s="4">
        <f t="shared" si="35"/>
        <v>11.163859199999999</v>
      </c>
    </row>
    <row r="726" spans="1:17" x14ac:dyDescent="0.4">
      <c r="A726">
        <v>20210816</v>
      </c>
      <c r="B726" s="1">
        <v>8.3333333333333329E-2</v>
      </c>
      <c r="C726">
        <v>49402</v>
      </c>
      <c r="D726">
        <v>154194</v>
      </c>
      <c r="E726">
        <v>468651</v>
      </c>
      <c r="F726">
        <v>309703</v>
      </c>
      <c r="G726">
        <v>176768</v>
      </c>
      <c r="H726">
        <v>261437</v>
      </c>
      <c r="I726">
        <v>2733</v>
      </c>
      <c r="J726">
        <v>61859</v>
      </c>
      <c r="K726">
        <v>178352</v>
      </c>
      <c r="L726">
        <v>-6703</v>
      </c>
      <c r="M726">
        <v>5.64</v>
      </c>
      <c r="N726">
        <f t="shared" si="33"/>
        <v>1656396</v>
      </c>
      <c r="O726">
        <v>19518550</v>
      </c>
      <c r="P726" s="2">
        <f t="shared" si="34"/>
        <v>8.4862656293628369</v>
      </c>
      <c r="Q726" s="4">
        <f t="shared" si="35"/>
        <v>11.0084622</v>
      </c>
    </row>
    <row r="727" spans="1:17" x14ac:dyDescent="0.4">
      <c r="A727">
        <v>20210816</v>
      </c>
      <c r="B727" s="1">
        <v>0.10416666666666667</v>
      </c>
      <c r="C727">
        <v>7645</v>
      </c>
      <c r="D727">
        <v>143383</v>
      </c>
      <c r="E727">
        <v>499297</v>
      </c>
      <c r="F727">
        <v>220940</v>
      </c>
      <c r="G727">
        <v>176204</v>
      </c>
      <c r="H727">
        <v>201776</v>
      </c>
      <c r="I727">
        <v>-23174</v>
      </c>
      <c r="J727">
        <v>60975</v>
      </c>
      <c r="K727">
        <v>160515</v>
      </c>
      <c r="L727">
        <v>-432</v>
      </c>
      <c r="M727">
        <v>5.69</v>
      </c>
      <c r="N727">
        <f t="shared" si="33"/>
        <v>1447129</v>
      </c>
      <c r="O727">
        <v>19464300</v>
      </c>
      <c r="P727" s="2">
        <f t="shared" si="34"/>
        <v>7.4347857359370746</v>
      </c>
      <c r="Q727" s="4">
        <f t="shared" si="35"/>
        <v>11.075186700000001</v>
      </c>
    </row>
    <row r="728" spans="1:17" x14ac:dyDescent="0.4">
      <c r="A728">
        <v>20210816</v>
      </c>
      <c r="B728" s="1">
        <v>0.125</v>
      </c>
      <c r="C728">
        <v>17391</v>
      </c>
      <c r="D728">
        <v>103094</v>
      </c>
      <c r="E728">
        <v>414079</v>
      </c>
      <c r="F728">
        <v>320052</v>
      </c>
      <c r="G728">
        <v>107791</v>
      </c>
      <c r="H728">
        <v>188088</v>
      </c>
      <c r="I728">
        <v>22877</v>
      </c>
      <c r="J728">
        <v>42988</v>
      </c>
      <c r="K728">
        <v>146318</v>
      </c>
      <c r="L728">
        <v>-7767</v>
      </c>
      <c r="M728">
        <v>5.82</v>
      </c>
      <c r="N728">
        <f t="shared" si="33"/>
        <v>1354911</v>
      </c>
      <c r="O728">
        <v>19595550</v>
      </c>
      <c r="P728" s="2">
        <f t="shared" si="34"/>
        <v>6.9143810712125964</v>
      </c>
      <c r="Q728" s="4">
        <f t="shared" si="35"/>
        <v>11.404610099999999</v>
      </c>
    </row>
    <row r="729" spans="1:17" x14ac:dyDescent="0.4">
      <c r="A729">
        <v>20210816</v>
      </c>
      <c r="B729" s="1">
        <v>0.14583333333333334</v>
      </c>
      <c r="C729">
        <v>20503</v>
      </c>
      <c r="D729">
        <v>99905</v>
      </c>
      <c r="E729">
        <v>536374</v>
      </c>
      <c r="F729">
        <v>272867</v>
      </c>
      <c r="G729">
        <v>110813</v>
      </c>
      <c r="H729">
        <v>169153</v>
      </c>
      <c r="I729">
        <v>-66283</v>
      </c>
      <c r="J729">
        <v>29208</v>
      </c>
      <c r="K729">
        <v>183219</v>
      </c>
      <c r="L729">
        <v>3960</v>
      </c>
      <c r="M729">
        <v>5.8</v>
      </c>
      <c r="N729">
        <f t="shared" si="33"/>
        <v>1359719</v>
      </c>
      <c r="O729">
        <v>19812150</v>
      </c>
      <c r="P729" s="2">
        <f t="shared" si="34"/>
        <v>6.863056255883385</v>
      </c>
      <c r="Q729" s="4">
        <f t="shared" si="35"/>
        <v>11.491047</v>
      </c>
    </row>
    <row r="730" spans="1:17" x14ac:dyDescent="0.4">
      <c r="A730">
        <v>20210816</v>
      </c>
      <c r="B730" s="1">
        <v>0.16666666666666666</v>
      </c>
      <c r="C730">
        <v>43504</v>
      </c>
      <c r="D730">
        <v>100653</v>
      </c>
      <c r="E730">
        <v>532781</v>
      </c>
      <c r="F730">
        <v>325193</v>
      </c>
      <c r="G730">
        <v>97428</v>
      </c>
      <c r="H730">
        <v>205857</v>
      </c>
      <c r="I730">
        <v>28085</v>
      </c>
      <c r="J730">
        <v>24316</v>
      </c>
      <c r="K730">
        <v>185870</v>
      </c>
      <c r="L730">
        <v>-3104</v>
      </c>
      <c r="M730">
        <v>5.93</v>
      </c>
      <c r="N730">
        <f t="shared" si="33"/>
        <v>1540583</v>
      </c>
      <c r="O730">
        <v>19886200</v>
      </c>
      <c r="P730" s="2">
        <f t="shared" si="34"/>
        <v>7.7469954038478948</v>
      </c>
      <c r="Q730" s="4">
        <f t="shared" si="35"/>
        <v>11.792516600000001</v>
      </c>
    </row>
    <row r="731" spans="1:17" x14ac:dyDescent="0.4">
      <c r="A731">
        <v>20210816</v>
      </c>
      <c r="B731" s="1">
        <v>0.1875</v>
      </c>
      <c r="C731">
        <v>-137</v>
      </c>
      <c r="D731">
        <v>134845</v>
      </c>
      <c r="E731">
        <v>647253</v>
      </c>
      <c r="F731">
        <v>309123</v>
      </c>
      <c r="G731">
        <v>102639</v>
      </c>
      <c r="H731">
        <v>205017</v>
      </c>
      <c r="I731">
        <v>95777</v>
      </c>
      <c r="J731">
        <v>22034</v>
      </c>
      <c r="K731">
        <v>196233</v>
      </c>
      <c r="L731">
        <v>-218</v>
      </c>
      <c r="M731">
        <v>5.98</v>
      </c>
      <c r="N731">
        <f t="shared" si="33"/>
        <v>1712566</v>
      </c>
      <c r="O731">
        <v>19885700</v>
      </c>
      <c r="P731" s="2">
        <f t="shared" si="34"/>
        <v>8.6120478534826539</v>
      </c>
      <c r="Q731" s="4">
        <f t="shared" si="35"/>
        <v>11.891648600000002</v>
      </c>
    </row>
    <row r="732" spans="1:17" x14ac:dyDescent="0.4">
      <c r="A732">
        <v>20210816</v>
      </c>
      <c r="B732" s="1">
        <v>0.20833333333333334</v>
      </c>
      <c r="C732">
        <v>-20856</v>
      </c>
      <c r="D732">
        <v>139166</v>
      </c>
      <c r="E732">
        <v>648732</v>
      </c>
      <c r="F732">
        <v>203485</v>
      </c>
      <c r="G732">
        <v>42164</v>
      </c>
      <c r="H732">
        <v>178800</v>
      </c>
      <c r="I732">
        <v>18774</v>
      </c>
      <c r="J732">
        <v>7558</v>
      </c>
      <c r="K732">
        <v>195445</v>
      </c>
      <c r="L732">
        <v>-4141</v>
      </c>
      <c r="M732">
        <v>5.96</v>
      </c>
      <c r="N732">
        <f t="shared" si="33"/>
        <v>1409127</v>
      </c>
      <c r="O732">
        <v>20109700</v>
      </c>
      <c r="P732" s="2">
        <f t="shared" si="34"/>
        <v>7.0072005052288198</v>
      </c>
      <c r="Q732" s="4">
        <f t="shared" si="35"/>
        <v>11.985381200000001</v>
      </c>
    </row>
    <row r="733" spans="1:17" x14ac:dyDescent="0.4">
      <c r="A733">
        <v>20210816</v>
      </c>
      <c r="B733" s="1">
        <v>0.22916666666666666</v>
      </c>
      <c r="C733">
        <v>47661</v>
      </c>
      <c r="D733">
        <v>177269</v>
      </c>
      <c r="E733">
        <v>787524</v>
      </c>
      <c r="F733">
        <v>225360</v>
      </c>
      <c r="G733">
        <v>62092</v>
      </c>
      <c r="H733">
        <v>202636</v>
      </c>
      <c r="I733">
        <v>50054</v>
      </c>
      <c r="J733">
        <v>23878</v>
      </c>
      <c r="K733">
        <v>265050</v>
      </c>
      <c r="L733">
        <v>-1862</v>
      </c>
      <c r="M733">
        <v>5.95</v>
      </c>
      <c r="N733">
        <f t="shared" si="33"/>
        <v>1839662</v>
      </c>
      <c r="O733">
        <v>20179100</v>
      </c>
      <c r="P733" s="2">
        <f t="shared" si="34"/>
        <v>9.1166702181960542</v>
      </c>
      <c r="Q733" s="4">
        <f t="shared" si="35"/>
        <v>12.0065645</v>
      </c>
    </row>
    <row r="734" spans="1:17" x14ac:dyDescent="0.4">
      <c r="A734">
        <v>20210816</v>
      </c>
      <c r="B734" s="1">
        <v>0.25</v>
      </c>
      <c r="C734">
        <v>11652</v>
      </c>
      <c r="D734">
        <v>193486</v>
      </c>
      <c r="E734">
        <v>961873</v>
      </c>
      <c r="F734">
        <v>362007</v>
      </c>
      <c r="G734">
        <v>91339</v>
      </c>
      <c r="H734">
        <v>245796</v>
      </c>
      <c r="I734">
        <v>34516</v>
      </c>
      <c r="J734">
        <v>32905</v>
      </c>
      <c r="K734">
        <v>198747</v>
      </c>
      <c r="L734">
        <v>3800</v>
      </c>
      <c r="M734">
        <v>5.95</v>
      </c>
      <c r="N734">
        <f t="shared" si="33"/>
        <v>2136121</v>
      </c>
      <c r="O734">
        <v>20963400</v>
      </c>
      <c r="P734" s="2">
        <f t="shared" si="34"/>
        <v>10.189764064989458</v>
      </c>
      <c r="Q734" s="4">
        <f t="shared" si="35"/>
        <v>12.473223000000001</v>
      </c>
    </row>
    <row r="735" spans="1:17" x14ac:dyDescent="0.4">
      <c r="A735">
        <v>20210816</v>
      </c>
      <c r="B735" s="1">
        <v>0.27083333333333331</v>
      </c>
      <c r="C735">
        <v>-51171</v>
      </c>
      <c r="D735">
        <v>191205</v>
      </c>
      <c r="E735">
        <v>1130664</v>
      </c>
      <c r="F735">
        <v>438394</v>
      </c>
      <c r="G735">
        <v>140569</v>
      </c>
      <c r="H735">
        <v>306973</v>
      </c>
      <c r="I735">
        <v>127336</v>
      </c>
      <c r="J735">
        <v>-1760</v>
      </c>
      <c r="K735">
        <v>232090</v>
      </c>
      <c r="L735">
        <v>-3430</v>
      </c>
      <c r="M735">
        <v>5.99</v>
      </c>
      <c r="N735">
        <f t="shared" si="33"/>
        <v>2510870</v>
      </c>
      <c r="O735">
        <v>21270850</v>
      </c>
      <c r="P735" s="2">
        <f t="shared" si="34"/>
        <v>11.80427674493497</v>
      </c>
      <c r="Q735" s="4">
        <f t="shared" si="35"/>
        <v>12.74123915</v>
      </c>
    </row>
    <row r="736" spans="1:17" x14ac:dyDescent="0.4">
      <c r="A736">
        <v>20210816</v>
      </c>
      <c r="B736" s="1">
        <v>0.29166666666666669</v>
      </c>
      <c r="C736">
        <v>-70277</v>
      </c>
      <c r="D736">
        <v>247956</v>
      </c>
      <c r="E736">
        <v>1346433</v>
      </c>
      <c r="F736">
        <v>640588</v>
      </c>
      <c r="G736">
        <v>206650</v>
      </c>
      <c r="H736">
        <v>246235</v>
      </c>
      <c r="I736">
        <v>-11295</v>
      </c>
      <c r="J736">
        <v>-35540</v>
      </c>
      <c r="K736">
        <v>272118</v>
      </c>
      <c r="L736">
        <v>3548</v>
      </c>
      <c r="M736">
        <v>6.1</v>
      </c>
      <c r="N736">
        <f t="shared" si="33"/>
        <v>2846416</v>
      </c>
      <c r="O736">
        <v>21869650</v>
      </c>
      <c r="P736" s="2">
        <f t="shared" si="34"/>
        <v>13.015370616356458</v>
      </c>
      <c r="Q736" s="4">
        <f t="shared" si="35"/>
        <v>13.340486499999999</v>
      </c>
    </row>
    <row r="737" spans="1:17" x14ac:dyDescent="0.4">
      <c r="A737">
        <v>20210816</v>
      </c>
      <c r="B737" s="1">
        <v>0.3125</v>
      </c>
      <c r="C737">
        <v>-102200</v>
      </c>
      <c r="D737">
        <v>236568</v>
      </c>
      <c r="E737">
        <v>1602289</v>
      </c>
      <c r="F737">
        <v>757308</v>
      </c>
      <c r="G737">
        <v>246776</v>
      </c>
      <c r="H737">
        <v>215283</v>
      </c>
      <c r="I737">
        <v>76787</v>
      </c>
      <c r="J737">
        <v>24791</v>
      </c>
      <c r="K737">
        <v>352368</v>
      </c>
      <c r="L737">
        <v>8170</v>
      </c>
      <c r="M737">
        <v>6.54</v>
      </c>
      <c r="N737">
        <f t="shared" si="33"/>
        <v>3418140</v>
      </c>
      <c r="O737">
        <v>22075400</v>
      </c>
      <c r="P737" s="2">
        <f t="shared" si="34"/>
        <v>15.483932340976834</v>
      </c>
      <c r="Q737" s="4">
        <f t="shared" si="35"/>
        <v>14.437311599999999</v>
      </c>
    </row>
    <row r="738" spans="1:17" x14ac:dyDescent="0.4">
      <c r="A738">
        <v>20210816</v>
      </c>
      <c r="B738" s="1">
        <v>0.33333333333333331</v>
      </c>
      <c r="C738">
        <v>-146571</v>
      </c>
      <c r="D738">
        <v>52543</v>
      </c>
      <c r="E738">
        <v>1788625</v>
      </c>
      <c r="F738">
        <v>1055595</v>
      </c>
      <c r="G738">
        <v>277217</v>
      </c>
      <c r="H738">
        <v>139636</v>
      </c>
      <c r="I738">
        <v>6533</v>
      </c>
      <c r="J738">
        <v>37134</v>
      </c>
      <c r="K738">
        <v>535502</v>
      </c>
      <c r="L738">
        <v>22373</v>
      </c>
      <c r="M738">
        <v>6.78</v>
      </c>
      <c r="N738">
        <f t="shared" si="33"/>
        <v>3768587</v>
      </c>
      <c r="O738">
        <v>22931200</v>
      </c>
      <c r="P738" s="2">
        <f t="shared" si="34"/>
        <v>16.434320925202343</v>
      </c>
      <c r="Q738" s="4">
        <f t="shared" si="35"/>
        <v>15.547353599999999</v>
      </c>
    </row>
    <row r="739" spans="1:17" x14ac:dyDescent="0.4">
      <c r="A739">
        <v>20210816</v>
      </c>
      <c r="B739" s="1">
        <v>0.35416666666666669</v>
      </c>
      <c r="C739">
        <v>-124603</v>
      </c>
      <c r="D739">
        <v>8418</v>
      </c>
      <c r="E739">
        <v>1690068</v>
      </c>
      <c r="F739">
        <v>1108199</v>
      </c>
      <c r="G739">
        <v>262131</v>
      </c>
      <c r="H739">
        <v>48990</v>
      </c>
      <c r="I739">
        <v>-6733</v>
      </c>
      <c r="J739">
        <v>47132</v>
      </c>
      <c r="K739">
        <v>688802</v>
      </c>
      <c r="L739">
        <v>3328</v>
      </c>
      <c r="M739">
        <v>6.92</v>
      </c>
      <c r="N739">
        <f t="shared" si="33"/>
        <v>3725732</v>
      </c>
      <c r="O739">
        <v>23364000</v>
      </c>
      <c r="P739" s="2">
        <f t="shared" si="34"/>
        <v>15.946464646464646</v>
      </c>
      <c r="Q739" s="4">
        <f t="shared" si="35"/>
        <v>16.167888000000001</v>
      </c>
    </row>
    <row r="740" spans="1:17" x14ac:dyDescent="0.4">
      <c r="A740">
        <v>20210816</v>
      </c>
      <c r="B740" s="1">
        <v>0.375</v>
      </c>
      <c r="C740">
        <v>-89039</v>
      </c>
      <c r="D740">
        <v>-69934</v>
      </c>
      <c r="E740">
        <v>2138504</v>
      </c>
      <c r="F740">
        <v>1121162</v>
      </c>
      <c r="G740">
        <v>86038</v>
      </c>
      <c r="H740">
        <v>46068</v>
      </c>
      <c r="I740">
        <v>60468</v>
      </c>
      <c r="J740">
        <v>39600</v>
      </c>
      <c r="K740">
        <v>647023</v>
      </c>
      <c r="L740">
        <v>-23413</v>
      </c>
      <c r="M740">
        <v>7.15</v>
      </c>
      <c r="N740">
        <f t="shared" si="33"/>
        <v>3956477</v>
      </c>
      <c r="O740">
        <v>23757250</v>
      </c>
      <c r="P740" s="2">
        <f t="shared" si="34"/>
        <v>16.653766744888401</v>
      </c>
      <c r="Q740" s="4">
        <f t="shared" si="35"/>
        <v>16.98643375</v>
      </c>
    </row>
    <row r="741" spans="1:17" x14ac:dyDescent="0.4">
      <c r="A741">
        <v>20210816</v>
      </c>
      <c r="B741" s="1">
        <v>0.39583333333333331</v>
      </c>
      <c r="C741">
        <v>-66973</v>
      </c>
      <c r="D741">
        <v>-43941</v>
      </c>
      <c r="E741">
        <v>2324394</v>
      </c>
      <c r="F741">
        <v>1415078</v>
      </c>
      <c r="G741">
        <v>60582</v>
      </c>
      <c r="H741">
        <v>32275</v>
      </c>
      <c r="I741">
        <v>208365</v>
      </c>
      <c r="J741">
        <v>80975</v>
      </c>
      <c r="K741">
        <v>769015</v>
      </c>
      <c r="L741">
        <v>-20124</v>
      </c>
      <c r="M741">
        <v>7.7</v>
      </c>
      <c r="N741">
        <f t="shared" si="33"/>
        <v>4759646</v>
      </c>
      <c r="O741">
        <v>23716400</v>
      </c>
      <c r="P741" s="2">
        <f t="shared" si="34"/>
        <v>20.069007100571756</v>
      </c>
      <c r="Q741" s="4">
        <f t="shared" si="35"/>
        <v>18.261628000000002</v>
      </c>
    </row>
    <row r="742" spans="1:17" x14ac:dyDescent="0.4">
      <c r="A742">
        <v>20210816</v>
      </c>
      <c r="B742" s="1">
        <v>0.41666666666666669</v>
      </c>
      <c r="C742">
        <v>-48606</v>
      </c>
      <c r="D742">
        <v>11521</v>
      </c>
      <c r="E742">
        <v>2497480</v>
      </c>
      <c r="F742">
        <v>1525764</v>
      </c>
      <c r="G742">
        <v>10252</v>
      </c>
      <c r="H742">
        <v>-308106</v>
      </c>
      <c r="I742">
        <v>273594</v>
      </c>
      <c r="J742">
        <v>175991</v>
      </c>
      <c r="K742">
        <v>836404</v>
      </c>
      <c r="L742">
        <v>-13662</v>
      </c>
      <c r="M742">
        <v>8.14</v>
      </c>
      <c r="N742">
        <f t="shared" si="33"/>
        <v>4960632</v>
      </c>
      <c r="O742">
        <v>23671600</v>
      </c>
      <c r="P742" s="2">
        <f t="shared" si="34"/>
        <v>20.956048598320351</v>
      </c>
      <c r="Q742" s="4">
        <f t="shared" si="35"/>
        <v>19.268682399999999</v>
      </c>
    </row>
    <row r="743" spans="1:17" x14ac:dyDescent="0.4">
      <c r="A743">
        <v>20210816</v>
      </c>
      <c r="B743" s="1">
        <v>0.4375</v>
      </c>
      <c r="C743">
        <v>-59329</v>
      </c>
      <c r="D743">
        <v>69104</v>
      </c>
      <c r="E743">
        <v>2598912</v>
      </c>
      <c r="F743">
        <v>1557176</v>
      </c>
      <c r="G743">
        <v>26558</v>
      </c>
      <c r="H743">
        <v>111406</v>
      </c>
      <c r="I743">
        <v>402631</v>
      </c>
      <c r="J743">
        <v>246715</v>
      </c>
      <c r="K743">
        <v>662277</v>
      </c>
      <c r="L743">
        <v>-13265</v>
      </c>
      <c r="M743">
        <v>8.86</v>
      </c>
      <c r="N743">
        <f t="shared" si="33"/>
        <v>5602185</v>
      </c>
      <c r="O743">
        <v>23727750</v>
      </c>
      <c r="P743" s="2">
        <f t="shared" si="34"/>
        <v>23.610266460157412</v>
      </c>
      <c r="Q743" s="4">
        <f t="shared" si="35"/>
        <v>21.022786499999999</v>
      </c>
    </row>
    <row r="744" spans="1:17" x14ac:dyDescent="0.4">
      <c r="A744">
        <v>20210816</v>
      </c>
      <c r="B744" s="1">
        <v>0.45833333333333331</v>
      </c>
      <c r="C744">
        <v>-45367</v>
      </c>
      <c r="D744">
        <v>126843</v>
      </c>
      <c r="E744">
        <v>1769861</v>
      </c>
      <c r="F744">
        <v>1557969</v>
      </c>
      <c r="G744">
        <v>76133</v>
      </c>
      <c r="H744">
        <v>170290</v>
      </c>
      <c r="I744">
        <v>551282</v>
      </c>
      <c r="J744">
        <v>256049</v>
      </c>
      <c r="K744">
        <v>681196</v>
      </c>
      <c r="L744">
        <v>4593</v>
      </c>
      <c r="M744">
        <v>8.89</v>
      </c>
      <c r="N744">
        <f t="shared" si="33"/>
        <v>5148849</v>
      </c>
      <c r="O744">
        <v>23975700</v>
      </c>
      <c r="P744" s="2">
        <f t="shared" si="34"/>
        <v>21.475281222237516</v>
      </c>
      <c r="Q744" s="4">
        <f t="shared" si="35"/>
        <v>21.3143973</v>
      </c>
    </row>
    <row r="745" spans="1:17" x14ac:dyDescent="0.4">
      <c r="A745">
        <v>20210816</v>
      </c>
      <c r="B745" s="1">
        <v>0.47916666666666669</v>
      </c>
      <c r="C745">
        <v>-45845</v>
      </c>
      <c r="D745">
        <v>-131474</v>
      </c>
      <c r="E745">
        <v>1838120</v>
      </c>
      <c r="F745">
        <v>1504455</v>
      </c>
      <c r="G745">
        <v>68571</v>
      </c>
      <c r="H745">
        <v>219762</v>
      </c>
      <c r="I745">
        <v>420583</v>
      </c>
      <c r="J745">
        <v>264327</v>
      </c>
      <c r="K745">
        <v>36493</v>
      </c>
      <c r="L745">
        <v>8304</v>
      </c>
      <c r="M745">
        <v>8.86</v>
      </c>
      <c r="N745">
        <f t="shared" si="33"/>
        <v>4183296</v>
      </c>
      <c r="O745">
        <v>23928250</v>
      </c>
      <c r="P745" s="2">
        <f t="shared" si="34"/>
        <v>17.482665886556685</v>
      </c>
      <c r="Q745" s="4">
        <f t="shared" si="35"/>
        <v>21.200429499999998</v>
      </c>
    </row>
    <row r="746" spans="1:17" x14ac:dyDescent="0.4">
      <c r="A746">
        <v>20210816</v>
      </c>
      <c r="B746" s="1">
        <v>0.5</v>
      </c>
      <c r="C746">
        <v>-75084</v>
      </c>
      <c r="D746">
        <v>-213538</v>
      </c>
      <c r="E746">
        <v>1585730</v>
      </c>
      <c r="F746">
        <v>1378049</v>
      </c>
      <c r="G746">
        <v>82305</v>
      </c>
      <c r="H746">
        <v>663635</v>
      </c>
      <c r="I746">
        <v>537246</v>
      </c>
      <c r="J746">
        <v>296139</v>
      </c>
      <c r="K746">
        <v>-8526</v>
      </c>
      <c r="L746">
        <v>30650</v>
      </c>
      <c r="M746">
        <v>8.1199999999999992</v>
      </c>
      <c r="N746">
        <f t="shared" si="33"/>
        <v>4276606</v>
      </c>
      <c r="O746">
        <v>23966100</v>
      </c>
      <c r="P746" s="2">
        <f t="shared" si="34"/>
        <v>17.844396877255789</v>
      </c>
      <c r="Q746" s="4">
        <f t="shared" si="35"/>
        <v>19.460473199999996</v>
      </c>
    </row>
    <row r="747" spans="1:17" x14ac:dyDescent="0.4">
      <c r="A747">
        <v>20210816</v>
      </c>
      <c r="B747" s="1">
        <v>0.52083333333333337</v>
      </c>
      <c r="C747">
        <v>11931</v>
      </c>
      <c r="D747">
        <v>-137473</v>
      </c>
      <c r="E747">
        <v>1635332</v>
      </c>
      <c r="F747">
        <v>1385633</v>
      </c>
      <c r="G747">
        <v>69172</v>
      </c>
      <c r="H747">
        <v>647277</v>
      </c>
      <c r="I747">
        <v>447348</v>
      </c>
      <c r="J747">
        <v>276291</v>
      </c>
      <c r="K747">
        <v>107036</v>
      </c>
      <c r="L747">
        <v>31716</v>
      </c>
      <c r="M747">
        <v>8.2799999999999994</v>
      </c>
      <c r="N747">
        <f t="shared" si="33"/>
        <v>4474263</v>
      </c>
      <c r="O747">
        <v>23883550</v>
      </c>
      <c r="P747" s="2">
        <f t="shared" si="34"/>
        <v>18.733659778383029</v>
      </c>
      <c r="Q747" s="4">
        <f t="shared" si="35"/>
        <v>19.775579399999998</v>
      </c>
    </row>
    <row r="748" spans="1:17" x14ac:dyDescent="0.4">
      <c r="A748">
        <v>20210816</v>
      </c>
      <c r="B748" s="1">
        <v>0.54166666666666663</v>
      </c>
      <c r="C748">
        <v>-51484</v>
      </c>
      <c r="D748">
        <v>-96057</v>
      </c>
      <c r="E748">
        <v>1754716</v>
      </c>
      <c r="F748">
        <v>350538</v>
      </c>
      <c r="G748">
        <v>111257</v>
      </c>
      <c r="H748">
        <v>702438</v>
      </c>
      <c r="I748">
        <v>272550</v>
      </c>
      <c r="J748">
        <v>150860</v>
      </c>
      <c r="K748">
        <v>249257</v>
      </c>
      <c r="L748">
        <v>3675</v>
      </c>
      <c r="M748">
        <v>8.86</v>
      </c>
      <c r="N748">
        <f t="shared" si="33"/>
        <v>3447750</v>
      </c>
      <c r="O748">
        <v>23280950</v>
      </c>
      <c r="P748" s="2">
        <f t="shared" si="34"/>
        <v>14.809318348263279</v>
      </c>
      <c r="Q748" s="4">
        <f t="shared" si="35"/>
        <v>20.6269217</v>
      </c>
    </row>
    <row r="749" spans="1:17" x14ac:dyDescent="0.4">
      <c r="A749">
        <v>20210816</v>
      </c>
      <c r="B749" s="1">
        <v>0.5625</v>
      </c>
      <c r="C749">
        <v>-30477</v>
      </c>
      <c r="D749">
        <v>-37758</v>
      </c>
      <c r="E749">
        <v>1930665</v>
      </c>
      <c r="F749">
        <v>300754</v>
      </c>
      <c r="G749">
        <v>145500</v>
      </c>
      <c r="H749">
        <v>737964</v>
      </c>
      <c r="I749">
        <v>207674</v>
      </c>
      <c r="J749">
        <v>81927</v>
      </c>
      <c r="K749">
        <v>168450</v>
      </c>
      <c r="L749">
        <v>-5249</v>
      </c>
      <c r="M749">
        <v>9.0500000000000007</v>
      </c>
      <c r="N749">
        <f t="shared" si="33"/>
        <v>3499450</v>
      </c>
      <c r="O749">
        <v>23054650</v>
      </c>
      <c r="P749" s="2">
        <f t="shared" si="34"/>
        <v>15.178933534015915</v>
      </c>
      <c r="Q749" s="4">
        <f t="shared" si="35"/>
        <v>20.864458250000002</v>
      </c>
    </row>
    <row r="750" spans="1:17" x14ac:dyDescent="0.4">
      <c r="A750">
        <v>20210816</v>
      </c>
      <c r="B750" s="1">
        <v>0.58333333333333337</v>
      </c>
      <c r="C750">
        <v>-62193</v>
      </c>
      <c r="D750">
        <v>24038</v>
      </c>
      <c r="E750">
        <v>1283113</v>
      </c>
      <c r="F750">
        <v>473287</v>
      </c>
      <c r="G750">
        <v>166425</v>
      </c>
      <c r="H750">
        <v>657220</v>
      </c>
      <c r="I750">
        <v>249790</v>
      </c>
      <c r="J750">
        <v>73089</v>
      </c>
      <c r="K750">
        <v>88663</v>
      </c>
      <c r="L750">
        <v>-16266</v>
      </c>
      <c r="M750">
        <v>9.0500000000000007</v>
      </c>
      <c r="N750">
        <f t="shared" si="33"/>
        <v>2937166</v>
      </c>
      <c r="O750">
        <v>22754550</v>
      </c>
      <c r="P750" s="2">
        <f t="shared" si="34"/>
        <v>12.908038172585263</v>
      </c>
      <c r="Q750" s="4">
        <f t="shared" si="35"/>
        <v>20.592867750000003</v>
      </c>
    </row>
    <row r="751" spans="1:17" x14ac:dyDescent="0.4">
      <c r="A751">
        <v>20210816</v>
      </c>
      <c r="B751" s="1">
        <v>0.60416666666666663</v>
      </c>
      <c r="C751">
        <v>2319</v>
      </c>
      <c r="D751">
        <v>-11273</v>
      </c>
      <c r="E751">
        <v>1182308</v>
      </c>
      <c r="F751">
        <v>546535</v>
      </c>
      <c r="G751">
        <v>157947</v>
      </c>
      <c r="H751">
        <v>431634</v>
      </c>
      <c r="I751">
        <v>191338</v>
      </c>
      <c r="J751">
        <v>31354</v>
      </c>
      <c r="K751">
        <v>70073</v>
      </c>
      <c r="L751">
        <v>-21136</v>
      </c>
      <c r="M751">
        <v>9.35</v>
      </c>
      <c r="N751">
        <f t="shared" si="33"/>
        <v>2581099</v>
      </c>
      <c r="O751">
        <v>22603200</v>
      </c>
      <c r="P751" s="2">
        <f t="shared" si="34"/>
        <v>11.419175161039146</v>
      </c>
      <c r="Q751" s="4">
        <f t="shared" si="35"/>
        <v>21.133991999999999</v>
      </c>
    </row>
    <row r="752" spans="1:17" x14ac:dyDescent="0.4">
      <c r="A752">
        <v>20210816</v>
      </c>
      <c r="B752" s="1">
        <v>0.625</v>
      </c>
      <c r="C752">
        <v>-55379</v>
      </c>
      <c r="D752">
        <v>-44103</v>
      </c>
      <c r="E752">
        <v>1312161</v>
      </c>
      <c r="F752">
        <v>565082</v>
      </c>
      <c r="G752">
        <v>112379</v>
      </c>
      <c r="H752">
        <v>217490</v>
      </c>
      <c r="I752">
        <v>144245</v>
      </c>
      <c r="J752">
        <v>-3068</v>
      </c>
      <c r="K752">
        <v>96196</v>
      </c>
      <c r="L752">
        <v>-19950</v>
      </c>
      <c r="M752">
        <v>9.1</v>
      </c>
      <c r="N752">
        <f t="shared" si="33"/>
        <v>2325053</v>
      </c>
      <c r="O752">
        <v>22547100</v>
      </c>
      <c r="P752" s="2">
        <f t="shared" si="34"/>
        <v>10.311982472246985</v>
      </c>
      <c r="Q752" s="4">
        <f t="shared" si="35"/>
        <v>20.517861</v>
      </c>
    </row>
    <row r="753" spans="1:17" x14ac:dyDescent="0.4">
      <c r="A753">
        <v>20210816</v>
      </c>
      <c r="B753" s="1">
        <v>0.64583333333333337</v>
      </c>
      <c r="C753">
        <v>-24666</v>
      </c>
      <c r="D753">
        <v>-64643</v>
      </c>
      <c r="E753">
        <v>1190598</v>
      </c>
      <c r="F753">
        <v>575817</v>
      </c>
      <c r="G753">
        <v>102495</v>
      </c>
      <c r="H753">
        <v>154300</v>
      </c>
      <c r="I753">
        <v>2840</v>
      </c>
      <c r="J753">
        <v>-12627</v>
      </c>
      <c r="K753">
        <v>69268</v>
      </c>
      <c r="L753">
        <v>-28729</v>
      </c>
      <c r="M753">
        <v>9.48</v>
      </c>
      <c r="N753">
        <f t="shared" si="33"/>
        <v>1964653</v>
      </c>
      <c r="O753">
        <v>22368200</v>
      </c>
      <c r="P753" s="2">
        <f t="shared" si="34"/>
        <v>8.7832413873266511</v>
      </c>
      <c r="Q753" s="4">
        <f t="shared" si="35"/>
        <v>21.205053599999999</v>
      </c>
    </row>
    <row r="754" spans="1:17" x14ac:dyDescent="0.4">
      <c r="A754">
        <v>20210816</v>
      </c>
      <c r="B754" s="1">
        <v>0.66666666666666663</v>
      </c>
      <c r="C754">
        <v>641</v>
      </c>
      <c r="D754">
        <v>-9487</v>
      </c>
      <c r="E754">
        <v>1553169</v>
      </c>
      <c r="F754">
        <v>466757</v>
      </c>
      <c r="G754">
        <v>84520</v>
      </c>
      <c r="H754">
        <v>9895</v>
      </c>
      <c r="I754">
        <v>-74519</v>
      </c>
      <c r="J754">
        <v>-1205</v>
      </c>
      <c r="K754">
        <v>8014</v>
      </c>
      <c r="L754">
        <v>-30663</v>
      </c>
      <c r="M754">
        <v>9.64</v>
      </c>
      <c r="N754">
        <f t="shared" si="33"/>
        <v>2007122</v>
      </c>
      <c r="O754">
        <v>23092500</v>
      </c>
      <c r="P754" s="2">
        <f t="shared" si="34"/>
        <v>8.6916617949550723</v>
      </c>
      <c r="Q754" s="4">
        <f t="shared" si="35"/>
        <v>22.26117</v>
      </c>
    </row>
    <row r="755" spans="1:17" x14ac:dyDescent="0.4">
      <c r="A755">
        <v>20210816</v>
      </c>
      <c r="B755" s="1">
        <v>0.6875</v>
      </c>
      <c r="C755">
        <v>1458</v>
      </c>
      <c r="D755">
        <v>80810</v>
      </c>
      <c r="E755">
        <v>1595525</v>
      </c>
      <c r="F755">
        <v>378610</v>
      </c>
      <c r="G755">
        <v>78895</v>
      </c>
      <c r="H755">
        <v>-98235</v>
      </c>
      <c r="I755">
        <v>-137447</v>
      </c>
      <c r="J755">
        <v>18109</v>
      </c>
      <c r="K755">
        <v>-89022</v>
      </c>
      <c r="L755">
        <v>-32393</v>
      </c>
      <c r="M755">
        <v>9.74</v>
      </c>
      <c r="N755">
        <f t="shared" si="33"/>
        <v>1796310</v>
      </c>
      <c r="O755">
        <v>22846900</v>
      </c>
      <c r="P755" s="2">
        <f t="shared" si="34"/>
        <v>7.8623795788487714</v>
      </c>
      <c r="Q755" s="4">
        <f t="shared" si="35"/>
        <v>22.252880600000001</v>
      </c>
    </row>
    <row r="756" spans="1:17" x14ac:dyDescent="0.4">
      <c r="A756">
        <v>20210816</v>
      </c>
      <c r="B756" s="1">
        <v>0.70833333333333337</v>
      </c>
      <c r="C756">
        <v>9461</v>
      </c>
      <c r="D756">
        <v>34016</v>
      </c>
      <c r="E756">
        <v>1617632</v>
      </c>
      <c r="F756">
        <v>333876</v>
      </c>
      <c r="G756">
        <v>97218</v>
      </c>
      <c r="H756">
        <v>-19007</v>
      </c>
      <c r="I756">
        <v>-114477</v>
      </c>
      <c r="J756">
        <v>1622</v>
      </c>
      <c r="K756">
        <v>-122595</v>
      </c>
      <c r="L756">
        <v>-21074</v>
      </c>
      <c r="M756">
        <v>9.57</v>
      </c>
      <c r="N756">
        <f t="shared" si="33"/>
        <v>1816672</v>
      </c>
      <c r="O756">
        <v>22693950</v>
      </c>
      <c r="P756" s="2">
        <f t="shared" si="34"/>
        <v>8.0050938686301851</v>
      </c>
      <c r="Q756" s="4">
        <f t="shared" si="35"/>
        <v>21.718110150000001</v>
      </c>
    </row>
    <row r="757" spans="1:17" x14ac:dyDescent="0.4">
      <c r="A757">
        <v>20210816</v>
      </c>
      <c r="B757" s="1">
        <v>0.72916666666666663</v>
      </c>
      <c r="C757">
        <v>631</v>
      </c>
      <c r="D757">
        <v>34867</v>
      </c>
      <c r="E757">
        <v>1648830</v>
      </c>
      <c r="F757">
        <v>343213</v>
      </c>
      <c r="G757">
        <v>67003</v>
      </c>
      <c r="H757">
        <v>134206</v>
      </c>
      <c r="I757">
        <v>-23410</v>
      </c>
      <c r="J757">
        <v>2288</v>
      </c>
      <c r="K757">
        <v>-69585</v>
      </c>
      <c r="L757">
        <v>-25032</v>
      </c>
      <c r="M757">
        <v>9.25</v>
      </c>
      <c r="N757">
        <f t="shared" si="33"/>
        <v>2113011</v>
      </c>
      <c r="O757">
        <v>22674300</v>
      </c>
      <c r="P757" s="2">
        <f t="shared" si="34"/>
        <v>9.3189690530688924</v>
      </c>
      <c r="Q757" s="4">
        <f t="shared" si="35"/>
        <v>20.973727499999999</v>
      </c>
    </row>
    <row r="758" spans="1:17" x14ac:dyDescent="0.4">
      <c r="A758">
        <v>20210816</v>
      </c>
      <c r="B758" s="1">
        <v>0.75</v>
      </c>
      <c r="C758">
        <v>15250</v>
      </c>
      <c r="D758">
        <v>-30295</v>
      </c>
      <c r="E758">
        <v>1561471</v>
      </c>
      <c r="F758">
        <v>221717</v>
      </c>
      <c r="G758">
        <v>84652</v>
      </c>
      <c r="H758">
        <v>-5114</v>
      </c>
      <c r="I758">
        <v>1154</v>
      </c>
      <c r="J758">
        <v>-28294</v>
      </c>
      <c r="K758">
        <v>-61905</v>
      </c>
      <c r="L758">
        <v>-23816</v>
      </c>
      <c r="M758">
        <v>9.0500000000000007</v>
      </c>
      <c r="N758">
        <f t="shared" si="33"/>
        <v>1734820</v>
      </c>
      <c r="O758">
        <v>22403150</v>
      </c>
      <c r="P758" s="2">
        <f t="shared" si="34"/>
        <v>7.7436431930331224</v>
      </c>
      <c r="Q758" s="4">
        <f t="shared" si="35"/>
        <v>20.274850750000002</v>
      </c>
    </row>
    <row r="759" spans="1:17" x14ac:dyDescent="0.4">
      <c r="A759">
        <v>20210816</v>
      </c>
      <c r="B759" s="1">
        <v>0.77083333333333337</v>
      </c>
      <c r="C759">
        <v>37756</v>
      </c>
      <c r="D759">
        <v>-5231</v>
      </c>
      <c r="E759">
        <v>1619854</v>
      </c>
      <c r="F759">
        <v>228898</v>
      </c>
      <c r="G759">
        <v>68180</v>
      </c>
      <c r="H759">
        <v>3687</v>
      </c>
      <c r="I759">
        <v>-16756</v>
      </c>
      <c r="J759">
        <v>-4817</v>
      </c>
      <c r="K759">
        <v>-49171</v>
      </c>
      <c r="L759">
        <v>-25614</v>
      </c>
      <c r="M759">
        <v>9.0399999999999991</v>
      </c>
      <c r="N759">
        <f t="shared" si="33"/>
        <v>1856786</v>
      </c>
      <c r="O759">
        <v>22435150</v>
      </c>
      <c r="P759" s="2">
        <f t="shared" si="34"/>
        <v>8.2762361740393988</v>
      </c>
      <c r="Q759" s="4">
        <f t="shared" si="35"/>
        <v>20.281375599999997</v>
      </c>
    </row>
    <row r="760" spans="1:17" x14ac:dyDescent="0.4">
      <c r="A760">
        <v>20210816</v>
      </c>
      <c r="B760" s="1">
        <v>0.79166666666666663</v>
      </c>
      <c r="C760">
        <v>-25427</v>
      </c>
      <c r="D760">
        <v>12746</v>
      </c>
      <c r="E760">
        <v>1595492</v>
      </c>
      <c r="F760">
        <v>295569</v>
      </c>
      <c r="G760">
        <v>46708</v>
      </c>
      <c r="H760">
        <v>-28916</v>
      </c>
      <c r="I760">
        <v>-16095</v>
      </c>
      <c r="J760">
        <v>13402</v>
      </c>
      <c r="K760">
        <v>-25443</v>
      </c>
      <c r="L760">
        <v>-21183</v>
      </c>
      <c r="M760">
        <v>8.86</v>
      </c>
      <c r="N760">
        <f t="shared" si="33"/>
        <v>1846853</v>
      </c>
      <c r="O760">
        <v>22444650</v>
      </c>
      <c r="P760" s="2">
        <f t="shared" si="34"/>
        <v>8.228477610477329</v>
      </c>
      <c r="Q760" s="4">
        <f t="shared" si="35"/>
        <v>19.8859599</v>
      </c>
    </row>
    <row r="761" spans="1:17" x14ac:dyDescent="0.4">
      <c r="A761">
        <v>20210816</v>
      </c>
      <c r="B761" s="1">
        <v>0.8125</v>
      </c>
      <c r="C761">
        <v>34714</v>
      </c>
      <c r="D761">
        <v>-19171</v>
      </c>
      <c r="E761">
        <v>1716246</v>
      </c>
      <c r="F761">
        <v>295647</v>
      </c>
      <c r="G761">
        <v>38056</v>
      </c>
      <c r="H761">
        <v>93525</v>
      </c>
      <c r="I761">
        <v>39697</v>
      </c>
      <c r="J761">
        <v>23499</v>
      </c>
      <c r="K761">
        <v>-11618</v>
      </c>
      <c r="L761">
        <v>-20778</v>
      </c>
      <c r="M761">
        <v>7.93</v>
      </c>
      <c r="N761">
        <f t="shared" si="33"/>
        <v>2189817</v>
      </c>
      <c r="O761">
        <v>22586950</v>
      </c>
      <c r="P761" s="2">
        <f t="shared" si="34"/>
        <v>9.6950540024217524</v>
      </c>
      <c r="Q761" s="4">
        <f t="shared" si="35"/>
        <v>17.91145135</v>
      </c>
    </row>
    <row r="762" spans="1:17" x14ac:dyDescent="0.4">
      <c r="A762">
        <v>20210816</v>
      </c>
      <c r="B762" s="1">
        <v>0.83333333333333337</v>
      </c>
      <c r="C762">
        <v>49692</v>
      </c>
      <c r="D762">
        <v>6369</v>
      </c>
      <c r="E762">
        <v>1516786</v>
      </c>
      <c r="F762">
        <v>252222</v>
      </c>
      <c r="G762">
        <v>46285</v>
      </c>
      <c r="H762">
        <v>73392</v>
      </c>
      <c r="I762">
        <v>107320</v>
      </c>
      <c r="J762">
        <v>35268</v>
      </c>
      <c r="K762">
        <v>-88242</v>
      </c>
      <c r="L762">
        <v>-28586</v>
      </c>
      <c r="M762">
        <v>7.64</v>
      </c>
      <c r="N762">
        <f t="shared" si="33"/>
        <v>1970506</v>
      </c>
      <c r="O762">
        <v>21723450</v>
      </c>
      <c r="P762" s="2">
        <f t="shared" si="34"/>
        <v>9.0708704188331044</v>
      </c>
      <c r="Q762" s="4">
        <f t="shared" si="35"/>
        <v>16.596715799999998</v>
      </c>
    </row>
    <row r="763" spans="1:17" x14ac:dyDescent="0.4">
      <c r="A763">
        <v>20210816</v>
      </c>
      <c r="B763" s="1">
        <v>0.85416666666666663</v>
      </c>
      <c r="C763">
        <v>-35642</v>
      </c>
      <c r="D763">
        <v>-7306</v>
      </c>
      <c r="E763">
        <v>1544133</v>
      </c>
      <c r="F763">
        <v>226137</v>
      </c>
      <c r="G763">
        <v>27258</v>
      </c>
      <c r="H763">
        <v>114727</v>
      </c>
      <c r="I763">
        <v>116898</v>
      </c>
      <c r="J763">
        <v>30211</v>
      </c>
      <c r="K763">
        <v>-117994</v>
      </c>
      <c r="L763">
        <v>-19727</v>
      </c>
      <c r="M763">
        <v>7.36</v>
      </c>
      <c r="N763">
        <f t="shared" si="33"/>
        <v>1878695</v>
      </c>
      <c r="O763">
        <v>21819350</v>
      </c>
      <c r="P763" s="2">
        <f t="shared" si="34"/>
        <v>8.6102244109013331</v>
      </c>
      <c r="Q763" s="4">
        <f t="shared" si="35"/>
        <v>16.0590416</v>
      </c>
    </row>
    <row r="764" spans="1:17" x14ac:dyDescent="0.4">
      <c r="A764">
        <v>20210816</v>
      </c>
      <c r="B764" s="1">
        <v>0.875</v>
      </c>
      <c r="C764">
        <v>-29454</v>
      </c>
      <c r="D764">
        <v>-29661</v>
      </c>
      <c r="E764">
        <v>1417615</v>
      </c>
      <c r="F764">
        <v>118387</v>
      </c>
      <c r="G764">
        <v>50960</v>
      </c>
      <c r="H764">
        <v>189707</v>
      </c>
      <c r="I764">
        <v>149387</v>
      </c>
      <c r="J764">
        <v>21194</v>
      </c>
      <c r="K764">
        <v>-89632</v>
      </c>
      <c r="L764">
        <v>-24190</v>
      </c>
      <c r="M764">
        <v>7.04</v>
      </c>
      <c r="N764">
        <f t="shared" si="33"/>
        <v>1774313</v>
      </c>
      <c r="O764">
        <v>21833000</v>
      </c>
      <c r="P764" s="2">
        <f t="shared" si="34"/>
        <v>8.1267484999770989</v>
      </c>
      <c r="Q764" s="4">
        <f t="shared" si="35"/>
        <v>15.370431999999999</v>
      </c>
    </row>
    <row r="765" spans="1:17" x14ac:dyDescent="0.4">
      <c r="A765">
        <v>20210816</v>
      </c>
      <c r="B765" s="1">
        <v>0.89583333333333337</v>
      </c>
      <c r="C765">
        <v>-13782</v>
      </c>
      <c r="D765">
        <v>-45451</v>
      </c>
      <c r="E765">
        <v>1372823</v>
      </c>
      <c r="F765">
        <v>-45688</v>
      </c>
      <c r="G765">
        <v>30375</v>
      </c>
      <c r="H765">
        <v>147258</v>
      </c>
      <c r="I765">
        <v>93450</v>
      </c>
      <c r="J765">
        <v>31232</v>
      </c>
      <c r="K765">
        <v>-155441</v>
      </c>
      <c r="L765">
        <v>-18052</v>
      </c>
      <c r="M765">
        <v>6.95</v>
      </c>
      <c r="N765">
        <f t="shared" si="33"/>
        <v>1396724</v>
      </c>
      <c r="O765">
        <v>21806800</v>
      </c>
      <c r="P765" s="2">
        <f t="shared" si="34"/>
        <v>6.404992937982648</v>
      </c>
      <c r="Q765" s="4">
        <f t="shared" si="35"/>
        <v>15.155726</v>
      </c>
    </row>
    <row r="766" spans="1:17" x14ac:dyDescent="0.4">
      <c r="A766">
        <v>20210816</v>
      </c>
      <c r="B766" s="1">
        <v>0.91666666666666663</v>
      </c>
      <c r="C766">
        <v>-10192</v>
      </c>
      <c r="D766">
        <v>-52615</v>
      </c>
      <c r="E766">
        <v>742510</v>
      </c>
      <c r="F766">
        <v>-100420</v>
      </c>
      <c r="G766">
        <v>51827</v>
      </c>
      <c r="H766">
        <v>155338</v>
      </c>
      <c r="I766">
        <v>77370</v>
      </c>
      <c r="J766">
        <v>31853</v>
      </c>
      <c r="K766">
        <v>-105709</v>
      </c>
      <c r="L766">
        <v>-34219</v>
      </c>
      <c r="M766">
        <v>6.83</v>
      </c>
      <c r="N766">
        <f t="shared" si="33"/>
        <v>755743</v>
      </c>
      <c r="O766">
        <v>21382050</v>
      </c>
      <c r="P766" s="2">
        <f t="shared" si="34"/>
        <v>3.5344740097418161</v>
      </c>
      <c r="Q766" s="4">
        <f t="shared" si="35"/>
        <v>14.60394015</v>
      </c>
    </row>
    <row r="767" spans="1:17" x14ac:dyDescent="0.4">
      <c r="A767">
        <v>20210816</v>
      </c>
      <c r="B767" s="1">
        <v>0.9375</v>
      </c>
      <c r="C767">
        <v>-36459</v>
      </c>
      <c r="D767">
        <v>-73487</v>
      </c>
      <c r="E767">
        <v>879308</v>
      </c>
      <c r="F767">
        <v>-238098</v>
      </c>
      <c r="G767">
        <v>34273</v>
      </c>
      <c r="H767">
        <v>109425</v>
      </c>
      <c r="I767">
        <v>104540</v>
      </c>
      <c r="J767">
        <v>32393</v>
      </c>
      <c r="K767">
        <v>-77309</v>
      </c>
      <c r="L767">
        <v>-32168</v>
      </c>
      <c r="M767">
        <v>6.78</v>
      </c>
      <c r="N767">
        <f t="shared" si="33"/>
        <v>702418</v>
      </c>
      <c r="O767">
        <v>21172900</v>
      </c>
      <c r="P767" s="2">
        <f t="shared" si="34"/>
        <v>3.3175332618583191</v>
      </c>
      <c r="Q767" s="4">
        <f t="shared" si="35"/>
        <v>14.355226200000001</v>
      </c>
    </row>
    <row r="768" spans="1:17" x14ac:dyDescent="0.4">
      <c r="A768">
        <v>20210816</v>
      </c>
      <c r="B768" s="1">
        <v>0.95833333333333337</v>
      </c>
      <c r="C768">
        <v>1518</v>
      </c>
      <c r="D768">
        <v>-83645</v>
      </c>
      <c r="E768">
        <v>754407</v>
      </c>
      <c r="F768">
        <v>-247348</v>
      </c>
      <c r="G768">
        <v>9981</v>
      </c>
      <c r="H768">
        <v>-75138</v>
      </c>
      <c r="I768">
        <v>39840</v>
      </c>
      <c r="J768">
        <v>24835</v>
      </c>
      <c r="K768">
        <v>-44757</v>
      </c>
      <c r="L768">
        <v>-25372</v>
      </c>
      <c r="M768">
        <v>6.74</v>
      </c>
      <c r="N768">
        <f t="shared" si="33"/>
        <v>354321</v>
      </c>
      <c r="O768">
        <v>20718000</v>
      </c>
      <c r="P768" s="2">
        <f t="shared" si="34"/>
        <v>1.7102085143353605</v>
      </c>
      <c r="Q768" s="4">
        <f t="shared" si="35"/>
        <v>13.963932</v>
      </c>
    </row>
    <row r="769" spans="1:17" x14ac:dyDescent="0.4">
      <c r="A769">
        <v>20210816</v>
      </c>
      <c r="B769" s="1">
        <v>0.97916666666666663</v>
      </c>
      <c r="C769">
        <v>-4991</v>
      </c>
      <c r="D769">
        <v>-65604</v>
      </c>
      <c r="E769">
        <v>759702</v>
      </c>
      <c r="F769">
        <v>-255861</v>
      </c>
      <c r="G769">
        <v>12288</v>
      </c>
      <c r="H769">
        <v>-20547</v>
      </c>
      <c r="I769">
        <v>6579</v>
      </c>
      <c r="J769">
        <v>42179</v>
      </c>
      <c r="K769">
        <v>-1716</v>
      </c>
      <c r="L769">
        <v>-18114</v>
      </c>
      <c r="M769">
        <v>6.29</v>
      </c>
      <c r="N769">
        <f t="shared" si="33"/>
        <v>453915</v>
      </c>
      <c r="O769">
        <v>19771900</v>
      </c>
      <c r="P769" s="2">
        <f t="shared" si="34"/>
        <v>2.2957581213742735</v>
      </c>
      <c r="Q769" s="4">
        <f t="shared" si="35"/>
        <v>12.436525100000001</v>
      </c>
    </row>
    <row r="770" spans="1:17" x14ac:dyDescent="0.4">
      <c r="A770">
        <v>20210817</v>
      </c>
      <c r="B770" s="1">
        <v>0</v>
      </c>
      <c r="C770">
        <v>36437</v>
      </c>
      <c r="D770">
        <v>59575</v>
      </c>
      <c r="E770">
        <v>226379</v>
      </c>
      <c r="F770">
        <v>-88147</v>
      </c>
      <c r="G770">
        <v>38122</v>
      </c>
      <c r="H770">
        <v>78020</v>
      </c>
      <c r="I770">
        <v>91814</v>
      </c>
      <c r="J770">
        <v>811</v>
      </c>
      <c r="K770">
        <v>194294</v>
      </c>
      <c r="L770">
        <v>-26113</v>
      </c>
      <c r="M770">
        <v>5.92</v>
      </c>
      <c r="N770">
        <f t="shared" si="33"/>
        <v>611192</v>
      </c>
      <c r="O770">
        <v>19369550</v>
      </c>
      <c r="P770" s="2">
        <f t="shared" si="34"/>
        <v>3.1554269459022022</v>
      </c>
      <c r="Q770" s="4">
        <f t="shared" si="35"/>
        <v>11.4667736</v>
      </c>
    </row>
    <row r="771" spans="1:17" x14ac:dyDescent="0.4">
      <c r="A771">
        <v>20210817</v>
      </c>
      <c r="B771" s="1">
        <v>2.0833333333333332E-2</v>
      </c>
      <c r="C771">
        <v>1354</v>
      </c>
      <c r="D771">
        <v>14519</v>
      </c>
      <c r="E771">
        <v>416024</v>
      </c>
      <c r="F771">
        <v>-164508</v>
      </c>
      <c r="G771">
        <v>36560</v>
      </c>
      <c r="H771">
        <v>12605</v>
      </c>
      <c r="I771">
        <v>60432</v>
      </c>
      <c r="J771">
        <v>-16566</v>
      </c>
      <c r="K771">
        <v>125686</v>
      </c>
      <c r="L771">
        <v>-19176</v>
      </c>
      <c r="M771">
        <v>5.99</v>
      </c>
      <c r="N771">
        <f t="shared" ref="N771:N834" si="36">C771+D771+E771+F771+G771+H771+I771+J771+K771+L771</f>
        <v>466930</v>
      </c>
      <c r="O771">
        <v>20279200</v>
      </c>
      <c r="P771" s="2">
        <f t="shared" ref="P771:P834" si="37">((N771*100)/O771)</f>
        <v>2.3025070022486096</v>
      </c>
      <c r="Q771" s="4">
        <f t="shared" ref="Q771:Q834" si="38">(M771*O771)/10^7</f>
        <v>12.147240800000001</v>
      </c>
    </row>
    <row r="772" spans="1:17" x14ac:dyDescent="0.4">
      <c r="A772">
        <v>20210817</v>
      </c>
      <c r="B772" s="1">
        <v>4.1666666666666664E-2</v>
      </c>
      <c r="C772">
        <v>30818</v>
      </c>
      <c r="D772">
        <v>-4824</v>
      </c>
      <c r="E772">
        <v>300779</v>
      </c>
      <c r="F772">
        <v>-122945</v>
      </c>
      <c r="G772">
        <v>8854</v>
      </c>
      <c r="H772">
        <v>169275</v>
      </c>
      <c r="I772">
        <v>-6896</v>
      </c>
      <c r="J772">
        <v>-13575</v>
      </c>
      <c r="K772">
        <v>80706</v>
      </c>
      <c r="L772">
        <v>-18371</v>
      </c>
      <c r="M772">
        <v>5.94</v>
      </c>
      <c r="N772">
        <f t="shared" si="36"/>
        <v>423821</v>
      </c>
      <c r="O772">
        <v>19947200</v>
      </c>
      <c r="P772" s="2">
        <f t="shared" si="37"/>
        <v>2.124714245608406</v>
      </c>
      <c r="Q772" s="4">
        <f t="shared" si="38"/>
        <v>11.848636800000001</v>
      </c>
    </row>
    <row r="773" spans="1:17" x14ac:dyDescent="0.4">
      <c r="A773">
        <v>20210817</v>
      </c>
      <c r="B773" s="1">
        <v>6.25E-2</v>
      </c>
      <c r="C773">
        <v>-26912</v>
      </c>
      <c r="D773">
        <v>48181</v>
      </c>
      <c r="E773">
        <v>296503</v>
      </c>
      <c r="F773">
        <v>-60188</v>
      </c>
      <c r="G773">
        <v>10676</v>
      </c>
      <c r="H773">
        <v>121637</v>
      </c>
      <c r="I773">
        <v>-38573</v>
      </c>
      <c r="J773">
        <v>-18584</v>
      </c>
      <c r="K773">
        <v>96985</v>
      </c>
      <c r="L773">
        <v>-20481</v>
      </c>
      <c r="M773">
        <v>5.94</v>
      </c>
      <c r="N773">
        <f t="shared" si="36"/>
        <v>409244</v>
      </c>
      <c r="O773">
        <v>20011200</v>
      </c>
      <c r="P773" s="2">
        <f t="shared" si="37"/>
        <v>2.0450747581354443</v>
      </c>
      <c r="Q773" s="4">
        <f t="shared" si="38"/>
        <v>11.886652800000002</v>
      </c>
    </row>
    <row r="774" spans="1:17" x14ac:dyDescent="0.4">
      <c r="A774">
        <v>20210817</v>
      </c>
      <c r="B774" s="1">
        <v>8.3333333333333329E-2</v>
      </c>
      <c r="C774">
        <v>-15286</v>
      </c>
      <c r="D774">
        <v>-53386</v>
      </c>
      <c r="E774">
        <v>330913</v>
      </c>
      <c r="F774">
        <v>-137859</v>
      </c>
      <c r="G774">
        <v>17090</v>
      </c>
      <c r="H774">
        <v>86209</v>
      </c>
      <c r="I774">
        <v>112211</v>
      </c>
      <c r="J774">
        <v>-20946</v>
      </c>
      <c r="K774">
        <v>57996</v>
      </c>
      <c r="L774">
        <v>-6593</v>
      </c>
      <c r="M774">
        <v>5.91</v>
      </c>
      <c r="N774">
        <f t="shared" si="36"/>
        <v>370349</v>
      </c>
      <c r="O774">
        <v>20193450</v>
      </c>
      <c r="P774" s="2">
        <f t="shared" si="37"/>
        <v>1.8340055810176072</v>
      </c>
      <c r="Q774" s="4">
        <f t="shared" si="38"/>
        <v>11.934328949999999</v>
      </c>
    </row>
    <row r="775" spans="1:17" x14ac:dyDescent="0.4">
      <c r="A775">
        <v>20210817</v>
      </c>
      <c r="B775" s="1">
        <v>0.10416666666666667</v>
      </c>
      <c r="C775">
        <v>42549</v>
      </c>
      <c r="D775">
        <v>-40306</v>
      </c>
      <c r="E775">
        <v>151800</v>
      </c>
      <c r="F775">
        <v>-28154</v>
      </c>
      <c r="G775">
        <v>21860</v>
      </c>
      <c r="H775">
        <v>-10514</v>
      </c>
      <c r="I775">
        <v>68441</v>
      </c>
      <c r="J775">
        <v>-22542</v>
      </c>
      <c r="K775">
        <v>65876</v>
      </c>
      <c r="L775">
        <v>-15927</v>
      </c>
      <c r="M775">
        <v>5.91</v>
      </c>
      <c r="N775">
        <f t="shared" si="36"/>
        <v>233083</v>
      </c>
      <c r="O775">
        <v>20275150</v>
      </c>
      <c r="P775" s="2">
        <f t="shared" si="37"/>
        <v>1.1495993864410374</v>
      </c>
      <c r="Q775" s="4">
        <f t="shared" si="38"/>
        <v>11.982613649999999</v>
      </c>
    </row>
    <row r="776" spans="1:17" x14ac:dyDescent="0.4">
      <c r="A776">
        <v>20210817</v>
      </c>
      <c r="B776" s="1">
        <v>0.125</v>
      </c>
      <c r="C776">
        <v>-30762</v>
      </c>
      <c r="D776">
        <v>-89349</v>
      </c>
      <c r="E776">
        <v>139625</v>
      </c>
      <c r="F776">
        <v>-122849</v>
      </c>
      <c r="G776">
        <v>76473</v>
      </c>
      <c r="H776">
        <v>27953</v>
      </c>
      <c r="I776">
        <v>157926</v>
      </c>
      <c r="J776">
        <v>-17241</v>
      </c>
      <c r="K776">
        <v>51854</v>
      </c>
      <c r="L776">
        <v>-5999</v>
      </c>
      <c r="M776">
        <v>5.96</v>
      </c>
      <c r="N776">
        <f t="shared" si="36"/>
        <v>187631</v>
      </c>
      <c r="O776">
        <v>20330900</v>
      </c>
      <c r="P776" s="2">
        <f t="shared" si="37"/>
        <v>0.92288585355296615</v>
      </c>
      <c r="Q776" s="4">
        <f t="shared" si="38"/>
        <v>12.1172164</v>
      </c>
    </row>
    <row r="777" spans="1:17" x14ac:dyDescent="0.4">
      <c r="A777">
        <v>20210817</v>
      </c>
      <c r="B777" s="1">
        <v>0.14583333333333334</v>
      </c>
      <c r="C777">
        <v>-1404</v>
      </c>
      <c r="D777">
        <v>-87628</v>
      </c>
      <c r="E777">
        <v>123526</v>
      </c>
      <c r="F777">
        <v>-46328</v>
      </c>
      <c r="G777">
        <v>48644</v>
      </c>
      <c r="H777">
        <v>22739</v>
      </c>
      <c r="I777">
        <v>173772</v>
      </c>
      <c r="J777">
        <v>-11739</v>
      </c>
      <c r="K777">
        <v>54674</v>
      </c>
      <c r="L777">
        <v>-8211</v>
      </c>
      <c r="M777">
        <v>5.96</v>
      </c>
      <c r="N777">
        <f t="shared" si="36"/>
        <v>268045</v>
      </c>
      <c r="O777">
        <v>20281950</v>
      </c>
      <c r="P777" s="2">
        <f t="shared" si="37"/>
        <v>1.3215938309679296</v>
      </c>
      <c r="Q777" s="4">
        <f t="shared" si="38"/>
        <v>12.0880422</v>
      </c>
    </row>
    <row r="778" spans="1:17" x14ac:dyDescent="0.4">
      <c r="A778">
        <v>20210817</v>
      </c>
      <c r="B778" s="1">
        <v>0.16666666666666666</v>
      </c>
      <c r="C778">
        <v>3620</v>
      </c>
      <c r="D778">
        <v>-135155</v>
      </c>
      <c r="E778">
        <v>238960</v>
      </c>
      <c r="F778">
        <v>-63758</v>
      </c>
      <c r="G778">
        <v>3597</v>
      </c>
      <c r="H778">
        <v>55648</v>
      </c>
      <c r="I778">
        <v>137600</v>
      </c>
      <c r="J778">
        <v>-5452</v>
      </c>
      <c r="K778">
        <v>40892</v>
      </c>
      <c r="L778">
        <v>-247</v>
      </c>
      <c r="M778">
        <v>5.96</v>
      </c>
      <c r="N778">
        <f t="shared" si="36"/>
        <v>275705</v>
      </c>
      <c r="O778">
        <v>20317050</v>
      </c>
      <c r="P778" s="2">
        <f t="shared" si="37"/>
        <v>1.3570129521756358</v>
      </c>
      <c r="Q778" s="4">
        <f t="shared" si="38"/>
        <v>12.108961799999999</v>
      </c>
    </row>
    <row r="779" spans="1:17" x14ac:dyDescent="0.4">
      <c r="A779">
        <v>20210817</v>
      </c>
      <c r="B779" s="1">
        <v>0.1875</v>
      </c>
      <c r="C779">
        <v>16358</v>
      </c>
      <c r="D779">
        <v>-117444</v>
      </c>
      <c r="E779">
        <v>172940</v>
      </c>
      <c r="F779">
        <v>-66179</v>
      </c>
      <c r="G779">
        <v>15372</v>
      </c>
      <c r="H779">
        <v>79312</v>
      </c>
      <c r="I779">
        <v>137357</v>
      </c>
      <c r="J779">
        <v>-6930</v>
      </c>
      <c r="K779">
        <v>89272</v>
      </c>
      <c r="L779">
        <v>-11673</v>
      </c>
      <c r="M779">
        <v>6</v>
      </c>
      <c r="N779">
        <f t="shared" si="36"/>
        <v>308385</v>
      </c>
      <c r="O779">
        <v>20389150</v>
      </c>
      <c r="P779" s="2">
        <f t="shared" si="37"/>
        <v>1.5124956165411505</v>
      </c>
      <c r="Q779" s="4">
        <f t="shared" si="38"/>
        <v>12.23349</v>
      </c>
    </row>
    <row r="780" spans="1:17" x14ac:dyDescent="0.4">
      <c r="A780">
        <v>20210817</v>
      </c>
      <c r="B780" s="1">
        <v>0.20833333333333334</v>
      </c>
      <c r="C780">
        <v>-6705</v>
      </c>
      <c r="D780">
        <v>-75533</v>
      </c>
      <c r="E780">
        <v>143112</v>
      </c>
      <c r="F780">
        <v>-195623</v>
      </c>
      <c r="G780">
        <v>39111</v>
      </c>
      <c r="H780">
        <v>-99012</v>
      </c>
      <c r="I780">
        <v>65567</v>
      </c>
      <c r="J780">
        <v>4165</v>
      </c>
      <c r="K780">
        <v>75774</v>
      </c>
      <c r="L780">
        <v>-3092</v>
      </c>
      <c r="M780">
        <v>6.06</v>
      </c>
      <c r="N780">
        <f t="shared" si="36"/>
        <v>-52236</v>
      </c>
      <c r="O780">
        <v>20672500</v>
      </c>
      <c r="P780" s="2">
        <f t="shared" si="37"/>
        <v>-0.25268351674930462</v>
      </c>
      <c r="Q780" s="4">
        <f t="shared" si="38"/>
        <v>12.527534999999999</v>
      </c>
    </row>
    <row r="781" spans="1:17" x14ac:dyDescent="0.4">
      <c r="A781">
        <v>20210817</v>
      </c>
      <c r="B781" s="1">
        <v>0.22916666666666666</v>
      </c>
      <c r="C781">
        <v>1415</v>
      </c>
      <c r="D781">
        <v>-17240</v>
      </c>
      <c r="E781">
        <v>167029</v>
      </c>
      <c r="F781">
        <v>-167134</v>
      </c>
      <c r="G781">
        <v>42633</v>
      </c>
      <c r="H781">
        <v>-135158</v>
      </c>
      <c r="I781">
        <v>40366</v>
      </c>
      <c r="J781">
        <v>7756</v>
      </c>
      <c r="K781">
        <v>82633</v>
      </c>
      <c r="L781">
        <v>-8970</v>
      </c>
      <c r="M781">
        <v>6.03</v>
      </c>
      <c r="N781">
        <f t="shared" si="36"/>
        <v>13330</v>
      </c>
      <c r="O781">
        <v>21058550</v>
      </c>
      <c r="P781" s="2">
        <f t="shared" si="37"/>
        <v>6.3299704870468293E-2</v>
      </c>
      <c r="Q781" s="4">
        <f t="shared" si="38"/>
        <v>12.69830565</v>
      </c>
    </row>
    <row r="782" spans="1:17" x14ac:dyDescent="0.4">
      <c r="A782">
        <v>20210817</v>
      </c>
      <c r="B782" s="1">
        <v>0.25</v>
      </c>
      <c r="C782">
        <v>-35037</v>
      </c>
      <c r="D782">
        <v>13939</v>
      </c>
      <c r="E782">
        <v>145975</v>
      </c>
      <c r="F782">
        <v>-38023</v>
      </c>
      <c r="G782">
        <v>47046</v>
      </c>
      <c r="H782">
        <v>-86813</v>
      </c>
      <c r="I782">
        <v>9617</v>
      </c>
      <c r="J782">
        <v>38345</v>
      </c>
      <c r="K782">
        <v>38180</v>
      </c>
      <c r="L782">
        <v>-3221</v>
      </c>
      <c r="M782">
        <v>6.13</v>
      </c>
      <c r="N782">
        <f t="shared" si="36"/>
        <v>130008</v>
      </c>
      <c r="O782">
        <v>21373800</v>
      </c>
      <c r="P782" s="2">
        <f t="shared" si="37"/>
        <v>0.60825870926087078</v>
      </c>
      <c r="Q782" s="4">
        <f t="shared" si="38"/>
        <v>13.1021394</v>
      </c>
    </row>
    <row r="783" spans="1:17" x14ac:dyDescent="0.4">
      <c r="A783">
        <v>20210817</v>
      </c>
      <c r="B783" s="1">
        <v>0.27083333333333331</v>
      </c>
      <c r="C783">
        <v>-47726</v>
      </c>
      <c r="D783">
        <v>29522</v>
      </c>
      <c r="E783">
        <v>108662</v>
      </c>
      <c r="F783">
        <v>29333</v>
      </c>
      <c r="G783">
        <v>62030</v>
      </c>
      <c r="H783">
        <v>-65401</v>
      </c>
      <c r="I783">
        <v>83853</v>
      </c>
      <c r="J783">
        <v>27412</v>
      </c>
      <c r="K783">
        <v>-795</v>
      </c>
      <c r="L783">
        <v>-13830</v>
      </c>
      <c r="M783">
        <v>6.22</v>
      </c>
      <c r="N783">
        <f t="shared" si="36"/>
        <v>213060</v>
      </c>
      <c r="O783">
        <v>21726500</v>
      </c>
      <c r="P783" s="2">
        <f t="shared" si="37"/>
        <v>0.98064575518376174</v>
      </c>
      <c r="Q783" s="4">
        <f t="shared" si="38"/>
        <v>13.513883</v>
      </c>
    </row>
    <row r="784" spans="1:17" x14ac:dyDescent="0.4">
      <c r="A784">
        <v>20210817</v>
      </c>
      <c r="B784" s="1">
        <v>0.29166666666666669</v>
      </c>
      <c r="C784">
        <v>-61486</v>
      </c>
      <c r="D784">
        <v>51425</v>
      </c>
      <c r="E784">
        <v>31345</v>
      </c>
      <c r="F784">
        <v>26267</v>
      </c>
      <c r="G784">
        <v>77775</v>
      </c>
      <c r="H784">
        <v>-118952</v>
      </c>
      <c r="I784">
        <v>10617</v>
      </c>
      <c r="J784">
        <v>34348</v>
      </c>
      <c r="K784">
        <v>55614</v>
      </c>
      <c r="L784">
        <v>5334</v>
      </c>
      <c r="M784">
        <v>6.57</v>
      </c>
      <c r="N784">
        <f t="shared" si="36"/>
        <v>112287</v>
      </c>
      <c r="O784">
        <v>22304950</v>
      </c>
      <c r="P784" s="2">
        <f t="shared" si="37"/>
        <v>0.5034174028634899</v>
      </c>
      <c r="Q784" s="4">
        <f t="shared" si="38"/>
        <v>14.654352149999999</v>
      </c>
    </row>
    <row r="785" spans="1:17" x14ac:dyDescent="0.4">
      <c r="A785">
        <v>20210817</v>
      </c>
      <c r="B785" s="1">
        <v>0.3125</v>
      </c>
      <c r="C785">
        <v>-8574</v>
      </c>
      <c r="D785">
        <v>103800</v>
      </c>
      <c r="E785">
        <v>-272690</v>
      </c>
      <c r="F785">
        <v>203228</v>
      </c>
      <c r="G785">
        <v>63817</v>
      </c>
      <c r="H785">
        <v>-15258</v>
      </c>
      <c r="I785">
        <v>29593</v>
      </c>
      <c r="J785">
        <v>63296</v>
      </c>
      <c r="K785">
        <v>-19000</v>
      </c>
      <c r="L785">
        <v>-4870</v>
      </c>
      <c r="M785">
        <v>6.85</v>
      </c>
      <c r="N785">
        <f t="shared" si="36"/>
        <v>143342</v>
      </c>
      <c r="O785">
        <v>22410600</v>
      </c>
      <c r="P785" s="2">
        <f t="shared" si="37"/>
        <v>0.63961696697098691</v>
      </c>
      <c r="Q785" s="4">
        <f t="shared" si="38"/>
        <v>15.351260999999999</v>
      </c>
    </row>
    <row r="786" spans="1:17" x14ac:dyDescent="0.4">
      <c r="A786">
        <v>20210817</v>
      </c>
      <c r="B786" s="1">
        <v>0.33333333333333331</v>
      </c>
      <c r="C786">
        <v>-12451</v>
      </c>
      <c r="D786">
        <v>79002</v>
      </c>
      <c r="E786">
        <v>377748</v>
      </c>
      <c r="F786">
        <v>153699</v>
      </c>
      <c r="G786">
        <v>40397</v>
      </c>
      <c r="H786">
        <v>-128285</v>
      </c>
      <c r="I786">
        <v>-108100</v>
      </c>
      <c r="J786">
        <v>55545</v>
      </c>
      <c r="K786">
        <v>-198790</v>
      </c>
      <c r="L786">
        <v>-2304</v>
      </c>
      <c r="M786">
        <v>6.88</v>
      </c>
      <c r="N786">
        <f t="shared" si="36"/>
        <v>256461</v>
      </c>
      <c r="O786">
        <v>22540950</v>
      </c>
      <c r="P786" s="2">
        <f t="shared" si="37"/>
        <v>1.1377559508361448</v>
      </c>
      <c r="Q786" s="4">
        <f t="shared" si="38"/>
        <v>15.508173599999999</v>
      </c>
    </row>
    <row r="787" spans="1:17" x14ac:dyDescent="0.4">
      <c r="A787">
        <v>20210817</v>
      </c>
      <c r="B787" s="1">
        <v>0.35416666666666669</v>
      </c>
      <c r="C787">
        <v>15876</v>
      </c>
      <c r="D787">
        <v>9661</v>
      </c>
      <c r="E787">
        <v>-82465</v>
      </c>
      <c r="F787">
        <v>271546</v>
      </c>
      <c r="G787">
        <v>41314</v>
      </c>
      <c r="H787">
        <v>-161005</v>
      </c>
      <c r="I787">
        <v>-166220</v>
      </c>
      <c r="J787">
        <v>38412</v>
      </c>
      <c r="K787">
        <v>-274557</v>
      </c>
      <c r="L787">
        <v>-14448</v>
      </c>
      <c r="M787">
        <v>7.05</v>
      </c>
      <c r="N787">
        <f t="shared" si="36"/>
        <v>-321886</v>
      </c>
      <c r="O787">
        <v>22760350</v>
      </c>
      <c r="P787" s="2">
        <f t="shared" si="37"/>
        <v>-1.4142401149367212</v>
      </c>
      <c r="Q787" s="4">
        <f t="shared" si="38"/>
        <v>16.046046749999999</v>
      </c>
    </row>
    <row r="788" spans="1:17" x14ac:dyDescent="0.4">
      <c r="A788">
        <v>20210817</v>
      </c>
      <c r="B788" s="1">
        <v>0.375</v>
      </c>
      <c r="C788">
        <v>4327</v>
      </c>
      <c r="D788">
        <v>-66031</v>
      </c>
      <c r="E788">
        <v>231993</v>
      </c>
      <c r="F788">
        <v>553498</v>
      </c>
      <c r="G788">
        <v>16457</v>
      </c>
      <c r="H788">
        <v>117431</v>
      </c>
      <c r="I788">
        <v>-232429</v>
      </c>
      <c r="J788">
        <v>38559</v>
      </c>
      <c r="K788">
        <v>-282887</v>
      </c>
      <c r="L788">
        <v>-20445</v>
      </c>
      <c r="M788">
        <v>7.94</v>
      </c>
      <c r="N788">
        <f t="shared" si="36"/>
        <v>360473</v>
      </c>
      <c r="O788">
        <v>23176100</v>
      </c>
      <c r="P788" s="2">
        <f t="shared" si="37"/>
        <v>1.5553652253830454</v>
      </c>
      <c r="Q788" s="4">
        <f t="shared" si="38"/>
        <v>18.401823400000001</v>
      </c>
    </row>
    <row r="789" spans="1:17" x14ac:dyDescent="0.4">
      <c r="A789">
        <v>20210817</v>
      </c>
      <c r="B789" s="1">
        <v>0.39583333333333331</v>
      </c>
      <c r="C789">
        <v>56472</v>
      </c>
      <c r="D789">
        <v>34110</v>
      </c>
      <c r="E789">
        <v>378376</v>
      </c>
      <c r="F789">
        <v>614446</v>
      </c>
      <c r="G789">
        <v>28222</v>
      </c>
      <c r="H789">
        <v>-61567</v>
      </c>
      <c r="I789">
        <v>-197766</v>
      </c>
      <c r="J789">
        <v>-2813</v>
      </c>
      <c r="K789">
        <v>-123075</v>
      </c>
      <c r="L789">
        <v>-21051</v>
      </c>
      <c r="M789">
        <v>8.14</v>
      </c>
      <c r="N789">
        <f t="shared" si="36"/>
        <v>705354</v>
      </c>
      <c r="O789">
        <v>23151900</v>
      </c>
      <c r="P789" s="2">
        <f t="shared" si="37"/>
        <v>3.0466354813211876</v>
      </c>
      <c r="Q789" s="4">
        <f t="shared" si="38"/>
        <v>18.845646599999998</v>
      </c>
    </row>
    <row r="790" spans="1:17" x14ac:dyDescent="0.4">
      <c r="A790">
        <v>20210817</v>
      </c>
      <c r="B790" s="1">
        <v>0.41666666666666669</v>
      </c>
      <c r="C790">
        <v>8313</v>
      </c>
      <c r="D790">
        <v>-4969</v>
      </c>
      <c r="E790">
        <v>363394</v>
      </c>
      <c r="F790">
        <v>787008</v>
      </c>
      <c r="G790">
        <v>40317</v>
      </c>
      <c r="H790">
        <v>278329</v>
      </c>
      <c r="I790">
        <v>-81160</v>
      </c>
      <c r="J790">
        <v>931</v>
      </c>
      <c r="K790">
        <v>-179788</v>
      </c>
      <c r="L790">
        <v>-30654</v>
      </c>
      <c r="M790">
        <v>8.86</v>
      </c>
      <c r="N790">
        <f t="shared" si="36"/>
        <v>1181721</v>
      </c>
      <c r="O790">
        <v>23427000</v>
      </c>
      <c r="P790" s="2">
        <f t="shared" si="37"/>
        <v>5.0442694327058524</v>
      </c>
      <c r="Q790" s="4">
        <f t="shared" si="38"/>
        <v>20.756322000000001</v>
      </c>
    </row>
    <row r="791" spans="1:17" x14ac:dyDescent="0.4">
      <c r="A791">
        <v>20210817</v>
      </c>
      <c r="B791" s="1">
        <v>0.4375</v>
      </c>
      <c r="C791">
        <v>30198</v>
      </c>
      <c r="D791">
        <v>-52158</v>
      </c>
      <c r="E791">
        <v>212611</v>
      </c>
      <c r="F791">
        <v>872883</v>
      </c>
      <c r="G791">
        <v>63425</v>
      </c>
      <c r="H791">
        <v>248183</v>
      </c>
      <c r="I791">
        <v>-92906</v>
      </c>
      <c r="J791">
        <v>10839</v>
      </c>
      <c r="K791">
        <v>-247742</v>
      </c>
      <c r="L791">
        <v>-39420</v>
      </c>
      <c r="M791">
        <v>8.99</v>
      </c>
      <c r="N791">
        <f t="shared" si="36"/>
        <v>1005913</v>
      </c>
      <c r="O791">
        <v>23483150</v>
      </c>
      <c r="P791" s="2">
        <f t="shared" si="37"/>
        <v>4.2835522491658917</v>
      </c>
      <c r="Q791" s="4">
        <f t="shared" si="38"/>
        <v>21.111351849999998</v>
      </c>
    </row>
    <row r="792" spans="1:17" x14ac:dyDescent="0.4">
      <c r="A792">
        <v>20210817</v>
      </c>
      <c r="B792" s="1">
        <v>0.45833333333333331</v>
      </c>
      <c r="C792">
        <v>30044</v>
      </c>
      <c r="D792">
        <v>-24423</v>
      </c>
      <c r="E792">
        <v>340238</v>
      </c>
      <c r="F792">
        <v>727999</v>
      </c>
      <c r="G792">
        <v>67981</v>
      </c>
      <c r="H792">
        <v>332593</v>
      </c>
      <c r="I792">
        <v>-135300</v>
      </c>
      <c r="J792">
        <v>-32384</v>
      </c>
      <c r="K792">
        <v>-299267</v>
      </c>
      <c r="L792">
        <v>-52753</v>
      </c>
      <c r="M792">
        <v>9.0399999999999991</v>
      </c>
      <c r="N792">
        <f t="shared" si="36"/>
        <v>954728</v>
      </c>
      <c r="O792">
        <v>23640600</v>
      </c>
      <c r="P792" s="2">
        <f t="shared" si="37"/>
        <v>4.038510020896255</v>
      </c>
      <c r="Q792" s="4">
        <f t="shared" si="38"/>
        <v>21.371102399999998</v>
      </c>
    </row>
    <row r="793" spans="1:17" x14ac:dyDescent="0.4">
      <c r="A793">
        <v>20210817</v>
      </c>
      <c r="B793" s="1">
        <v>0.47916666666666669</v>
      </c>
      <c r="C793">
        <v>55291</v>
      </c>
      <c r="D793">
        <v>-32517</v>
      </c>
      <c r="E793">
        <v>173604</v>
      </c>
      <c r="F793">
        <v>769241</v>
      </c>
      <c r="G793">
        <v>64804</v>
      </c>
      <c r="H793">
        <v>409623</v>
      </c>
      <c r="I793">
        <v>-124372</v>
      </c>
      <c r="J793">
        <v>-39249</v>
      </c>
      <c r="K793">
        <v>-389107</v>
      </c>
      <c r="L793">
        <v>-48725</v>
      </c>
      <c r="M793">
        <v>8.99</v>
      </c>
      <c r="N793">
        <f t="shared" si="36"/>
        <v>838593</v>
      </c>
      <c r="O793">
        <v>23703450</v>
      </c>
      <c r="P793" s="2">
        <f t="shared" si="37"/>
        <v>3.5378520848230952</v>
      </c>
      <c r="Q793" s="4">
        <f t="shared" si="38"/>
        <v>21.30940155</v>
      </c>
    </row>
    <row r="794" spans="1:17" x14ac:dyDescent="0.4">
      <c r="A794">
        <v>20210817</v>
      </c>
      <c r="B794" s="1">
        <v>0.5</v>
      </c>
      <c r="C794">
        <v>23209</v>
      </c>
      <c r="D794">
        <v>23504</v>
      </c>
      <c r="E794">
        <v>210145</v>
      </c>
      <c r="F794">
        <v>903367</v>
      </c>
      <c r="G794">
        <v>37344</v>
      </c>
      <c r="H794">
        <v>443343</v>
      </c>
      <c r="I794">
        <v>-25016</v>
      </c>
      <c r="J794">
        <v>6309</v>
      </c>
      <c r="K794">
        <v>-213765</v>
      </c>
      <c r="L794">
        <v>-39408</v>
      </c>
      <c r="M794">
        <v>8.14</v>
      </c>
      <c r="N794">
        <f t="shared" si="36"/>
        <v>1369032</v>
      </c>
      <c r="O794">
        <v>23801050</v>
      </c>
      <c r="P794" s="2">
        <f t="shared" si="37"/>
        <v>5.7519815302266073</v>
      </c>
      <c r="Q794" s="4">
        <f t="shared" si="38"/>
        <v>19.374054699999999</v>
      </c>
    </row>
    <row r="795" spans="1:17" x14ac:dyDescent="0.4">
      <c r="A795">
        <v>20210817</v>
      </c>
      <c r="B795" s="1">
        <v>0.52083333333333337</v>
      </c>
      <c r="C795">
        <v>8694</v>
      </c>
      <c r="D795">
        <v>75331</v>
      </c>
      <c r="E795">
        <v>296709</v>
      </c>
      <c r="F795">
        <v>635864</v>
      </c>
      <c r="G795">
        <v>22486</v>
      </c>
      <c r="H795">
        <v>346420</v>
      </c>
      <c r="I795">
        <v>162111</v>
      </c>
      <c r="J795">
        <v>25625</v>
      </c>
      <c r="K795">
        <v>-30013</v>
      </c>
      <c r="L795">
        <v>-37444</v>
      </c>
      <c r="M795">
        <v>8.1300000000000008</v>
      </c>
      <c r="N795">
        <f t="shared" si="36"/>
        <v>1505783</v>
      </c>
      <c r="O795">
        <v>23792250</v>
      </c>
      <c r="P795" s="2">
        <f t="shared" si="37"/>
        <v>6.3288802025869773</v>
      </c>
      <c r="Q795" s="4">
        <f t="shared" si="38"/>
        <v>19.343099250000002</v>
      </c>
    </row>
    <row r="796" spans="1:17" x14ac:dyDescent="0.4">
      <c r="A796">
        <v>20210817</v>
      </c>
      <c r="B796" s="1">
        <v>0.54166666666666663</v>
      </c>
      <c r="C796">
        <v>-11990</v>
      </c>
      <c r="D796">
        <v>92575</v>
      </c>
      <c r="E796">
        <v>325053</v>
      </c>
      <c r="F796">
        <v>584838</v>
      </c>
      <c r="G796">
        <v>21042</v>
      </c>
      <c r="H796">
        <v>243206</v>
      </c>
      <c r="I796">
        <v>147690</v>
      </c>
      <c r="J796">
        <v>53919</v>
      </c>
      <c r="K796">
        <v>2118</v>
      </c>
      <c r="L796">
        <v>-40253</v>
      </c>
      <c r="M796">
        <v>8.86</v>
      </c>
      <c r="N796">
        <f t="shared" si="36"/>
        <v>1418198</v>
      </c>
      <c r="O796">
        <v>23125850</v>
      </c>
      <c r="P796" s="2">
        <f t="shared" si="37"/>
        <v>6.1325226964630488</v>
      </c>
      <c r="Q796" s="4">
        <f t="shared" si="38"/>
        <v>20.4895031</v>
      </c>
    </row>
    <row r="797" spans="1:17" x14ac:dyDescent="0.4">
      <c r="A797">
        <v>20210817</v>
      </c>
      <c r="B797" s="1">
        <v>0.5625</v>
      </c>
      <c r="C797">
        <v>-39440</v>
      </c>
      <c r="D797">
        <v>119567</v>
      </c>
      <c r="E797">
        <v>1060673</v>
      </c>
      <c r="F797">
        <v>667160</v>
      </c>
      <c r="G797">
        <v>76695</v>
      </c>
      <c r="H797">
        <v>289020</v>
      </c>
      <c r="I797">
        <v>190591</v>
      </c>
      <c r="J797">
        <v>19510</v>
      </c>
      <c r="K797">
        <v>28752</v>
      </c>
      <c r="L797">
        <v>-30957</v>
      </c>
      <c r="M797">
        <v>9.0399999999999991</v>
      </c>
      <c r="N797">
        <f t="shared" si="36"/>
        <v>2381571</v>
      </c>
      <c r="O797">
        <v>23020000</v>
      </c>
      <c r="P797" s="2">
        <f t="shared" si="37"/>
        <v>10.345660295395309</v>
      </c>
      <c r="Q797" s="4">
        <f t="shared" si="38"/>
        <v>20.810079999999996</v>
      </c>
    </row>
    <row r="798" spans="1:17" x14ac:dyDescent="0.4">
      <c r="A798">
        <v>20210817</v>
      </c>
      <c r="B798" s="1">
        <v>0.58333333333333337</v>
      </c>
      <c r="C798">
        <v>-75267</v>
      </c>
      <c r="D798">
        <v>93765</v>
      </c>
      <c r="E798">
        <v>905521</v>
      </c>
      <c r="F798">
        <v>559179</v>
      </c>
      <c r="G798">
        <v>66284</v>
      </c>
      <c r="H798">
        <v>478932</v>
      </c>
      <c r="I798">
        <v>89681</v>
      </c>
      <c r="J798">
        <v>-24122</v>
      </c>
      <c r="K798">
        <v>95880</v>
      </c>
      <c r="L798">
        <v>-18686</v>
      </c>
      <c r="M798">
        <v>9.0500000000000007</v>
      </c>
      <c r="N798">
        <f t="shared" si="36"/>
        <v>2171167</v>
      </c>
      <c r="O798">
        <v>22999800</v>
      </c>
      <c r="P798" s="2">
        <f t="shared" si="37"/>
        <v>9.4399386081618104</v>
      </c>
      <c r="Q798" s="4">
        <f t="shared" si="38"/>
        <v>20.814819000000004</v>
      </c>
    </row>
    <row r="799" spans="1:17" x14ac:dyDescent="0.4">
      <c r="A799">
        <v>20210817</v>
      </c>
      <c r="B799" s="1">
        <v>0.60416666666666663</v>
      </c>
      <c r="C799">
        <v>-38733</v>
      </c>
      <c r="D799">
        <v>118043</v>
      </c>
      <c r="E799">
        <v>814874</v>
      </c>
      <c r="F799">
        <v>558275</v>
      </c>
      <c r="G799">
        <v>24066</v>
      </c>
      <c r="H799">
        <v>630276</v>
      </c>
      <c r="I799">
        <v>71194</v>
      </c>
      <c r="J799">
        <v>-21896</v>
      </c>
      <c r="K799">
        <v>139862</v>
      </c>
      <c r="L799">
        <v>-33118</v>
      </c>
      <c r="M799">
        <v>9.1300000000000008</v>
      </c>
      <c r="N799">
        <f t="shared" si="36"/>
        <v>2262843</v>
      </c>
      <c r="O799">
        <v>23081900</v>
      </c>
      <c r="P799" s="2">
        <f t="shared" si="37"/>
        <v>9.8035387034862822</v>
      </c>
      <c r="Q799" s="4">
        <f t="shared" si="38"/>
        <v>21.073774700000001</v>
      </c>
    </row>
    <row r="800" spans="1:17" x14ac:dyDescent="0.4">
      <c r="A800">
        <v>20210817</v>
      </c>
      <c r="B800" s="1">
        <v>0.625</v>
      </c>
      <c r="C800">
        <v>-54467</v>
      </c>
      <c r="D800">
        <v>87684</v>
      </c>
      <c r="E800">
        <v>753725</v>
      </c>
      <c r="F800">
        <v>629294</v>
      </c>
      <c r="G800">
        <v>25831</v>
      </c>
      <c r="H800">
        <v>407000</v>
      </c>
      <c r="I800">
        <v>106848</v>
      </c>
      <c r="J800">
        <v>-37997</v>
      </c>
      <c r="K800">
        <v>268532</v>
      </c>
      <c r="L800">
        <v>-42691</v>
      </c>
      <c r="M800">
        <v>8.86</v>
      </c>
      <c r="N800">
        <f t="shared" si="36"/>
        <v>2143759</v>
      </c>
      <c r="O800">
        <v>23080150</v>
      </c>
      <c r="P800" s="2">
        <f t="shared" si="37"/>
        <v>9.2883235160949997</v>
      </c>
      <c r="Q800" s="4">
        <f t="shared" si="38"/>
        <v>20.4490129</v>
      </c>
    </row>
    <row r="801" spans="1:17" x14ac:dyDescent="0.4">
      <c r="A801">
        <v>20210817</v>
      </c>
      <c r="B801" s="1">
        <v>0.64583333333333337</v>
      </c>
      <c r="C801">
        <v>-24440</v>
      </c>
      <c r="D801">
        <v>-15883</v>
      </c>
      <c r="E801">
        <v>705214</v>
      </c>
      <c r="F801">
        <v>524335</v>
      </c>
      <c r="G801">
        <v>8151</v>
      </c>
      <c r="H801">
        <v>405788</v>
      </c>
      <c r="I801">
        <v>71925</v>
      </c>
      <c r="J801">
        <v>-44649</v>
      </c>
      <c r="K801">
        <v>236666</v>
      </c>
      <c r="L801">
        <v>-47447</v>
      </c>
      <c r="M801">
        <v>9.0500000000000007</v>
      </c>
      <c r="N801">
        <f t="shared" si="36"/>
        <v>1819660</v>
      </c>
      <c r="O801">
        <v>23047700</v>
      </c>
      <c r="P801" s="2">
        <f t="shared" si="37"/>
        <v>7.8951912772207207</v>
      </c>
      <c r="Q801" s="4">
        <f t="shared" si="38"/>
        <v>20.858168500000001</v>
      </c>
    </row>
    <row r="802" spans="1:17" x14ac:dyDescent="0.4">
      <c r="A802">
        <v>20210817</v>
      </c>
      <c r="B802" s="1">
        <v>0.66666666666666663</v>
      </c>
      <c r="C802">
        <v>1437</v>
      </c>
      <c r="D802">
        <v>99076</v>
      </c>
      <c r="E802">
        <v>528638</v>
      </c>
      <c r="F802">
        <v>316069</v>
      </c>
      <c r="G802">
        <v>13779</v>
      </c>
      <c r="H802">
        <v>449787</v>
      </c>
      <c r="I802">
        <v>166095</v>
      </c>
      <c r="J802">
        <v>-29078</v>
      </c>
      <c r="K802">
        <v>171612</v>
      </c>
      <c r="L802">
        <v>-54350</v>
      </c>
      <c r="M802">
        <v>9.1999999999999993</v>
      </c>
      <c r="N802">
        <f t="shared" si="36"/>
        <v>1663065</v>
      </c>
      <c r="O802">
        <v>23737550</v>
      </c>
      <c r="P802" s="2">
        <f t="shared" si="37"/>
        <v>7.0060515933615726</v>
      </c>
      <c r="Q802" s="4">
        <f t="shared" si="38"/>
        <v>21.838545999999997</v>
      </c>
    </row>
    <row r="803" spans="1:17" x14ac:dyDescent="0.4">
      <c r="A803">
        <v>20210817</v>
      </c>
      <c r="B803" s="1">
        <v>0.6875</v>
      </c>
      <c r="C803">
        <v>14628</v>
      </c>
      <c r="D803">
        <v>34681</v>
      </c>
      <c r="E803">
        <v>489843</v>
      </c>
      <c r="F803">
        <v>168862</v>
      </c>
      <c r="G803">
        <v>29923</v>
      </c>
      <c r="H803">
        <v>373786</v>
      </c>
      <c r="I803">
        <v>28799</v>
      </c>
      <c r="J803">
        <v>-48007</v>
      </c>
      <c r="K803">
        <v>212916</v>
      </c>
      <c r="L803">
        <v>-51450</v>
      </c>
      <c r="M803">
        <v>9.0500000000000007</v>
      </c>
      <c r="N803">
        <f t="shared" si="36"/>
        <v>1253981</v>
      </c>
      <c r="O803">
        <v>23727300</v>
      </c>
      <c r="P803" s="2">
        <f t="shared" si="37"/>
        <v>5.2849713199563375</v>
      </c>
      <c r="Q803" s="4">
        <f t="shared" si="38"/>
        <v>21.473206500000003</v>
      </c>
    </row>
    <row r="804" spans="1:17" x14ac:dyDescent="0.4">
      <c r="A804">
        <v>20210817</v>
      </c>
      <c r="B804" s="1">
        <v>0.70833333333333337</v>
      </c>
      <c r="C804">
        <v>29338</v>
      </c>
      <c r="D804">
        <v>74419</v>
      </c>
      <c r="E804">
        <v>372027</v>
      </c>
      <c r="F804">
        <v>97023</v>
      </c>
      <c r="G804">
        <v>15001</v>
      </c>
      <c r="H804">
        <v>446640</v>
      </c>
      <c r="I804">
        <v>84956</v>
      </c>
      <c r="J804">
        <v>-16951</v>
      </c>
      <c r="K804">
        <v>247978</v>
      </c>
      <c r="L804">
        <v>-32961</v>
      </c>
      <c r="M804">
        <v>8.86</v>
      </c>
      <c r="N804">
        <f t="shared" si="36"/>
        <v>1317470</v>
      </c>
      <c r="O804">
        <v>23286700</v>
      </c>
      <c r="P804" s="2">
        <f t="shared" si="37"/>
        <v>5.6576071319680334</v>
      </c>
      <c r="Q804" s="4">
        <f t="shared" si="38"/>
        <v>20.632016199999999</v>
      </c>
    </row>
    <row r="805" spans="1:17" x14ac:dyDescent="0.4">
      <c r="A805">
        <v>20210817</v>
      </c>
      <c r="B805" s="1">
        <v>0.72916666666666663</v>
      </c>
      <c r="C805">
        <v>48994</v>
      </c>
      <c r="D805">
        <v>26839</v>
      </c>
      <c r="E805">
        <v>290437</v>
      </c>
      <c r="F805">
        <v>612</v>
      </c>
      <c r="G805">
        <v>-1306</v>
      </c>
      <c r="H805">
        <v>467868</v>
      </c>
      <c r="I805">
        <v>1055</v>
      </c>
      <c r="J805">
        <v>-17631</v>
      </c>
      <c r="K805">
        <v>224813</v>
      </c>
      <c r="L805">
        <v>-28593</v>
      </c>
      <c r="M805">
        <v>8.86</v>
      </c>
      <c r="N805">
        <f t="shared" si="36"/>
        <v>1013088</v>
      </c>
      <c r="O805">
        <v>23139250</v>
      </c>
      <c r="P805" s="2">
        <f t="shared" si="37"/>
        <v>4.3782231489784671</v>
      </c>
      <c r="Q805" s="4">
        <f t="shared" si="38"/>
        <v>20.501375500000002</v>
      </c>
    </row>
    <row r="806" spans="1:17" x14ac:dyDescent="0.4">
      <c r="A806">
        <v>20210817</v>
      </c>
      <c r="B806" s="1">
        <v>0.75</v>
      </c>
      <c r="C806">
        <v>21650</v>
      </c>
      <c r="D806">
        <v>125150</v>
      </c>
      <c r="E806">
        <v>273865</v>
      </c>
      <c r="F806">
        <v>-49229</v>
      </c>
      <c r="G806">
        <v>-14312</v>
      </c>
      <c r="H806">
        <v>319799</v>
      </c>
      <c r="I806">
        <v>27300</v>
      </c>
      <c r="J806">
        <v>-4163</v>
      </c>
      <c r="K806">
        <v>120868</v>
      </c>
      <c r="L806">
        <v>-20864</v>
      </c>
      <c r="M806">
        <v>8.86</v>
      </c>
      <c r="N806">
        <f t="shared" si="36"/>
        <v>800064</v>
      </c>
      <c r="O806">
        <v>23038600</v>
      </c>
      <c r="P806" s="2">
        <f t="shared" si="37"/>
        <v>3.4727110154262846</v>
      </c>
      <c r="Q806" s="4">
        <f t="shared" si="38"/>
        <v>20.412199600000001</v>
      </c>
    </row>
    <row r="807" spans="1:17" x14ac:dyDescent="0.4">
      <c r="A807">
        <v>20210817</v>
      </c>
      <c r="B807" s="1">
        <v>0.77083333333333337</v>
      </c>
      <c r="C807">
        <v>19099</v>
      </c>
      <c r="D807">
        <v>90087</v>
      </c>
      <c r="E807">
        <v>338604</v>
      </c>
      <c r="F807">
        <v>-127223</v>
      </c>
      <c r="G807">
        <v>-13327</v>
      </c>
      <c r="H807">
        <v>349930</v>
      </c>
      <c r="I807">
        <v>10166</v>
      </c>
      <c r="J807">
        <v>2926</v>
      </c>
      <c r="K807">
        <v>89615</v>
      </c>
      <c r="L807">
        <v>-26319</v>
      </c>
      <c r="M807">
        <v>8.14</v>
      </c>
      <c r="N807">
        <f t="shared" si="36"/>
        <v>733558</v>
      </c>
      <c r="O807">
        <v>22911950</v>
      </c>
      <c r="P807" s="2">
        <f t="shared" si="37"/>
        <v>3.2016393192198831</v>
      </c>
      <c r="Q807" s="4">
        <f t="shared" si="38"/>
        <v>18.650327300000001</v>
      </c>
    </row>
    <row r="808" spans="1:17" x14ac:dyDescent="0.4">
      <c r="A808">
        <v>20210817</v>
      </c>
      <c r="B808" s="1">
        <v>0.79166666666666663</v>
      </c>
      <c r="C808">
        <v>32288</v>
      </c>
      <c r="D808">
        <v>142645</v>
      </c>
      <c r="E808">
        <v>311198</v>
      </c>
      <c r="F808">
        <v>-75393</v>
      </c>
      <c r="G808">
        <v>-11439</v>
      </c>
      <c r="H808">
        <v>354927</v>
      </c>
      <c r="I808">
        <v>23218</v>
      </c>
      <c r="J808">
        <v>35893</v>
      </c>
      <c r="K808">
        <v>39355</v>
      </c>
      <c r="L808">
        <v>-30068</v>
      </c>
      <c r="M808">
        <v>8.1300000000000008</v>
      </c>
      <c r="N808">
        <f t="shared" si="36"/>
        <v>822624</v>
      </c>
      <c r="O808">
        <v>22782350</v>
      </c>
      <c r="P808" s="2">
        <f t="shared" si="37"/>
        <v>3.6107951989149494</v>
      </c>
      <c r="Q808" s="4">
        <f t="shared" si="38"/>
        <v>18.522050550000003</v>
      </c>
    </row>
    <row r="809" spans="1:17" x14ac:dyDescent="0.4">
      <c r="A809">
        <v>20210817</v>
      </c>
      <c r="B809" s="1">
        <v>0.8125</v>
      </c>
      <c r="C809">
        <v>25291</v>
      </c>
      <c r="D809">
        <v>72603</v>
      </c>
      <c r="E809">
        <v>466993</v>
      </c>
      <c r="F809">
        <v>-83354</v>
      </c>
      <c r="G809">
        <v>1353</v>
      </c>
      <c r="H809">
        <v>299584</v>
      </c>
      <c r="I809">
        <v>33488</v>
      </c>
      <c r="J809">
        <v>14389</v>
      </c>
      <c r="K809">
        <v>61249</v>
      </c>
      <c r="L809">
        <v>-26992</v>
      </c>
      <c r="M809">
        <v>7.44</v>
      </c>
      <c r="N809">
        <f t="shared" si="36"/>
        <v>864604</v>
      </c>
      <c r="O809">
        <v>23185200</v>
      </c>
      <c r="P809" s="2">
        <f t="shared" si="37"/>
        <v>3.729120300881597</v>
      </c>
      <c r="Q809" s="4">
        <f t="shared" si="38"/>
        <v>17.249788800000001</v>
      </c>
    </row>
    <row r="810" spans="1:17" x14ac:dyDescent="0.4">
      <c r="A810">
        <v>20210817</v>
      </c>
      <c r="B810" s="1">
        <v>0.83333333333333337</v>
      </c>
      <c r="C810">
        <v>64424</v>
      </c>
      <c r="D810">
        <v>61952</v>
      </c>
      <c r="E810">
        <v>265416</v>
      </c>
      <c r="F810">
        <v>-129584</v>
      </c>
      <c r="G810">
        <v>19955</v>
      </c>
      <c r="H810">
        <v>305172</v>
      </c>
      <c r="I810">
        <v>41222</v>
      </c>
      <c r="J810">
        <v>17256</v>
      </c>
      <c r="K810">
        <v>26439</v>
      </c>
      <c r="L810">
        <v>-33431</v>
      </c>
      <c r="M810">
        <v>7.17</v>
      </c>
      <c r="N810">
        <f t="shared" si="36"/>
        <v>638821</v>
      </c>
      <c r="O810">
        <v>22800300</v>
      </c>
      <c r="P810" s="2">
        <f t="shared" si="37"/>
        <v>2.8018096253119475</v>
      </c>
      <c r="Q810" s="4">
        <f t="shared" si="38"/>
        <v>16.347815099999998</v>
      </c>
    </row>
    <row r="811" spans="1:17" x14ac:dyDescent="0.4">
      <c r="A811">
        <v>20210817</v>
      </c>
      <c r="B811" s="1">
        <v>0.85416666666666663</v>
      </c>
      <c r="C811">
        <v>-9712</v>
      </c>
      <c r="D811">
        <v>-27087</v>
      </c>
      <c r="E811">
        <v>243573</v>
      </c>
      <c r="F811">
        <v>-82471</v>
      </c>
      <c r="G811">
        <v>-4113</v>
      </c>
      <c r="H811">
        <v>257562</v>
      </c>
      <c r="I811">
        <v>44966</v>
      </c>
      <c r="J811">
        <v>11464</v>
      </c>
      <c r="K811">
        <v>46250</v>
      </c>
      <c r="L811">
        <v>-24519</v>
      </c>
      <c r="M811">
        <v>7.03</v>
      </c>
      <c r="N811">
        <f t="shared" si="36"/>
        <v>455913</v>
      </c>
      <c r="O811">
        <v>22926900</v>
      </c>
      <c r="P811" s="2">
        <f t="shared" si="37"/>
        <v>1.9885505672376118</v>
      </c>
      <c r="Q811" s="4">
        <f t="shared" si="38"/>
        <v>16.1176107</v>
      </c>
    </row>
    <row r="812" spans="1:17" x14ac:dyDescent="0.4">
      <c r="A812">
        <v>20210817</v>
      </c>
      <c r="B812" s="1">
        <v>0.875</v>
      </c>
      <c r="C812">
        <v>68498</v>
      </c>
      <c r="D812">
        <v>22352</v>
      </c>
      <c r="E812">
        <v>119707</v>
      </c>
      <c r="F812">
        <v>-58128</v>
      </c>
      <c r="G812">
        <v>-14760</v>
      </c>
      <c r="H812">
        <v>248972</v>
      </c>
      <c r="I812">
        <v>61350</v>
      </c>
      <c r="J812">
        <v>17140</v>
      </c>
      <c r="K812">
        <v>19371</v>
      </c>
      <c r="L812">
        <v>-30058</v>
      </c>
      <c r="M812">
        <v>6.94</v>
      </c>
      <c r="N812">
        <f t="shared" si="36"/>
        <v>454444</v>
      </c>
      <c r="O812">
        <v>22691750</v>
      </c>
      <c r="P812" s="2">
        <f t="shared" si="37"/>
        <v>2.0026837947712273</v>
      </c>
      <c r="Q812" s="4">
        <f t="shared" si="38"/>
        <v>15.7480745</v>
      </c>
    </row>
    <row r="813" spans="1:17" x14ac:dyDescent="0.4">
      <c r="A813">
        <v>20210817</v>
      </c>
      <c r="B813" s="1">
        <v>0.89583333333333337</v>
      </c>
      <c r="C813">
        <v>13412</v>
      </c>
      <c r="D813">
        <v>-14136</v>
      </c>
      <c r="E813">
        <v>90070</v>
      </c>
      <c r="F813">
        <v>-55377</v>
      </c>
      <c r="G813">
        <v>-23993</v>
      </c>
      <c r="H813">
        <v>129876</v>
      </c>
      <c r="I813">
        <v>96445</v>
      </c>
      <c r="J813">
        <v>12959</v>
      </c>
      <c r="K813">
        <v>28057</v>
      </c>
      <c r="L813">
        <v>-22084</v>
      </c>
      <c r="M813">
        <v>6.78</v>
      </c>
      <c r="N813">
        <f t="shared" si="36"/>
        <v>255229</v>
      </c>
      <c r="O813">
        <v>22763450</v>
      </c>
      <c r="P813" s="2">
        <f t="shared" si="37"/>
        <v>1.1212228374872877</v>
      </c>
      <c r="Q813" s="4">
        <f t="shared" si="38"/>
        <v>15.4336191</v>
      </c>
    </row>
    <row r="814" spans="1:17" x14ac:dyDescent="0.4">
      <c r="A814">
        <v>20210817</v>
      </c>
      <c r="B814" s="1">
        <v>0.91666666666666663</v>
      </c>
      <c r="C814">
        <v>61571</v>
      </c>
      <c r="D814">
        <v>-115851</v>
      </c>
      <c r="E814">
        <v>54455</v>
      </c>
      <c r="F814">
        <v>-56120</v>
      </c>
      <c r="G814">
        <v>6866</v>
      </c>
      <c r="H814">
        <v>59437</v>
      </c>
      <c r="I814">
        <v>69547</v>
      </c>
      <c r="J814">
        <v>18603</v>
      </c>
      <c r="K814">
        <v>54075</v>
      </c>
      <c r="L814">
        <v>-37693</v>
      </c>
      <c r="M814">
        <v>6.63</v>
      </c>
      <c r="N814">
        <f t="shared" si="36"/>
        <v>114890</v>
      </c>
      <c r="O814">
        <v>22183450</v>
      </c>
      <c r="P814" s="2">
        <f t="shared" si="37"/>
        <v>0.51790862106660596</v>
      </c>
      <c r="Q814" s="4">
        <f t="shared" si="38"/>
        <v>14.707627349999999</v>
      </c>
    </row>
    <row r="815" spans="1:17" x14ac:dyDescent="0.4">
      <c r="A815">
        <v>20210817</v>
      </c>
      <c r="B815" s="1">
        <v>0.9375</v>
      </c>
      <c r="C815">
        <v>16167</v>
      </c>
      <c r="D815">
        <v>-112654</v>
      </c>
      <c r="E815">
        <v>86184</v>
      </c>
      <c r="F815">
        <v>-149475</v>
      </c>
      <c r="G815">
        <v>-28985</v>
      </c>
      <c r="H815">
        <v>34584</v>
      </c>
      <c r="I815">
        <v>26860</v>
      </c>
      <c r="J815">
        <v>1341</v>
      </c>
      <c r="K815">
        <v>120998</v>
      </c>
      <c r="L815">
        <v>-37042</v>
      </c>
      <c r="M815">
        <v>6.48</v>
      </c>
      <c r="N815">
        <f t="shared" si="36"/>
        <v>-42022</v>
      </c>
      <c r="O815">
        <v>22093800</v>
      </c>
      <c r="P815" s="2">
        <f t="shared" si="37"/>
        <v>-0.19019815513854565</v>
      </c>
      <c r="Q815" s="4">
        <f t="shared" si="38"/>
        <v>14.316782399999999</v>
      </c>
    </row>
    <row r="816" spans="1:17" x14ac:dyDescent="0.4">
      <c r="A816">
        <v>20210817</v>
      </c>
      <c r="B816" s="1">
        <v>0.95833333333333337</v>
      </c>
      <c r="C816">
        <v>12715</v>
      </c>
      <c r="D816">
        <v>-90953</v>
      </c>
      <c r="E816">
        <v>29084</v>
      </c>
      <c r="F816">
        <v>-165467</v>
      </c>
      <c r="G816">
        <v>-16249</v>
      </c>
      <c r="H816">
        <v>-194914</v>
      </c>
      <c r="I816">
        <v>-13279</v>
      </c>
      <c r="J816">
        <v>26</v>
      </c>
      <c r="K816">
        <v>91416</v>
      </c>
      <c r="L816">
        <v>-30534</v>
      </c>
      <c r="M816">
        <v>6.32</v>
      </c>
      <c r="N816">
        <f t="shared" si="36"/>
        <v>-378155</v>
      </c>
      <c r="O816">
        <v>21369500</v>
      </c>
      <c r="P816" s="2">
        <f t="shared" si="37"/>
        <v>-1.7696015348978684</v>
      </c>
      <c r="Q816" s="4">
        <f t="shared" si="38"/>
        <v>13.505523999999999</v>
      </c>
    </row>
    <row r="817" spans="1:17" x14ac:dyDescent="0.4">
      <c r="A817">
        <v>20210817</v>
      </c>
      <c r="B817" s="1">
        <v>0.97916666666666663</v>
      </c>
      <c r="C817">
        <v>25795</v>
      </c>
      <c r="D817">
        <v>-138469</v>
      </c>
      <c r="E817">
        <v>24560</v>
      </c>
      <c r="F817">
        <v>-167898</v>
      </c>
      <c r="G817">
        <v>-31789</v>
      </c>
      <c r="H817">
        <v>34458</v>
      </c>
      <c r="I817">
        <v>7974</v>
      </c>
      <c r="J817">
        <v>2420</v>
      </c>
      <c r="K817">
        <v>31133</v>
      </c>
      <c r="L817">
        <v>-21975</v>
      </c>
      <c r="M817">
        <v>6.2</v>
      </c>
      <c r="N817">
        <f t="shared" si="36"/>
        <v>-233791</v>
      </c>
      <c r="O817">
        <v>20248300</v>
      </c>
      <c r="P817" s="2">
        <f t="shared" si="37"/>
        <v>-1.154620387884415</v>
      </c>
      <c r="Q817" s="4">
        <f t="shared" si="38"/>
        <v>12.553946</v>
      </c>
    </row>
    <row r="818" spans="1:17" x14ac:dyDescent="0.4">
      <c r="A818">
        <v>20210818</v>
      </c>
      <c r="B818" s="1">
        <v>0</v>
      </c>
      <c r="C818">
        <v>-8355</v>
      </c>
      <c r="D818">
        <v>218577</v>
      </c>
      <c r="E818">
        <v>-22299</v>
      </c>
      <c r="F818">
        <v>-193995</v>
      </c>
      <c r="G818">
        <v>11526</v>
      </c>
      <c r="H818">
        <v>133506</v>
      </c>
      <c r="I818">
        <v>12715</v>
      </c>
      <c r="J818">
        <v>-7418</v>
      </c>
      <c r="K818">
        <v>81669</v>
      </c>
      <c r="L818">
        <v>-25044</v>
      </c>
      <c r="M818">
        <v>6.02</v>
      </c>
      <c r="N818">
        <f t="shared" si="36"/>
        <v>200882</v>
      </c>
      <c r="O818">
        <v>19220100</v>
      </c>
      <c r="P818" s="2">
        <f t="shared" si="37"/>
        <v>1.0451662582400716</v>
      </c>
      <c r="Q818" s="4">
        <f t="shared" si="38"/>
        <v>11.570500199999998</v>
      </c>
    </row>
    <row r="819" spans="1:17" x14ac:dyDescent="0.4">
      <c r="A819">
        <v>20210818</v>
      </c>
      <c r="B819" s="1">
        <v>2.0833333333333332E-2</v>
      </c>
      <c r="C819">
        <v>-1200</v>
      </c>
      <c r="D819">
        <v>163851</v>
      </c>
      <c r="E819">
        <v>60931</v>
      </c>
      <c r="F819">
        <v>-146517</v>
      </c>
      <c r="G819">
        <v>14253</v>
      </c>
      <c r="H819">
        <v>87478</v>
      </c>
      <c r="I819">
        <v>3228</v>
      </c>
      <c r="J819">
        <v>-15628</v>
      </c>
      <c r="K819">
        <v>70669</v>
      </c>
      <c r="L819">
        <v>-19763</v>
      </c>
      <c r="M819">
        <v>5.8</v>
      </c>
      <c r="N819">
        <f t="shared" si="36"/>
        <v>217302</v>
      </c>
      <c r="O819">
        <v>20185800</v>
      </c>
      <c r="P819" s="2">
        <f t="shared" si="37"/>
        <v>1.076509229260173</v>
      </c>
      <c r="Q819" s="4">
        <f t="shared" si="38"/>
        <v>11.707763999999999</v>
      </c>
    </row>
    <row r="820" spans="1:17" x14ac:dyDescent="0.4">
      <c r="A820">
        <v>20210818</v>
      </c>
      <c r="B820" s="1">
        <v>4.1666666666666664E-2</v>
      </c>
      <c r="C820">
        <v>-8272</v>
      </c>
      <c r="D820">
        <v>187295</v>
      </c>
      <c r="E820">
        <v>-35948</v>
      </c>
      <c r="F820">
        <v>-205375</v>
      </c>
      <c r="G820">
        <v>39060</v>
      </c>
      <c r="H820">
        <v>51638</v>
      </c>
      <c r="I820">
        <v>10638</v>
      </c>
      <c r="J820">
        <v>-12068</v>
      </c>
      <c r="K820">
        <v>8005</v>
      </c>
      <c r="L820">
        <v>-17683</v>
      </c>
      <c r="M820">
        <v>5.8</v>
      </c>
      <c r="N820">
        <f t="shared" si="36"/>
        <v>17290</v>
      </c>
      <c r="O820">
        <v>19837750</v>
      </c>
      <c r="P820" s="2">
        <f t="shared" si="37"/>
        <v>8.7157061662738969E-2</v>
      </c>
      <c r="Q820" s="4">
        <f t="shared" si="38"/>
        <v>11.505895000000001</v>
      </c>
    </row>
    <row r="821" spans="1:17" x14ac:dyDescent="0.4">
      <c r="A821">
        <v>20210818</v>
      </c>
      <c r="B821" s="1">
        <v>6.25E-2</v>
      </c>
      <c r="C821">
        <v>-20152</v>
      </c>
      <c r="D821">
        <v>206892</v>
      </c>
      <c r="E821">
        <v>-56587</v>
      </c>
      <c r="F821">
        <v>-129773</v>
      </c>
      <c r="G821">
        <v>35146</v>
      </c>
      <c r="H821">
        <v>130011</v>
      </c>
      <c r="I821">
        <v>-26342</v>
      </c>
      <c r="J821">
        <v>-12857</v>
      </c>
      <c r="K821">
        <v>-12114</v>
      </c>
      <c r="L821">
        <v>-21979</v>
      </c>
      <c r="M821">
        <v>5.72</v>
      </c>
      <c r="N821">
        <f t="shared" si="36"/>
        <v>92245</v>
      </c>
      <c r="O821">
        <v>19709500</v>
      </c>
      <c r="P821" s="2">
        <f t="shared" si="37"/>
        <v>0.46802303457723432</v>
      </c>
      <c r="Q821" s="4">
        <f t="shared" si="38"/>
        <v>11.273834000000001</v>
      </c>
    </row>
    <row r="822" spans="1:17" x14ac:dyDescent="0.4">
      <c r="A822">
        <v>20210818</v>
      </c>
      <c r="B822" s="1">
        <v>8.3333333333333329E-2</v>
      </c>
      <c r="C822">
        <v>-17664</v>
      </c>
      <c r="D822">
        <v>144951</v>
      </c>
      <c r="E822">
        <v>-59596</v>
      </c>
      <c r="F822">
        <v>-242838</v>
      </c>
      <c r="G822">
        <v>20980</v>
      </c>
      <c r="H822">
        <v>91636</v>
      </c>
      <c r="I822">
        <v>5492</v>
      </c>
      <c r="J822">
        <v>-12725</v>
      </c>
      <c r="K822">
        <v>-34343</v>
      </c>
      <c r="L822">
        <v>-12545</v>
      </c>
      <c r="M822">
        <v>5.72</v>
      </c>
      <c r="N822">
        <f t="shared" si="36"/>
        <v>-116652</v>
      </c>
      <c r="O822">
        <v>19722750</v>
      </c>
      <c r="P822" s="2">
        <f t="shared" si="37"/>
        <v>-0.59145910179868422</v>
      </c>
      <c r="Q822" s="4">
        <f t="shared" si="38"/>
        <v>11.281413000000001</v>
      </c>
    </row>
    <row r="823" spans="1:17" x14ac:dyDescent="0.4">
      <c r="A823">
        <v>20210818</v>
      </c>
      <c r="B823" s="1">
        <v>0.10416666666666667</v>
      </c>
      <c r="C823">
        <v>-46082</v>
      </c>
      <c r="D823">
        <v>162684</v>
      </c>
      <c r="E823">
        <v>-94525</v>
      </c>
      <c r="F823">
        <v>-214932</v>
      </c>
      <c r="G823">
        <v>30435</v>
      </c>
      <c r="H823">
        <v>27615</v>
      </c>
      <c r="I823">
        <v>-1656</v>
      </c>
      <c r="J823">
        <v>-30728</v>
      </c>
      <c r="K823">
        <v>-38972</v>
      </c>
      <c r="L823">
        <v>-24681</v>
      </c>
      <c r="M823">
        <v>5.48</v>
      </c>
      <c r="N823">
        <f t="shared" si="36"/>
        <v>-230842</v>
      </c>
      <c r="O823">
        <v>19959750</v>
      </c>
      <c r="P823" s="2">
        <f t="shared" si="37"/>
        <v>-1.1565375317827127</v>
      </c>
      <c r="Q823" s="4">
        <f t="shared" si="38"/>
        <v>10.937943000000001</v>
      </c>
    </row>
    <row r="824" spans="1:17" x14ac:dyDescent="0.4">
      <c r="A824">
        <v>20210818</v>
      </c>
      <c r="B824" s="1">
        <v>0.125</v>
      </c>
      <c r="C824">
        <v>-38</v>
      </c>
      <c r="D824">
        <v>175469</v>
      </c>
      <c r="E824">
        <v>-124128</v>
      </c>
      <c r="F824">
        <v>-274765</v>
      </c>
      <c r="G824">
        <v>11167</v>
      </c>
      <c r="H824">
        <v>46665</v>
      </c>
      <c r="I824">
        <v>30945</v>
      </c>
      <c r="J824">
        <v>-30066</v>
      </c>
      <c r="K824">
        <v>-126693</v>
      </c>
      <c r="L824">
        <v>-13707</v>
      </c>
      <c r="M824">
        <v>5.73</v>
      </c>
      <c r="N824">
        <f t="shared" si="36"/>
        <v>-305151</v>
      </c>
      <c r="O824">
        <v>20060950</v>
      </c>
      <c r="P824" s="2">
        <f t="shared" si="37"/>
        <v>-1.5211193886630494</v>
      </c>
      <c r="Q824" s="4">
        <f t="shared" si="38"/>
        <v>11.494924350000002</v>
      </c>
    </row>
    <row r="825" spans="1:17" x14ac:dyDescent="0.4">
      <c r="A825">
        <v>20210818</v>
      </c>
      <c r="B825" s="1">
        <v>0.14583333333333334</v>
      </c>
      <c r="C825">
        <v>-14623</v>
      </c>
      <c r="D825">
        <v>190575</v>
      </c>
      <c r="E825">
        <v>-108753</v>
      </c>
      <c r="F825">
        <v>-328857</v>
      </c>
      <c r="G825">
        <v>-4934</v>
      </c>
      <c r="H825">
        <v>21235</v>
      </c>
      <c r="I825">
        <v>-15972</v>
      </c>
      <c r="J825">
        <v>-45113</v>
      </c>
      <c r="K825">
        <v>-121836</v>
      </c>
      <c r="L825">
        <v>-15203</v>
      </c>
      <c r="M825">
        <v>5.73</v>
      </c>
      <c r="N825">
        <f t="shared" si="36"/>
        <v>-443481</v>
      </c>
      <c r="O825">
        <v>20057900</v>
      </c>
      <c r="P825" s="2">
        <f t="shared" si="37"/>
        <v>-2.2110041430059977</v>
      </c>
      <c r="Q825" s="4">
        <f t="shared" si="38"/>
        <v>11.493176700000001</v>
      </c>
    </row>
    <row r="826" spans="1:17" x14ac:dyDescent="0.4">
      <c r="A826">
        <v>20210818</v>
      </c>
      <c r="B826" s="1">
        <v>0.16666666666666666</v>
      </c>
      <c r="C826">
        <v>-46685</v>
      </c>
      <c r="D826">
        <v>188359</v>
      </c>
      <c r="E826">
        <v>-139353</v>
      </c>
      <c r="F826">
        <v>-106363</v>
      </c>
      <c r="G826">
        <v>-9918</v>
      </c>
      <c r="H826">
        <v>88081</v>
      </c>
      <c r="I826">
        <v>11023</v>
      </c>
      <c r="J826">
        <v>-62056</v>
      </c>
      <c r="K826">
        <v>-135332</v>
      </c>
      <c r="L826">
        <v>-7931</v>
      </c>
      <c r="M826">
        <v>5.9</v>
      </c>
      <c r="N826">
        <f t="shared" si="36"/>
        <v>-220175</v>
      </c>
      <c r="O826">
        <v>20116750</v>
      </c>
      <c r="P826" s="2">
        <f t="shared" si="37"/>
        <v>-1.0944859383349697</v>
      </c>
      <c r="Q826" s="4">
        <f t="shared" si="38"/>
        <v>11.8688825</v>
      </c>
    </row>
    <row r="827" spans="1:17" x14ac:dyDescent="0.4">
      <c r="A827">
        <v>20210818</v>
      </c>
      <c r="B827" s="1">
        <v>0.1875</v>
      </c>
      <c r="C827">
        <v>-659</v>
      </c>
      <c r="D827">
        <v>172571</v>
      </c>
      <c r="E827">
        <v>-189750</v>
      </c>
      <c r="F827">
        <v>-56294</v>
      </c>
      <c r="G827">
        <v>-45086</v>
      </c>
      <c r="H827">
        <v>77614</v>
      </c>
      <c r="I827">
        <v>20795</v>
      </c>
      <c r="J827">
        <v>-52615</v>
      </c>
      <c r="K827">
        <v>-86884</v>
      </c>
      <c r="L827">
        <v>-14002</v>
      </c>
      <c r="M827">
        <v>5.96</v>
      </c>
      <c r="N827">
        <f t="shared" si="36"/>
        <v>-174310</v>
      </c>
      <c r="O827">
        <v>20192550</v>
      </c>
      <c r="P827" s="2">
        <f t="shared" si="37"/>
        <v>-0.86323916493954456</v>
      </c>
      <c r="Q827" s="4">
        <f t="shared" si="38"/>
        <v>12.0347598</v>
      </c>
    </row>
    <row r="828" spans="1:17" x14ac:dyDescent="0.4">
      <c r="A828">
        <v>20210818</v>
      </c>
      <c r="B828" s="1">
        <v>0.20833333333333334</v>
      </c>
      <c r="C828">
        <v>-42743</v>
      </c>
      <c r="D828">
        <v>183929</v>
      </c>
      <c r="E828">
        <v>-51484</v>
      </c>
      <c r="F828">
        <v>-82383</v>
      </c>
      <c r="G828">
        <v>-18062</v>
      </c>
      <c r="H828">
        <v>101229</v>
      </c>
      <c r="I828">
        <v>97160</v>
      </c>
      <c r="J828">
        <v>-53267</v>
      </c>
      <c r="K828">
        <v>-89765</v>
      </c>
      <c r="L828">
        <v>-11737</v>
      </c>
      <c r="M828">
        <v>5.98</v>
      </c>
      <c r="N828">
        <f t="shared" si="36"/>
        <v>32877</v>
      </c>
      <c r="O828">
        <v>20271850</v>
      </c>
      <c r="P828" s="2">
        <f t="shared" si="37"/>
        <v>0.16218056072830059</v>
      </c>
      <c r="Q828" s="4">
        <f t="shared" si="38"/>
        <v>12.122566300000001</v>
      </c>
    </row>
    <row r="829" spans="1:17" x14ac:dyDescent="0.4">
      <c r="A829">
        <v>20210818</v>
      </c>
      <c r="B829" s="1">
        <v>0.22916666666666666</v>
      </c>
      <c r="C829">
        <v>-20531</v>
      </c>
      <c r="D829">
        <v>178013</v>
      </c>
      <c r="E829">
        <v>-77162</v>
      </c>
      <c r="F829">
        <v>-132197</v>
      </c>
      <c r="G829">
        <v>-13777</v>
      </c>
      <c r="H829">
        <v>-32599</v>
      </c>
      <c r="I829">
        <v>85524</v>
      </c>
      <c r="J829">
        <v>-38927</v>
      </c>
      <c r="K829">
        <v>-78677</v>
      </c>
      <c r="L829">
        <v>-15361</v>
      </c>
      <c r="M829">
        <v>5.98</v>
      </c>
      <c r="N829">
        <f t="shared" si="36"/>
        <v>-145694</v>
      </c>
      <c r="O829">
        <v>20393400</v>
      </c>
      <c r="P829" s="2">
        <f t="shared" si="37"/>
        <v>-0.7144174095540714</v>
      </c>
      <c r="Q829" s="4">
        <f t="shared" si="38"/>
        <v>12.195253200000002</v>
      </c>
    </row>
    <row r="830" spans="1:17" x14ac:dyDescent="0.4">
      <c r="A830">
        <v>20210818</v>
      </c>
      <c r="B830" s="1">
        <v>0.25</v>
      </c>
      <c r="C830">
        <v>-66115</v>
      </c>
      <c r="D830">
        <v>209525</v>
      </c>
      <c r="E830">
        <v>361929</v>
      </c>
      <c r="F830">
        <v>-103629</v>
      </c>
      <c r="G830">
        <v>-17572</v>
      </c>
      <c r="H830">
        <v>-93573</v>
      </c>
      <c r="I830">
        <v>28473</v>
      </c>
      <c r="J830">
        <v>-48338</v>
      </c>
      <c r="K830">
        <v>-88141</v>
      </c>
      <c r="L830">
        <v>-15290</v>
      </c>
      <c r="M830">
        <v>5.98</v>
      </c>
      <c r="N830">
        <f t="shared" si="36"/>
        <v>167269</v>
      </c>
      <c r="O830">
        <v>20765450</v>
      </c>
      <c r="P830" s="2">
        <f t="shared" si="37"/>
        <v>0.80551589298570458</v>
      </c>
      <c r="Q830" s="4">
        <f t="shared" si="38"/>
        <v>12.417739100000002</v>
      </c>
    </row>
    <row r="831" spans="1:17" x14ac:dyDescent="0.4">
      <c r="A831">
        <v>20210818</v>
      </c>
      <c r="B831" s="1">
        <v>0.27083333333333331</v>
      </c>
      <c r="C831">
        <v>-28979</v>
      </c>
      <c r="D831">
        <v>148958</v>
      </c>
      <c r="E831">
        <v>344426</v>
      </c>
      <c r="F831">
        <v>-42912</v>
      </c>
      <c r="G831">
        <v>-10756</v>
      </c>
      <c r="H831">
        <v>-116015</v>
      </c>
      <c r="I831">
        <v>41630</v>
      </c>
      <c r="J831">
        <v>-50964</v>
      </c>
      <c r="K831">
        <v>-211933</v>
      </c>
      <c r="L831">
        <v>-24435</v>
      </c>
      <c r="M831">
        <v>6</v>
      </c>
      <c r="N831">
        <f t="shared" si="36"/>
        <v>49020</v>
      </c>
      <c r="O831">
        <v>21098000</v>
      </c>
      <c r="P831" s="2">
        <f t="shared" si="37"/>
        <v>0.23234429803772869</v>
      </c>
      <c r="Q831" s="4">
        <f t="shared" si="38"/>
        <v>12.658799999999999</v>
      </c>
    </row>
    <row r="832" spans="1:17" x14ac:dyDescent="0.4">
      <c r="A832">
        <v>20210818</v>
      </c>
      <c r="B832" s="1">
        <v>0.29166666666666669</v>
      </c>
      <c r="C832">
        <v>-56054</v>
      </c>
      <c r="D832">
        <v>253749</v>
      </c>
      <c r="E832">
        <v>263894</v>
      </c>
      <c r="F832">
        <v>-251018</v>
      </c>
      <c r="G832">
        <v>1356</v>
      </c>
      <c r="H832">
        <v>-42061</v>
      </c>
      <c r="I832">
        <v>57090</v>
      </c>
      <c r="J832">
        <v>-39903</v>
      </c>
      <c r="K832">
        <v>-426865</v>
      </c>
      <c r="L832">
        <v>-13997</v>
      </c>
      <c r="M832">
        <v>6.13</v>
      </c>
      <c r="N832">
        <f t="shared" si="36"/>
        <v>-253809</v>
      </c>
      <c r="O832">
        <v>22025600</v>
      </c>
      <c r="P832" s="2">
        <f t="shared" si="37"/>
        <v>-1.1523363722214151</v>
      </c>
      <c r="Q832" s="4">
        <f t="shared" si="38"/>
        <v>13.501692800000001</v>
      </c>
    </row>
    <row r="833" spans="1:17" x14ac:dyDescent="0.4">
      <c r="A833">
        <v>20210818</v>
      </c>
      <c r="B833" s="1">
        <v>0.3125</v>
      </c>
      <c r="C833">
        <v>-31352</v>
      </c>
      <c r="D833">
        <v>227693</v>
      </c>
      <c r="E833">
        <v>-124309</v>
      </c>
      <c r="F833">
        <v>-271030</v>
      </c>
      <c r="G833">
        <v>-8530</v>
      </c>
      <c r="H833">
        <v>-6385</v>
      </c>
      <c r="I833">
        <v>22832</v>
      </c>
      <c r="J833">
        <v>2688</v>
      </c>
      <c r="K833">
        <v>-562282</v>
      </c>
      <c r="L833">
        <v>-33429</v>
      </c>
      <c r="M833">
        <v>6.47</v>
      </c>
      <c r="N833">
        <f t="shared" si="36"/>
        <v>-784104</v>
      </c>
      <c r="O833">
        <v>22105950</v>
      </c>
      <c r="P833" s="2">
        <f t="shared" si="37"/>
        <v>-3.5470269316631948</v>
      </c>
      <c r="Q833" s="4">
        <f t="shared" si="38"/>
        <v>14.30254965</v>
      </c>
    </row>
    <row r="834" spans="1:17" x14ac:dyDescent="0.4">
      <c r="A834">
        <v>20210818</v>
      </c>
      <c r="B834" s="1">
        <v>0.33333333333333331</v>
      </c>
      <c r="C834">
        <v>-18224</v>
      </c>
      <c r="D834">
        <v>-240886</v>
      </c>
      <c r="E834">
        <v>-50224</v>
      </c>
      <c r="F834">
        <v>-619687</v>
      </c>
      <c r="G834">
        <v>-14998</v>
      </c>
      <c r="H834">
        <v>35316</v>
      </c>
      <c r="I834">
        <v>-107703</v>
      </c>
      <c r="J834">
        <v>-17298</v>
      </c>
      <c r="K834">
        <v>-701830</v>
      </c>
      <c r="L834">
        <v>-18711</v>
      </c>
      <c r="M834">
        <v>6.63</v>
      </c>
      <c r="N834">
        <f t="shared" si="36"/>
        <v>-1754245</v>
      </c>
      <c r="O834">
        <v>23204850</v>
      </c>
      <c r="P834" s="2">
        <f t="shared" si="37"/>
        <v>-7.5598204685658388</v>
      </c>
      <c r="Q834" s="4">
        <f t="shared" si="38"/>
        <v>15.384815550000001</v>
      </c>
    </row>
    <row r="835" spans="1:17" x14ac:dyDescent="0.4">
      <c r="A835">
        <v>20210818</v>
      </c>
      <c r="B835" s="1">
        <v>0.35416666666666669</v>
      </c>
      <c r="C835">
        <v>-26054</v>
      </c>
      <c r="D835">
        <v>-306170</v>
      </c>
      <c r="E835">
        <v>-941300</v>
      </c>
      <c r="F835">
        <v>-437816</v>
      </c>
      <c r="G835">
        <v>44357</v>
      </c>
      <c r="H835">
        <v>317145</v>
      </c>
      <c r="I835">
        <v>-180105</v>
      </c>
      <c r="J835">
        <v>-103863</v>
      </c>
      <c r="K835">
        <v>-816445</v>
      </c>
      <c r="L835">
        <v>-40975</v>
      </c>
      <c r="M835">
        <v>7.15</v>
      </c>
      <c r="N835">
        <f t="shared" ref="N835:N898" si="39">C835+D835+E835+F835+G835+H835+I835+J835+K835+L835</f>
        <v>-2491226</v>
      </c>
      <c r="O835">
        <v>23879650</v>
      </c>
      <c r="P835" s="2">
        <f t="shared" ref="P835:P898" si="40">((N835*100)/O835)</f>
        <v>-10.432422585758166</v>
      </c>
      <c r="Q835" s="4">
        <f t="shared" ref="Q835:Q898" si="41">(M835*O835)/10^7</f>
        <v>17.073949750000001</v>
      </c>
    </row>
    <row r="836" spans="1:17" x14ac:dyDescent="0.4">
      <c r="A836">
        <v>20210818</v>
      </c>
      <c r="B836" s="1">
        <v>0.375</v>
      </c>
      <c r="C836">
        <v>18495</v>
      </c>
      <c r="D836">
        <v>-266653</v>
      </c>
      <c r="E836">
        <v>-921346</v>
      </c>
      <c r="F836">
        <v>-466363</v>
      </c>
      <c r="G836">
        <v>63429</v>
      </c>
      <c r="H836">
        <v>354271</v>
      </c>
      <c r="I836">
        <v>-114342</v>
      </c>
      <c r="J836">
        <v>-69836</v>
      </c>
      <c r="K836">
        <v>-1042871</v>
      </c>
      <c r="L836">
        <v>-44563</v>
      </c>
      <c r="M836">
        <v>7.19</v>
      </c>
      <c r="N836">
        <f t="shared" si="39"/>
        <v>-2489779</v>
      </c>
      <c r="O836">
        <v>23928800</v>
      </c>
      <c r="P836" s="2">
        <f t="shared" si="40"/>
        <v>-10.404947176623985</v>
      </c>
      <c r="Q836" s="4">
        <f t="shared" si="41"/>
        <v>17.204807200000001</v>
      </c>
    </row>
    <row r="837" spans="1:17" x14ac:dyDescent="0.4">
      <c r="A837">
        <v>20210818</v>
      </c>
      <c r="B837" s="1">
        <v>0.39583333333333331</v>
      </c>
      <c r="C837">
        <v>-2521</v>
      </c>
      <c r="D837">
        <v>-160895</v>
      </c>
      <c r="E837">
        <v>-1056606</v>
      </c>
      <c r="F837">
        <v>-540502</v>
      </c>
      <c r="G837">
        <v>91700</v>
      </c>
      <c r="H837">
        <v>200165</v>
      </c>
      <c r="I837">
        <v>-83069</v>
      </c>
      <c r="J837">
        <v>-93519</v>
      </c>
      <c r="K837">
        <v>-1152462</v>
      </c>
      <c r="L837">
        <v>-38485</v>
      </c>
      <c r="M837">
        <v>7.19</v>
      </c>
      <c r="N837">
        <f t="shared" si="39"/>
        <v>-2836194</v>
      </c>
      <c r="O837">
        <v>24017550</v>
      </c>
      <c r="P837" s="2">
        <f t="shared" si="40"/>
        <v>-11.808839785906557</v>
      </c>
      <c r="Q837" s="4">
        <f t="shared" si="41"/>
        <v>17.268618450000002</v>
      </c>
    </row>
    <row r="838" spans="1:17" x14ac:dyDescent="0.4">
      <c r="A838">
        <v>20210818</v>
      </c>
      <c r="B838" s="1">
        <v>0.41666666666666669</v>
      </c>
      <c r="C838">
        <v>-36009</v>
      </c>
      <c r="D838">
        <v>-128328</v>
      </c>
      <c r="E838">
        <v>-1364246</v>
      </c>
      <c r="F838">
        <v>-359970</v>
      </c>
      <c r="G838">
        <v>66863</v>
      </c>
      <c r="H838">
        <v>118395</v>
      </c>
      <c r="I838">
        <v>-51946</v>
      </c>
      <c r="J838">
        <v>-61991</v>
      </c>
      <c r="K838">
        <v>-1207047</v>
      </c>
      <c r="L838">
        <v>-34180</v>
      </c>
      <c r="M838">
        <v>7.23</v>
      </c>
      <c r="N838">
        <f t="shared" si="39"/>
        <v>-3058459</v>
      </c>
      <c r="O838">
        <v>24386900</v>
      </c>
      <c r="P838" s="2">
        <f t="shared" si="40"/>
        <v>-12.541401326121811</v>
      </c>
      <c r="Q838" s="4">
        <f t="shared" si="41"/>
        <v>17.6317287</v>
      </c>
    </row>
    <row r="839" spans="1:17" x14ac:dyDescent="0.4">
      <c r="A839">
        <v>20210818</v>
      </c>
      <c r="B839" s="1">
        <v>0.4375</v>
      </c>
      <c r="C839">
        <v>6276</v>
      </c>
      <c r="D839">
        <v>-74369</v>
      </c>
      <c r="E839">
        <v>-1435034</v>
      </c>
      <c r="F839">
        <v>-346545</v>
      </c>
      <c r="G839">
        <v>101615</v>
      </c>
      <c r="H839">
        <v>124193</v>
      </c>
      <c r="I839">
        <v>-47504</v>
      </c>
      <c r="J839">
        <v>-58189</v>
      </c>
      <c r="K839">
        <v>-1249668</v>
      </c>
      <c r="L839">
        <v>-28262</v>
      </c>
      <c r="M839">
        <v>7.36</v>
      </c>
      <c r="N839">
        <f t="shared" si="39"/>
        <v>-3007487</v>
      </c>
      <c r="O839">
        <v>24654750</v>
      </c>
      <c r="P839" s="2">
        <f t="shared" si="40"/>
        <v>-12.198408014682769</v>
      </c>
      <c r="Q839" s="4">
        <f t="shared" si="41"/>
        <v>18.145896</v>
      </c>
    </row>
    <row r="840" spans="1:17" x14ac:dyDescent="0.4">
      <c r="A840">
        <v>20210818</v>
      </c>
      <c r="B840" s="1">
        <v>0.45833333333333331</v>
      </c>
      <c r="C840">
        <v>64625</v>
      </c>
      <c r="D840">
        <v>-9614</v>
      </c>
      <c r="E840">
        <v>-1450234</v>
      </c>
      <c r="F840">
        <v>-499908</v>
      </c>
      <c r="G840">
        <v>-66729</v>
      </c>
      <c r="H840">
        <v>153975</v>
      </c>
      <c r="I840">
        <v>167582</v>
      </c>
      <c r="J840">
        <v>-85915</v>
      </c>
      <c r="K840">
        <v>-1306036</v>
      </c>
      <c r="L840">
        <v>-42498</v>
      </c>
      <c r="M840">
        <v>7.64</v>
      </c>
      <c r="N840">
        <f t="shared" si="39"/>
        <v>-3074752</v>
      </c>
      <c r="O840">
        <v>24891400</v>
      </c>
      <c r="P840" s="2">
        <f t="shared" si="40"/>
        <v>-12.352667989747463</v>
      </c>
      <c r="Q840" s="4">
        <f t="shared" si="41"/>
        <v>19.017029600000001</v>
      </c>
    </row>
    <row r="841" spans="1:17" x14ac:dyDescent="0.4">
      <c r="A841">
        <v>20210818</v>
      </c>
      <c r="B841" s="1">
        <v>0.47916666666666669</v>
      </c>
      <c r="C841">
        <v>71266</v>
      </c>
      <c r="D841">
        <v>-44451</v>
      </c>
      <c r="E841">
        <v>-1718053</v>
      </c>
      <c r="F841">
        <v>-1224083</v>
      </c>
      <c r="G841">
        <v>-35457</v>
      </c>
      <c r="H841">
        <v>-127054</v>
      </c>
      <c r="I841">
        <v>121810</v>
      </c>
      <c r="J841">
        <v>-62363</v>
      </c>
      <c r="K841">
        <v>-1200112</v>
      </c>
      <c r="L841">
        <v>-35053</v>
      </c>
      <c r="M841">
        <v>7.38</v>
      </c>
      <c r="N841">
        <f t="shared" si="39"/>
        <v>-4253550</v>
      </c>
      <c r="O841">
        <v>25052000</v>
      </c>
      <c r="P841" s="2">
        <f t="shared" si="40"/>
        <v>-16.978883921443398</v>
      </c>
      <c r="Q841" s="4">
        <f t="shared" si="41"/>
        <v>18.488375999999999</v>
      </c>
    </row>
    <row r="842" spans="1:17" x14ac:dyDescent="0.4">
      <c r="A842">
        <v>20210818</v>
      </c>
      <c r="B842" s="1">
        <v>0.5</v>
      </c>
      <c r="C842">
        <v>55840</v>
      </c>
      <c r="D842">
        <v>30247</v>
      </c>
      <c r="E842">
        <v>-1397223</v>
      </c>
      <c r="F842">
        <v>-1026776</v>
      </c>
      <c r="G842">
        <v>-28286</v>
      </c>
      <c r="H842">
        <v>176903</v>
      </c>
      <c r="I842">
        <v>47085</v>
      </c>
      <c r="J842">
        <v>-122184</v>
      </c>
      <c r="K842">
        <v>-1047918</v>
      </c>
      <c r="L842">
        <v>-33367</v>
      </c>
      <c r="M842">
        <v>7.2</v>
      </c>
      <c r="N842">
        <f t="shared" si="39"/>
        <v>-3345679</v>
      </c>
      <c r="O842">
        <v>24926850</v>
      </c>
      <c r="P842" s="2">
        <f t="shared" si="40"/>
        <v>-13.421988739050462</v>
      </c>
      <c r="Q842" s="4">
        <f t="shared" si="41"/>
        <v>17.947331999999999</v>
      </c>
    </row>
    <row r="843" spans="1:17" x14ac:dyDescent="0.4">
      <c r="A843">
        <v>20210818</v>
      </c>
      <c r="B843" s="1">
        <v>0.52083333333333337</v>
      </c>
      <c r="C843">
        <v>46381</v>
      </c>
      <c r="D843">
        <v>73106</v>
      </c>
      <c r="E843">
        <v>-1056290</v>
      </c>
      <c r="F843">
        <v>-1130119</v>
      </c>
      <c r="G843">
        <v>-114041</v>
      </c>
      <c r="H843">
        <v>357003</v>
      </c>
      <c r="I843">
        <v>56794</v>
      </c>
      <c r="J843">
        <v>-109152</v>
      </c>
      <c r="K843">
        <v>-853029</v>
      </c>
      <c r="L843">
        <v>-36816</v>
      </c>
      <c r="M843">
        <v>7.17</v>
      </c>
      <c r="N843">
        <f t="shared" si="39"/>
        <v>-2766163</v>
      </c>
      <c r="O843">
        <v>24947200</v>
      </c>
      <c r="P843" s="2">
        <f t="shared" si="40"/>
        <v>-11.088070003848127</v>
      </c>
      <c r="Q843" s="4">
        <f t="shared" si="41"/>
        <v>17.887142399999998</v>
      </c>
    </row>
    <row r="844" spans="1:17" x14ac:dyDescent="0.4">
      <c r="A844">
        <v>20210818</v>
      </c>
      <c r="B844" s="1">
        <v>0.54166666666666663</v>
      </c>
      <c r="C844">
        <v>57629</v>
      </c>
      <c r="D844">
        <v>91041</v>
      </c>
      <c r="E844">
        <v>-488779</v>
      </c>
      <c r="F844">
        <v>-467574</v>
      </c>
      <c r="G844">
        <v>-94526</v>
      </c>
      <c r="H844">
        <v>592415</v>
      </c>
      <c r="I844">
        <v>23880</v>
      </c>
      <c r="J844">
        <v>-176405</v>
      </c>
      <c r="K844">
        <v>-899216</v>
      </c>
      <c r="L844">
        <v>-43293</v>
      </c>
      <c r="M844">
        <v>7.45</v>
      </c>
      <c r="N844">
        <f t="shared" si="39"/>
        <v>-1404828</v>
      </c>
      <c r="O844">
        <v>24430000</v>
      </c>
      <c r="P844" s="2">
        <f t="shared" si="40"/>
        <v>-5.7504216127711834</v>
      </c>
      <c r="Q844" s="4">
        <f t="shared" si="41"/>
        <v>18.20035</v>
      </c>
    </row>
    <row r="845" spans="1:17" x14ac:dyDescent="0.4">
      <c r="A845">
        <v>20210818</v>
      </c>
      <c r="B845" s="1">
        <v>0.5625</v>
      </c>
      <c r="C845">
        <v>26767</v>
      </c>
      <c r="D845">
        <v>98311</v>
      </c>
      <c r="E845">
        <v>-257948</v>
      </c>
      <c r="F845">
        <v>-651164</v>
      </c>
      <c r="G845">
        <v>-99971</v>
      </c>
      <c r="H845">
        <v>697319</v>
      </c>
      <c r="I845">
        <v>-69865</v>
      </c>
      <c r="J845">
        <v>-192846</v>
      </c>
      <c r="K845">
        <v>-838982</v>
      </c>
      <c r="L845">
        <v>-45441</v>
      </c>
      <c r="M845">
        <v>7.92</v>
      </c>
      <c r="N845">
        <f t="shared" si="39"/>
        <v>-1333820</v>
      </c>
      <c r="O845">
        <v>24312950</v>
      </c>
      <c r="P845" s="2">
        <f t="shared" si="40"/>
        <v>-5.4860475590169022</v>
      </c>
      <c r="Q845" s="4">
        <f t="shared" si="41"/>
        <v>19.255856399999999</v>
      </c>
    </row>
    <row r="846" spans="1:17" x14ac:dyDescent="0.4">
      <c r="A846">
        <v>20210818</v>
      </c>
      <c r="B846" s="1">
        <v>0.58333333333333337</v>
      </c>
      <c r="C846">
        <v>25928</v>
      </c>
      <c r="D846">
        <v>202157</v>
      </c>
      <c r="E846">
        <v>60872</v>
      </c>
      <c r="F846">
        <v>7510</v>
      </c>
      <c r="G846">
        <v>-117387</v>
      </c>
      <c r="H846">
        <v>852060</v>
      </c>
      <c r="I846">
        <v>-145087</v>
      </c>
      <c r="J846">
        <v>-133143</v>
      </c>
      <c r="K846">
        <v>-691610</v>
      </c>
      <c r="L846">
        <v>-29602</v>
      </c>
      <c r="M846">
        <v>8.39</v>
      </c>
      <c r="N846">
        <f t="shared" si="39"/>
        <v>31698</v>
      </c>
      <c r="O846">
        <v>23952000</v>
      </c>
      <c r="P846" s="2">
        <f t="shared" si="40"/>
        <v>0.13233967935871743</v>
      </c>
      <c r="Q846" s="4">
        <f t="shared" si="41"/>
        <v>20.095728000000001</v>
      </c>
    </row>
    <row r="847" spans="1:17" x14ac:dyDescent="0.4">
      <c r="A847">
        <v>20210818</v>
      </c>
      <c r="B847" s="1">
        <v>0.60416666666666663</v>
      </c>
      <c r="C847">
        <v>41600</v>
      </c>
      <c r="D847">
        <v>266385</v>
      </c>
      <c r="E847">
        <v>149456</v>
      </c>
      <c r="F847">
        <v>-21755</v>
      </c>
      <c r="G847">
        <v>-95131</v>
      </c>
      <c r="H847">
        <v>939337</v>
      </c>
      <c r="I847">
        <v>14325</v>
      </c>
      <c r="J847">
        <v>-109847</v>
      </c>
      <c r="K847">
        <v>-489742</v>
      </c>
      <c r="L847">
        <v>-14675</v>
      </c>
      <c r="M847">
        <v>8.41</v>
      </c>
      <c r="N847">
        <f t="shared" si="39"/>
        <v>679953</v>
      </c>
      <c r="O847">
        <v>23512800</v>
      </c>
      <c r="P847" s="2">
        <f t="shared" si="40"/>
        <v>2.8918418903746046</v>
      </c>
      <c r="Q847" s="4">
        <f t="shared" si="41"/>
        <v>19.774264800000001</v>
      </c>
    </row>
    <row r="848" spans="1:17" x14ac:dyDescent="0.4">
      <c r="A848">
        <v>20210818</v>
      </c>
      <c r="B848" s="1">
        <v>0.625</v>
      </c>
      <c r="C848">
        <v>5182</v>
      </c>
      <c r="D848">
        <v>283685</v>
      </c>
      <c r="E848">
        <v>201434</v>
      </c>
      <c r="F848">
        <v>146511</v>
      </c>
      <c r="G848">
        <v>-40642</v>
      </c>
      <c r="H848">
        <v>723828</v>
      </c>
      <c r="I848">
        <v>142249</v>
      </c>
      <c r="J848">
        <v>-50771</v>
      </c>
      <c r="K848">
        <v>-330433</v>
      </c>
      <c r="L848">
        <v>2706</v>
      </c>
      <c r="M848">
        <v>8.41</v>
      </c>
      <c r="N848">
        <f t="shared" si="39"/>
        <v>1083749</v>
      </c>
      <c r="O848">
        <v>23180350</v>
      </c>
      <c r="P848" s="2">
        <f t="shared" si="40"/>
        <v>4.6752917880877556</v>
      </c>
      <c r="Q848" s="4">
        <f t="shared" si="41"/>
        <v>19.49467435</v>
      </c>
    </row>
    <row r="849" spans="1:17" x14ac:dyDescent="0.4">
      <c r="A849">
        <v>20210818</v>
      </c>
      <c r="B849" s="1">
        <v>0.64583333333333337</v>
      </c>
      <c r="C849">
        <v>7610</v>
      </c>
      <c r="D849">
        <v>355188</v>
      </c>
      <c r="E849">
        <v>26598</v>
      </c>
      <c r="F849">
        <v>228340</v>
      </c>
      <c r="G849">
        <v>-32870</v>
      </c>
      <c r="H849">
        <v>525493</v>
      </c>
      <c r="I849">
        <v>70355</v>
      </c>
      <c r="J849">
        <v>-16781</v>
      </c>
      <c r="K849">
        <v>-325125</v>
      </c>
      <c r="L849">
        <v>-664</v>
      </c>
      <c r="M849">
        <v>8.86</v>
      </c>
      <c r="N849">
        <f t="shared" si="39"/>
        <v>838144</v>
      </c>
      <c r="O849">
        <v>22808000</v>
      </c>
      <c r="P849" s="2">
        <f t="shared" si="40"/>
        <v>3.6747807786741493</v>
      </c>
      <c r="Q849" s="4">
        <f t="shared" si="41"/>
        <v>20.207888000000001</v>
      </c>
    </row>
    <row r="850" spans="1:17" x14ac:dyDescent="0.4">
      <c r="A850">
        <v>20210818</v>
      </c>
      <c r="B850" s="1">
        <v>0.66666666666666663</v>
      </c>
      <c r="C850">
        <v>15668</v>
      </c>
      <c r="D850">
        <v>332769</v>
      </c>
      <c r="E850">
        <v>882411</v>
      </c>
      <c r="F850">
        <v>310230</v>
      </c>
      <c r="G850">
        <v>-29602</v>
      </c>
      <c r="H850">
        <v>162842</v>
      </c>
      <c r="I850">
        <v>347393</v>
      </c>
      <c r="J850">
        <v>43902</v>
      </c>
      <c r="K850">
        <v>-447539</v>
      </c>
      <c r="L850">
        <v>12985</v>
      </c>
      <c r="M850">
        <v>9.57</v>
      </c>
      <c r="N850">
        <f t="shared" si="39"/>
        <v>1631059</v>
      </c>
      <c r="O850">
        <v>23283850</v>
      </c>
      <c r="P850" s="2">
        <f t="shared" si="40"/>
        <v>7.0051086912173028</v>
      </c>
      <c r="Q850" s="4">
        <f t="shared" si="41"/>
        <v>22.282644449999999</v>
      </c>
    </row>
    <row r="851" spans="1:17" x14ac:dyDescent="0.4">
      <c r="A851">
        <v>20210818</v>
      </c>
      <c r="B851" s="1">
        <v>0.6875</v>
      </c>
      <c r="C851">
        <v>-33335</v>
      </c>
      <c r="D851">
        <v>270601</v>
      </c>
      <c r="E851">
        <v>435505</v>
      </c>
      <c r="F851">
        <v>339771</v>
      </c>
      <c r="G851">
        <v>-19818</v>
      </c>
      <c r="H851">
        <v>68638</v>
      </c>
      <c r="I851">
        <v>300780</v>
      </c>
      <c r="J851">
        <v>-7189</v>
      </c>
      <c r="K851">
        <v>-306276</v>
      </c>
      <c r="L851">
        <v>16890</v>
      </c>
      <c r="M851">
        <v>9.67</v>
      </c>
      <c r="N851">
        <f t="shared" si="39"/>
        <v>1065567</v>
      </c>
      <c r="O851">
        <v>22955150</v>
      </c>
      <c r="P851" s="2">
        <f t="shared" si="40"/>
        <v>4.6419518060217424</v>
      </c>
      <c r="Q851" s="4">
        <f t="shared" si="41"/>
        <v>22.197630050000001</v>
      </c>
    </row>
    <row r="852" spans="1:17" x14ac:dyDescent="0.4">
      <c r="A852">
        <v>20210818</v>
      </c>
      <c r="B852" s="1">
        <v>0.70833333333333337</v>
      </c>
      <c r="C852">
        <v>-48315</v>
      </c>
      <c r="D852">
        <v>226347</v>
      </c>
      <c r="E852">
        <v>773207</v>
      </c>
      <c r="F852">
        <v>327497</v>
      </c>
      <c r="G852">
        <v>-6221</v>
      </c>
      <c r="H852">
        <v>74258</v>
      </c>
      <c r="I852">
        <v>201064</v>
      </c>
      <c r="J852">
        <v>-14236</v>
      </c>
      <c r="K852">
        <v>-109818</v>
      </c>
      <c r="L852">
        <v>16135</v>
      </c>
      <c r="M852">
        <v>9.57</v>
      </c>
      <c r="N852">
        <f t="shared" si="39"/>
        <v>1439918</v>
      </c>
      <c r="O852">
        <v>22712150</v>
      </c>
      <c r="P852" s="2">
        <f t="shared" si="40"/>
        <v>6.3398577413410884</v>
      </c>
      <c r="Q852" s="4">
        <f t="shared" si="41"/>
        <v>21.73552755</v>
      </c>
    </row>
    <row r="853" spans="1:17" x14ac:dyDescent="0.4">
      <c r="A853">
        <v>20210818</v>
      </c>
      <c r="B853" s="1">
        <v>0.72916666666666663</v>
      </c>
      <c r="C853">
        <v>-74600</v>
      </c>
      <c r="D853">
        <v>198290</v>
      </c>
      <c r="E853">
        <v>695139</v>
      </c>
      <c r="F853">
        <v>237703</v>
      </c>
      <c r="G853">
        <v>-14334</v>
      </c>
      <c r="H853">
        <v>43004</v>
      </c>
      <c r="I853">
        <v>120606</v>
      </c>
      <c r="J853">
        <v>-45920</v>
      </c>
      <c r="K853">
        <v>53542</v>
      </c>
      <c r="L853">
        <v>13927</v>
      </c>
      <c r="M853">
        <v>9.6199999999999992</v>
      </c>
      <c r="N853">
        <f t="shared" si="39"/>
        <v>1227357</v>
      </c>
      <c r="O853">
        <v>22538050</v>
      </c>
      <c r="P853" s="2">
        <f t="shared" si="40"/>
        <v>5.4457106981304948</v>
      </c>
      <c r="Q853" s="4">
        <f t="shared" si="41"/>
        <v>21.681604099999998</v>
      </c>
    </row>
    <row r="854" spans="1:17" x14ac:dyDescent="0.4">
      <c r="A854">
        <v>20210818</v>
      </c>
      <c r="B854" s="1">
        <v>0.75</v>
      </c>
      <c r="C854">
        <v>-81114</v>
      </c>
      <c r="D854">
        <v>334314</v>
      </c>
      <c r="E854">
        <v>762858</v>
      </c>
      <c r="F854">
        <v>100310</v>
      </c>
      <c r="G854">
        <v>-25633</v>
      </c>
      <c r="H854">
        <v>106324</v>
      </c>
      <c r="I854">
        <v>100143</v>
      </c>
      <c r="J854">
        <v>-34233</v>
      </c>
      <c r="K854">
        <v>90801</v>
      </c>
      <c r="L854">
        <v>15675</v>
      </c>
      <c r="M854">
        <v>9.57</v>
      </c>
      <c r="N854">
        <f t="shared" si="39"/>
        <v>1369445</v>
      </c>
      <c r="O854">
        <v>22094000</v>
      </c>
      <c r="P854" s="2">
        <f t="shared" si="40"/>
        <v>6.198266497691681</v>
      </c>
      <c r="Q854" s="4">
        <f t="shared" si="41"/>
        <v>21.143958000000001</v>
      </c>
    </row>
    <row r="855" spans="1:17" x14ac:dyDescent="0.4">
      <c r="A855">
        <v>20210818</v>
      </c>
      <c r="B855" s="1">
        <v>0.77083333333333337</v>
      </c>
      <c r="C855">
        <v>-52246</v>
      </c>
      <c r="D855">
        <v>390401</v>
      </c>
      <c r="E855">
        <v>716978</v>
      </c>
      <c r="F855">
        <v>33860</v>
      </c>
      <c r="G855">
        <v>-17771</v>
      </c>
      <c r="H855">
        <v>26730</v>
      </c>
      <c r="I855">
        <v>60548</v>
      </c>
      <c r="J855">
        <v>-6005</v>
      </c>
      <c r="K855">
        <v>171914</v>
      </c>
      <c r="L855">
        <v>9318</v>
      </c>
      <c r="M855">
        <v>9.57</v>
      </c>
      <c r="N855">
        <f t="shared" si="39"/>
        <v>1333727</v>
      </c>
      <c r="O855">
        <v>22176250</v>
      </c>
      <c r="P855" s="2">
        <f t="shared" si="40"/>
        <v>6.0142134039794826</v>
      </c>
      <c r="Q855" s="4">
        <f t="shared" si="41"/>
        <v>21.222671250000001</v>
      </c>
    </row>
    <row r="856" spans="1:17" x14ac:dyDescent="0.4">
      <c r="A856">
        <v>20210818</v>
      </c>
      <c r="B856" s="1">
        <v>0.79166666666666663</v>
      </c>
      <c r="C856">
        <v>17139</v>
      </c>
      <c r="D856">
        <v>375897</v>
      </c>
      <c r="E856">
        <v>747184</v>
      </c>
      <c r="F856">
        <v>37655</v>
      </c>
      <c r="G856">
        <v>-23625</v>
      </c>
      <c r="H856">
        <v>166610</v>
      </c>
      <c r="I856">
        <v>93688</v>
      </c>
      <c r="J856">
        <v>33400</v>
      </c>
      <c r="K856">
        <v>212191</v>
      </c>
      <c r="L856">
        <v>8156</v>
      </c>
      <c r="M856">
        <v>9.56</v>
      </c>
      <c r="N856">
        <f t="shared" si="39"/>
        <v>1668295</v>
      </c>
      <c r="O856">
        <v>22032350</v>
      </c>
      <c r="P856" s="2">
        <f t="shared" si="40"/>
        <v>7.5720247726638332</v>
      </c>
      <c r="Q856" s="4">
        <f t="shared" si="41"/>
        <v>21.062926600000001</v>
      </c>
    </row>
    <row r="857" spans="1:17" x14ac:dyDescent="0.4">
      <c r="A857">
        <v>20210818</v>
      </c>
      <c r="B857" s="1">
        <v>0.8125</v>
      </c>
      <c r="C857">
        <v>-65617</v>
      </c>
      <c r="D857">
        <v>311197</v>
      </c>
      <c r="E857">
        <v>809447</v>
      </c>
      <c r="F857">
        <v>104368</v>
      </c>
      <c r="G857">
        <v>-10994</v>
      </c>
      <c r="H857">
        <v>221919</v>
      </c>
      <c r="I857">
        <v>119477</v>
      </c>
      <c r="J857">
        <v>50498</v>
      </c>
      <c r="K857">
        <v>171367</v>
      </c>
      <c r="L857">
        <v>12135</v>
      </c>
      <c r="M857">
        <v>9.25</v>
      </c>
      <c r="N857">
        <f t="shared" si="39"/>
        <v>1723797</v>
      </c>
      <c r="O857">
        <v>21967550</v>
      </c>
      <c r="P857" s="2">
        <f t="shared" si="40"/>
        <v>7.8470152565943856</v>
      </c>
      <c r="Q857" s="4">
        <f t="shared" si="41"/>
        <v>20.319983749999999</v>
      </c>
    </row>
    <row r="858" spans="1:17" x14ac:dyDescent="0.4">
      <c r="A858">
        <v>20210818</v>
      </c>
      <c r="B858" s="1">
        <v>0.83333333333333337</v>
      </c>
      <c r="C858">
        <v>-58613</v>
      </c>
      <c r="D858">
        <v>408179</v>
      </c>
      <c r="E858">
        <v>465448</v>
      </c>
      <c r="F858">
        <v>113255</v>
      </c>
      <c r="G858">
        <v>21849</v>
      </c>
      <c r="H858">
        <v>132921</v>
      </c>
      <c r="I858">
        <v>145892</v>
      </c>
      <c r="J858">
        <v>51389</v>
      </c>
      <c r="K858">
        <v>228748</v>
      </c>
      <c r="L858">
        <v>11814</v>
      </c>
      <c r="M858">
        <v>8.86</v>
      </c>
      <c r="N858">
        <f t="shared" si="39"/>
        <v>1520882</v>
      </c>
      <c r="O858">
        <v>21352750</v>
      </c>
      <c r="P858" s="2">
        <f t="shared" si="40"/>
        <v>7.1226516490850127</v>
      </c>
      <c r="Q858" s="4">
        <f t="shared" si="41"/>
        <v>18.918536499999998</v>
      </c>
    </row>
    <row r="859" spans="1:17" x14ac:dyDescent="0.4">
      <c r="A859">
        <v>20210818</v>
      </c>
      <c r="B859" s="1">
        <v>0.85416666666666663</v>
      </c>
      <c r="C859">
        <v>11281</v>
      </c>
      <c r="D859">
        <v>363147</v>
      </c>
      <c r="E859">
        <v>508641</v>
      </c>
      <c r="F859">
        <v>158074</v>
      </c>
      <c r="G859">
        <v>10076</v>
      </c>
      <c r="H859">
        <v>264454</v>
      </c>
      <c r="I859">
        <v>112619</v>
      </c>
      <c r="J859">
        <v>34720</v>
      </c>
      <c r="K859">
        <v>220633</v>
      </c>
      <c r="L859">
        <v>19521</v>
      </c>
      <c r="M859">
        <v>8.86</v>
      </c>
      <c r="N859">
        <f t="shared" si="39"/>
        <v>1703166</v>
      </c>
      <c r="O859">
        <v>21433100</v>
      </c>
      <c r="P859" s="2">
        <f t="shared" si="40"/>
        <v>7.946428654744297</v>
      </c>
      <c r="Q859" s="4">
        <f t="shared" si="41"/>
        <v>18.989726600000001</v>
      </c>
    </row>
    <row r="860" spans="1:17" x14ac:dyDescent="0.4">
      <c r="A860">
        <v>20210818</v>
      </c>
      <c r="B860" s="1">
        <v>0.875</v>
      </c>
      <c r="C860">
        <v>-4497</v>
      </c>
      <c r="D860">
        <v>361295</v>
      </c>
      <c r="E860">
        <v>472501</v>
      </c>
      <c r="F860">
        <v>95564</v>
      </c>
      <c r="G860">
        <v>-21044</v>
      </c>
      <c r="H860">
        <v>293463</v>
      </c>
      <c r="I860">
        <v>88490</v>
      </c>
      <c r="J860">
        <v>42396</v>
      </c>
      <c r="K860">
        <v>254288</v>
      </c>
      <c r="L860">
        <v>18935</v>
      </c>
      <c r="M860">
        <v>7.82</v>
      </c>
      <c r="N860">
        <f t="shared" si="39"/>
        <v>1601391</v>
      </c>
      <c r="O860">
        <v>21396550</v>
      </c>
      <c r="P860" s="2">
        <f t="shared" si="40"/>
        <v>7.4843421018809106</v>
      </c>
      <c r="Q860" s="4">
        <f t="shared" si="41"/>
        <v>16.732102099999999</v>
      </c>
    </row>
    <row r="861" spans="1:17" x14ac:dyDescent="0.4">
      <c r="A861">
        <v>20210818</v>
      </c>
      <c r="B861" s="1">
        <v>0.89583333333333337</v>
      </c>
      <c r="C861">
        <v>-44087</v>
      </c>
      <c r="D861">
        <v>318941</v>
      </c>
      <c r="E861">
        <v>389444</v>
      </c>
      <c r="F861">
        <v>124936</v>
      </c>
      <c r="G861">
        <v>-3969</v>
      </c>
      <c r="H861">
        <v>237212</v>
      </c>
      <c r="I861">
        <v>102049</v>
      </c>
      <c r="J861">
        <v>36332</v>
      </c>
      <c r="K861">
        <v>234342</v>
      </c>
      <c r="L861">
        <v>25522</v>
      </c>
      <c r="M861">
        <v>7.42</v>
      </c>
      <c r="N861">
        <f t="shared" si="39"/>
        <v>1420722</v>
      </c>
      <c r="O861">
        <v>21367500</v>
      </c>
      <c r="P861" s="2">
        <f t="shared" si="40"/>
        <v>6.6489856089856092</v>
      </c>
      <c r="Q861" s="4">
        <f t="shared" si="41"/>
        <v>15.854685</v>
      </c>
    </row>
    <row r="862" spans="1:17" x14ac:dyDescent="0.4">
      <c r="A862">
        <v>20210818</v>
      </c>
      <c r="B862" s="1">
        <v>0.91666666666666663</v>
      </c>
      <c r="C862">
        <v>-79178</v>
      </c>
      <c r="D862">
        <v>346153</v>
      </c>
      <c r="E862">
        <v>342811</v>
      </c>
      <c r="F862">
        <v>99776</v>
      </c>
      <c r="G862">
        <v>-1486</v>
      </c>
      <c r="H862">
        <v>140708</v>
      </c>
      <c r="I862">
        <v>65341</v>
      </c>
      <c r="J862">
        <v>33611</v>
      </c>
      <c r="K862">
        <v>171412</v>
      </c>
      <c r="L862">
        <v>12441</v>
      </c>
      <c r="M862">
        <v>7.09</v>
      </c>
      <c r="N862">
        <f t="shared" si="39"/>
        <v>1131589</v>
      </c>
      <c r="O862">
        <v>20935500</v>
      </c>
      <c r="P862" s="2">
        <f t="shared" si="40"/>
        <v>5.4051204891213489</v>
      </c>
      <c r="Q862" s="4">
        <f t="shared" si="41"/>
        <v>14.8432695</v>
      </c>
    </row>
    <row r="863" spans="1:17" x14ac:dyDescent="0.4">
      <c r="A863">
        <v>20210818</v>
      </c>
      <c r="B863" s="1">
        <v>0.9375</v>
      </c>
      <c r="C863">
        <v>-45959</v>
      </c>
      <c r="D863">
        <v>243174</v>
      </c>
      <c r="E863">
        <v>549776</v>
      </c>
      <c r="F863">
        <v>62213</v>
      </c>
      <c r="G863">
        <v>14659</v>
      </c>
      <c r="H863">
        <v>149959</v>
      </c>
      <c r="I863">
        <v>53767</v>
      </c>
      <c r="J863">
        <v>42927</v>
      </c>
      <c r="K863">
        <v>112518</v>
      </c>
      <c r="L863">
        <v>15388</v>
      </c>
      <c r="M863">
        <v>7.03</v>
      </c>
      <c r="N863">
        <f t="shared" si="39"/>
        <v>1198422</v>
      </c>
      <c r="O863">
        <v>20754800</v>
      </c>
      <c r="P863" s="2">
        <f t="shared" si="40"/>
        <v>5.7741919941411144</v>
      </c>
      <c r="Q863" s="4">
        <f t="shared" si="41"/>
        <v>14.590624399999999</v>
      </c>
    </row>
    <row r="864" spans="1:17" x14ac:dyDescent="0.4">
      <c r="A864">
        <v>20210818</v>
      </c>
      <c r="B864" s="1">
        <v>0.95833333333333337</v>
      </c>
      <c r="C864">
        <v>-75637</v>
      </c>
      <c r="D864">
        <v>194655</v>
      </c>
      <c r="E864">
        <v>319306</v>
      </c>
      <c r="F864">
        <v>59866</v>
      </c>
      <c r="G864">
        <v>9490</v>
      </c>
      <c r="H864">
        <v>126201</v>
      </c>
      <c r="I864">
        <v>69654</v>
      </c>
      <c r="J864">
        <v>37258</v>
      </c>
      <c r="K864">
        <v>121485</v>
      </c>
      <c r="L864">
        <v>18008</v>
      </c>
      <c r="M864">
        <v>6.72</v>
      </c>
      <c r="N864">
        <f t="shared" si="39"/>
        <v>880286</v>
      </c>
      <c r="O864">
        <v>20613850</v>
      </c>
      <c r="P864" s="2">
        <f t="shared" si="40"/>
        <v>4.2703619168665723</v>
      </c>
      <c r="Q864" s="4">
        <f t="shared" si="41"/>
        <v>13.8525072</v>
      </c>
    </row>
    <row r="865" spans="1:17" x14ac:dyDescent="0.4">
      <c r="A865">
        <v>20210818</v>
      </c>
      <c r="B865" s="1">
        <v>0.97916666666666663</v>
      </c>
      <c r="C865">
        <v>-60892</v>
      </c>
      <c r="D865">
        <v>236685</v>
      </c>
      <c r="E865">
        <v>474160</v>
      </c>
      <c r="F865">
        <v>32494</v>
      </c>
      <c r="G865">
        <v>3170</v>
      </c>
      <c r="H865">
        <v>135288</v>
      </c>
      <c r="I865">
        <v>154066</v>
      </c>
      <c r="J865">
        <v>51245</v>
      </c>
      <c r="K865">
        <v>125757</v>
      </c>
      <c r="L865">
        <v>20458</v>
      </c>
      <c r="M865">
        <v>6.46</v>
      </c>
      <c r="N865">
        <f t="shared" si="39"/>
        <v>1172431</v>
      </c>
      <c r="O865">
        <v>19489150</v>
      </c>
      <c r="P865" s="2">
        <f t="shared" si="40"/>
        <v>6.0158139272364366</v>
      </c>
      <c r="Q865" s="4">
        <f t="shared" si="41"/>
        <v>12.5899909</v>
      </c>
    </row>
    <row r="866" spans="1:17" x14ac:dyDescent="0.4">
      <c r="A866">
        <v>20210819</v>
      </c>
      <c r="B866" s="1">
        <v>0</v>
      </c>
      <c r="C866">
        <v>-59653</v>
      </c>
      <c r="D866">
        <v>146803</v>
      </c>
      <c r="E866">
        <v>343182</v>
      </c>
      <c r="F866">
        <v>23260</v>
      </c>
      <c r="G866">
        <v>39237</v>
      </c>
      <c r="H866">
        <v>243013</v>
      </c>
      <c r="I866">
        <v>73276</v>
      </c>
      <c r="J866">
        <v>45783</v>
      </c>
      <c r="K866">
        <v>132793</v>
      </c>
      <c r="L866">
        <v>14942</v>
      </c>
      <c r="M866">
        <v>6.26</v>
      </c>
      <c r="N866">
        <f t="shared" si="39"/>
        <v>1002636</v>
      </c>
      <c r="O866">
        <v>18776450</v>
      </c>
      <c r="P866" s="2">
        <f t="shared" si="40"/>
        <v>5.3398592385674606</v>
      </c>
      <c r="Q866" s="4">
        <f t="shared" si="41"/>
        <v>11.754057700000001</v>
      </c>
    </row>
    <row r="867" spans="1:17" x14ac:dyDescent="0.4">
      <c r="A867">
        <v>20210819</v>
      </c>
      <c r="B867" s="1">
        <v>2.0833333333333332E-2</v>
      </c>
      <c r="C867">
        <v>-36612</v>
      </c>
      <c r="D867">
        <v>177396</v>
      </c>
      <c r="E867">
        <v>387256</v>
      </c>
      <c r="F867">
        <v>60068</v>
      </c>
      <c r="G867">
        <v>23565</v>
      </c>
      <c r="H867">
        <v>241315</v>
      </c>
      <c r="I867">
        <v>59386</v>
      </c>
      <c r="J867">
        <v>35087</v>
      </c>
      <c r="K867">
        <v>138532</v>
      </c>
      <c r="L867">
        <v>13772</v>
      </c>
      <c r="M867">
        <v>6.26</v>
      </c>
      <c r="N867">
        <f t="shared" si="39"/>
        <v>1099765</v>
      </c>
      <c r="O867">
        <v>19593800</v>
      </c>
      <c r="P867" s="2">
        <f t="shared" si="40"/>
        <v>5.6128214026886054</v>
      </c>
      <c r="Q867" s="4">
        <f t="shared" si="41"/>
        <v>12.2657188</v>
      </c>
    </row>
    <row r="868" spans="1:17" x14ac:dyDescent="0.4">
      <c r="A868">
        <v>20210819</v>
      </c>
      <c r="B868" s="1">
        <v>4.1666666666666664E-2</v>
      </c>
      <c r="C868">
        <v>-47883</v>
      </c>
      <c r="D868">
        <v>122819</v>
      </c>
      <c r="E868">
        <v>309128</v>
      </c>
      <c r="F868">
        <v>269341</v>
      </c>
      <c r="G868">
        <v>19585</v>
      </c>
      <c r="H868">
        <v>279029</v>
      </c>
      <c r="I868">
        <v>74879</v>
      </c>
      <c r="J868">
        <v>42936</v>
      </c>
      <c r="K868">
        <v>106738</v>
      </c>
      <c r="L868">
        <v>13656</v>
      </c>
      <c r="M868">
        <v>6.37</v>
      </c>
      <c r="N868">
        <f t="shared" si="39"/>
        <v>1190228</v>
      </c>
      <c r="O868">
        <v>19470000</v>
      </c>
      <c r="P868" s="2">
        <f t="shared" si="40"/>
        <v>6.1131381612737545</v>
      </c>
      <c r="Q868" s="4">
        <f t="shared" si="41"/>
        <v>12.40239</v>
      </c>
    </row>
    <row r="869" spans="1:17" x14ac:dyDescent="0.4">
      <c r="A869">
        <v>20210819</v>
      </c>
      <c r="B869" s="1">
        <v>6.25E-2</v>
      </c>
      <c r="C869">
        <v>-52371</v>
      </c>
      <c r="D869">
        <v>145126</v>
      </c>
      <c r="E869">
        <v>358651</v>
      </c>
      <c r="F869">
        <v>216558</v>
      </c>
      <c r="G869">
        <v>8162</v>
      </c>
      <c r="H869">
        <v>248227</v>
      </c>
      <c r="I869">
        <v>37003</v>
      </c>
      <c r="J869">
        <v>19876</v>
      </c>
      <c r="K869">
        <v>61953</v>
      </c>
      <c r="L869">
        <v>8386</v>
      </c>
      <c r="M869">
        <v>6.19</v>
      </c>
      <c r="N869">
        <f t="shared" si="39"/>
        <v>1051571</v>
      </c>
      <c r="O869">
        <v>19354250</v>
      </c>
      <c r="P869" s="2">
        <f t="shared" si="40"/>
        <v>5.4332820956637429</v>
      </c>
      <c r="Q869" s="4">
        <f t="shared" si="41"/>
        <v>11.980280750000002</v>
      </c>
    </row>
    <row r="870" spans="1:17" x14ac:dyDescent="0.4">
      <c r="A870">
        <v>20210819</v>
      </c>
      <c r="B870" s="1">
        <v>8.3333333333333329E-2</v>
      </c>
      <c r="C870">
        <v>-63991</v>
      </c>
      <c r="D870">
        <v>128840</v>
      </c>
      <c r="E870">
        <v>305583</v>
      </c>
      <c r="F870">
        <v>272318</v>
      </c>
      <c r="G870">
        <v>19520</v>
      </c>
      <c r="H870">
        <v>263469</v>
      </c>
      <c r="I870">
        <v>37778</v>
      </c>
      <c r="J870">
        <v>40892</v>
      </c>
      <c r="K870">
        <v>25752</v>
      </c>
      <c r="L870">
        <v>18734</v>
      </c>
      <c r="M870">
        <v>6.13</v>
      </c>
      <c r="N870">
        <f t="shared" si="39"/>
        <v>1048895</v>
      </c>
      <c r="O870">
        <v>19387850</v>
      </c>
      <c r="P870" s="2">
        <f t="shared" si="40"/>
        <v>5.4100635191627751</v>
      </c>
      <c r="Q870" s="4">
        <f t="shared" si="41"/>
        <v>11.884752049999999</v>
      </c>
    </row>
    <row r="871" spans="1:17" x14ac:dyDescent="0.4">
      <c r="A871">
        <v>20210819</v>
      </c>
      <c r="B871" s="1">
        <v>0.10416666666666667</v>
      </c>
      <c r="C871">
        <v>-54888</v>
      </c>
      <c r="D871">
        <v>143961</v>
      </c>
      <c r="E871">
        <v>318163</v>
      </c>
      <c r="F871">
        <v>269573</v>
      </c>
      <c r="G871">
        <v>12473</v>
      </c>
      <c r="H871">
        <v>255391</v>
      </c>
      <c r="I871">
        <v>68683</v>
      </c>
      <c r="J871">
        <v>30288</v>
      </c>
      <c r="K871">
        <v>-15606</v>
      </c>
      <c r="L871">
        <v>3288</v>
      </c>
      <c r="M871">
        <v>6.19</v>
      </c>
      <c r="N871">
        <f t="shared" si="39"/>
        <v>1031326</v>
      </c>
      <c r="O871">
        <v>19433250</v>
      </c>
      <c r="P871" s="2">
        <f t="shared" si="40"/>
        <v>5.3070176115678027</v>
      </c>
      <c r="Q871" s="4">
        <f t="shared" si="41"/>
        <v>12.029181750000001</v>
      </c>
    </row>
    <row r="872" spans="1:17" x14ac:dyDescent="0.4">
      <c r="A872">
        <v>20210819</v>
      </c>
      <c r="B872" s="1">
        <v>0.125</v>
      </c>
      <c r="C872">
        <v>-52289</v>
      </c>
      <c r="D872">
        <v>95981</v>
      </c>
      <c r="E872">
        <v>247585</v>
      </c>
      <c r="F872">
        <v>191933</v>
      </c>
      <c r="G872">
        <v>-8019</v>
      </c>
      <c r="H872">
        <v>347527</v>
      </c>
      <c r="I872">
        <v>-14482</v>
      </c>
      <c r="J872">
        <v>28653</v>
      </c>
      <c r="K872">
        <v>59882</v>
      </c>
      <c r="L872">
        <v>13815</v>
      </c>
      <c r="M872">
        <v>6.63</v>
      </c>
      <c r="N872">
        <f t="shared" si="39"/>
        <v>910586</v>
      </c>
      <c r="O872">
        <v>19326650</v>
      </c>
      <c r="P872" s="2">
        <f t="shared" si="40"/>
        <v>4.7115563224873425</v>
      </c>
      <c r="Q872" s="4">
        <f t="shared" si="41"/>
        <v>12.813568950000001</v>
      </c>
    </row>
    <row r="873" spans="1:17" x14ac:dyDescent="0.4">
      <c r="A873">
        <v>20210819</v>
      </c>
      <c r="B873" s="1">
        <v>0.14583333333333334</v>
      </c>
      <c r="C873">
        <v>-70855</v>
      </c>
      <c r="D873">
        <v>149714</v>
      </c>
      <c r="E873">
        <v>247375</v>
      </c>
      <c r="F873">
        <v>199558</v>
      </c>
      <c r="G873">
        <v>-14781</v>
      </c>
      <c r="H873">
        <v>367711</v>
      </c>
      <c r="I873">
        <v>1641</v>
      </c>
      <c r="J873">
        <v>10897</v>
      </c>
      <c r="K873">
        <v>24065</v>
      </c>
      <c r="L873">
        <v>8294</v>
      </c>
      <c r="M873">
        <v>6.69</v>
      </c>
      <c r="N873">
        <f t="shared" si="39"/>
        <v>923619</v>
      </c>
      <c r="O873">
        <v>19435250</v>
      </c>
      <c r="P873" s="2">
        <f t="shared" si="40"/>
        <v>4.7522877246240727</v>
      </c>
      <c r="Q873" s="4">
        <f t="shared" si="41"/>
        <v>13.002182250000001</v>
      </c>
    </row>
    <row r="874" spans="1:17" x14ac:dyDescent="0.4">
      <c r="A874">
        <v>20210819</v>
      </c>
      <c r="B874" s="1">
        <v>0.16666666666666666</v>
      </c>
      <c r="C874">
        <v>-95855</v>
      </c>
      <c r="D874">
        <v>74873</v>
      </c>
      <c r="E874">
        <v>222887</v>
      </c>
      <c r="F874">
        <v>175323</v>
      </c>
      <c r="G874">
        <v>-4360</v>
      </c>
      <c r="H874">
        <v>313826</v>
      </c>
      <c r="I874">
        <v>-38076</v>
      </c>
      <c r="J874">
        <v>-11859</v>
      </c>
      <c r="K874">
        <v>45792</v>
      </c>
      <c r="L874">
        <v>14715</v>
      </c>
      <c r="M874">
        <v>6.57</v>
      </c>
      <c r="N874">
        <f t="shared" si="39"/>
        <v>697266</v>
      </c>
      <c r="O874">
        <v>19611300</v>
      </c>
      <c r="P874" s="2">
        <f t="shared" si="40"/>
        <v>3.5554297777301862</v>
      </c>
      <c r="Q874" s="4">
        <f t="shared" si="41"/>
        <v>12.8846241</v>
      </c>
    </row>
    <row r="875" spans="1:17" x14ac:dyDescent="0.4">
      <c r="A875">
        <v>20210819</v>
      </c>
      <c r="B875" s="1">
        <v>0.1875</v>
      </c>
      <c r="C875">
        <v>-64728</v>
      </c>
      <c r="D875">
        <v>54542</v>
      </c>
      <c r="E875">
        <v>226672</v>
      </c>
      <c r="F875">
        <v>124766</v>
      </c>
      <c r="G875">
        <v>19078</v>
      </c>
      <c r="H875">
        <v>286742</v>
      </c>
      <c r="I875">
        <v>-110078</v>
      </c>
      <c r="J875">
        <v>-10925</v>
      </c>
      <c r="K875">
        <v>83357</v>
      </c>
      <c r="L875">
        <v>5247</v>
      </c>
      <c r="M875">
        <v>6.48</v>
      </c>
      <c r="N875">
        <f t="shared" si="39"/>
        <v>614673</v>
      </c>
      <c r="O875">
        <v>19678750</v>
      </c>
      <c r="P875" s="2">
        <f t="shared" si="40"/>
        <v>3.1235368100107985</v>
      </c>
      <c r="Q875" s="4">
        <f t="shared" si="41"/>
        <v>12.751830000000002</v>
      </c>
    </row>
    <row r="876" spans="1:17" x14ac:dyDescent="0.4">
      <c r="A876">
        <v>20210819</v>
      </c>
      <c r="B876" s="1">
        <v>0.20833333333333334</v>
      </c>
      <c r="C876">
        <v>-64632</v>
      </c>
      <c r="D876">
        <v>57440</v>
      </c>
      <c r="E876">
        <v>351611</v>
      </c>
      <c r="F876">
        <v>12211</v>
      </c>
      <c r="G876">
        <v>42975</v>
      </c>
      <c r="H876">
        <v>227454</v>
      </c>
      <c r="I876">
        <v>-116878</v>
      </c>
      <c r="J876">
        <v>-7314</v>
      </c>
      <c r="K876">
        <v>38501</v>
      </c>
      <c r="L876">
        <v>13575</v>
      </c>
      <c r="M876">
        <v>6.57</v>
      </c>
      <c r="N876">
        <f t="shared" si="39"/>
        <v>554943</v>
      </c>
      <c r="O876">
        <v>19737400</v>
      </c>
      <c r="P876" s="2">
        <f t="shared" si="40"/>
        <v>2.8116317245432527</v>
      </c>
      <c r="Q876" s="4">
        <f t="shared" si="41"/>
        <v>12.9674718</v>
      </c>
    </row>
    <row r="877" spans="1:17" x14ac:dyDescent="0.4">
      <c r="A877">
        <v>20210819</v>
      </c>
      <c r="B877" s="1">
        <v>0.22916666666666666</v>
      </c>
      <c r="C877">
        <v>-56268</v>
      </c>
      <c r="D877">
        <v>105872</v>
      </c>
      <c r="E877">
        <v>442885</v>
      </c>
      <c r="F877">
        <v>110084</v>
      </c>
      <c r="G877">
        <v>26220</v>
      </c>
      <c r="H877">
        <v>300782</v>
      </c>
      <c r="I877">
        <v>-41333</v>
      </c>
      <c r="J877">
        <v>-1931</v>
      </c>
      <c r="K877">
        <v>82396</v>
      </c>
      <c r="L877">
        <v>2430</v>
      </c>
      <c r="M877">
        <v>6.48</v>
      </c>
      <c r="N877">
        <f t="shared" si="39"/>
        <v>971137</v>
      </c>
      <c r="O877">
        <v>19835200</v>
      </c>
      <c r="P877" s="2">
        <f t="shared" si="40"/>
        <v>4.896028272969267</v>
      </c>
      <c r="Q877" s="4">
        <f t="shared" si="41"/>
        <v>12.853209600000001</v>
      </c>
    </row>
    <row r="878" spans="1:17" x14ac:dyDescent="0.4">
      <c r="A878">
        <v>20210819</v>
      </c>
      <c r="B878" s="1">
        <v>0.25</v>
      </c>
      <c r="C878">
        <v>386</v>
      </c>
      <c r="D878">
        <v>267473</v>
      </c>
      <c r="E878">
        <v>530826</v>
      </c>
      <c r="F878">
        <v>205353</v>
      </c>
      <c r="G878">
        <v>41958</v>
      </c>
      <c r="H878">
        <v>305836</v>
      </c>
      <c r="I878">
        <v>-50951</v>
      </c>
      <c r="J878">
        <v>11918</v>
      </c>
      <c r="K878">
        <v>98494</v>
      </c>
      <c r="L878">
        <v>6949</v>
      </c>
      <c r="M878">
        <v>6.37</v>
      </c>
      <c r="N878">
        <f t="shared" si="39"/>
        <v>1418242</v>
      </c>
      <c r="O878">
        <v>20349300</v>
      </c>
      <c r="P878" s="2">
        <f t="shared" si="40"/>
        <v>6.9694878939324694</v>
      </c>
      <c r="Q878" s="4">
        <f t="shared" si="41"/>
        <v>12.9625041</v>
      </c>
    </row>
    <row r="879" spans="1:17" x14ac:dyDescent="0.4">
      <c r="A879">
        <v>20210819</v>
      </c>
      <c r="B879" s="1">
        <v>0.27083333333333331</v>
      </c>
      <c r="C879">
        <v>89054</v>
      </c>
      <c r="D879">
        <v>322895</v>
      </c>
      <c r="E879">
        <v>524582</v>
      </c>
      <c r="F879">
        <v>297059</v>
      </c>
      <c r="G879">
        <v>49812</v>
      </c>
      <c r="H879">
        <v>231470</v>
      </c>
      <c r="I879">
        <v>6121</v>
      </c>
      <c r="J879">
        <v>34405</v>
      </c>
      <c r="K879">
        <v>129843</v>
      </c>
      <c r="L879">
        <v>-9864</v>
      </c>
      <c r="M879">
        <v>6.37</v>
      </c>
      <c r="N879">
        <f t="shared" si="39"/>
        <v>1675377</v>
      </c>
      <c r="O879">
        <v>20829300</v>
      </c>
      <c r="P879" s="2">
        <f t="shared" si="40"/>
        <v>8.0433667958116697</v>
      </c>
      <c r="Q879" s="4">
        <f t="shared" si="41"/>
        <v>13.2682641</v>
      </c>
    </row>
    <row r="880" spans="1:17" x14ac:dyDescent="0.4">
      <c r="A880">
        <v>20210819</v>
      </c>
      <c r="B880" s="1">
        <v>0.29166666666666669</v>
      </c>
      <c r="C880">
        <v>68178</v>
      </c>
      <c r="D880">
        <v>355979</v>
      </c>
      <c r="E880">
        <v>698227</v>
      </c>
      <c r="F880">
        <v>91708</v>
      </c>
      <c r="G880">
        <v>52319</v>
      </c>
      <c r="H880">
        <v>83006</v>
      </c>
      <c r="I880">
        <v>1078</v>
      </c>
      <c r="J880">
        <v>15317</v>
      </c>
      <c r="K880">
        <v>212842</v>
      </c>
      <c r="L880">
        <v>4917</v>
      </c>
      <c r="M880">
        <v>6.59</v>
      </c>
      <c r="N880">
        <f t="shared" si="39"/>
        <v>1583571</v>
      </c>
      <c r="O880">
        <v>21828650</v>
      </c>
      <c r="P880" s="2">
        <f t="shared" si="40"/>
        <v>7.2545530758887979</v>
      </c>
      <c r="Q880" s="4">
        <f t="shared" si="41"/>
        <v>14.385080350000001</v>
      </c>
    </row>
    <row r="881" spans="1:17" x14ac:dyDescent="0.4">
      <c r="A881">
        <v>20210819</v>
      </c>
      <c r="B881" s="1">
        <v>0.3125</v>
      </c>
      <c r="C881">
        <v>108314</v>
      </c>
      <c r="D881">
        <v>317864</v>
      </c>
      <c r="E881">
        <v>777374</v>
      </c>
      <c r="F881">
        <v>-28915</v>
      </c>
      <c r="G881">
        <v>34290</v>
      </c>
      <c r="H881">
        <v>-67246</v>
      </c>
      <c r="I881">
        <v>82608</v>
      </c>
      <c r="J881">
        <v>18718</v>
      </c>
      <c r="K881">
        <v>386605</v>
      </c>
      <c r="L881">
        <v>-7687</v>
      </c>
      <c r="M881">
        <v>6.76</v>
      </c>
      <c r="N881">
        <f t="shared" si="39"/>
        <v>1621925</v>
      </c>
      <c r="O881">
        <v>22113050</v>
      </c>
      <c r="P881" s="2">
        <f t="shared" si="40"/>
        <v>7.3346960279111206</v>
      </c>
      <c r="Q881" s="4">
        <f t="shared" si="41"/>
        <v>14.9484218</v>
      </c>
    </row>
    <row r="882" spans="1:17" x14ac:dyDescent="0.4">
      <c r="A882">
        <v>20210819</v>
      </c>
      <c r="B882" s="1">
        <v>0.33333333333333331</v>
      </c>
      <c r="C882">
        <v>83009</v>
      </c>
      <c r="D882">
        <v>170277</v>
      </c>
      <c r="E882">
        <v>806969</v>
      </c>
      <c r="F882">
        <v>-278121</v>
      </c>
      <c r="G882">
        <v>92470</v>
      </c>
      <c r="H882">
        <v>-240411</v>
      </c>
      <c r="I882">
        <v>-299133</v>
      </c>
      <c r="J882">
        <v>-207855</v>
      </c>
      <c r="K882">
        <v>574680</v>
      </c>
      <c r="L882">
        <v>5339</v>
      </c>
      <c r="M882">
        <v>6.96</v>
      </c>
      <c r="N882">
        <f t="shared" si="39"/>
        <v>707224</v>
      </c>
      <c r="O882">
        <v>23271300</v>
      </c>
      <c r="P882" s="2">
        <f t="shared" si="40"/>
        <v>3.0390395035945565</v>
      </c>
      <c r="Q882" s="4">
        <f t="shared" si="41"/>
        <v>16.196824800000002</v>
      </c>
    </row>
    <row r="883" spans="1:17" x14ac:dyDescent="0.4">
      <c r="A883">
        <v>20210819</v>
      </c>
      <c r="B883" s="1">
        <v>0.35416666666666669</v>
      </c>
      <c r="C883">
        <v>19451</v>
      </c>
      <c r="D883">
        <v>85198</v>
      </c>
      <c r="E883">
        <v>170471</v>
      </c>
      <c r="F883">
        <v>-450713</v>
      </c>
      <c r="G883">
        <v>78549</v>
      </c>
      <c r="H883">
        <v>-124248</v>
      </c>
      <c r="I883">
        <v>-259725</v>
      </c>
      <c r="J883">
        <v>-151427</v>
      </c>
      <c r="K883">
        <v>756373</v>
      </c>
      <c r="L883">
        <v>-19336</v>
      </c>
      <c r="M883">
        <v>7.08</v>
      </c>
      <c r="N883">
        <f t="shared" si="39"/>
        <v>104593</v>
      </c>
      <c r="O883">
        <v>24287100</v>
      </c>
      <c r="P883" s="2">
        <f t="shared" si="40"/>
        <v>0.43065248629931113</v>
      </c>
      <c r="Q883" s="4">
        <f t="shared" si="41"/>
        <v>17.195266799999999</v>
      </c>
    </row>
    <row r="884" spans="1:17" x14ac:dyDescent="0.4">
      <c r="A884">
        <v>20210819</v>
      </c>
      <c r="B884" s="1">
        <v>0.375</v>
      </c>
      <c r="C884">
        <v>106054</v>
      </c>
      <c r="D884">
        <v>202023</v>
      </c>
      <c r="E884">
        <v>416624</v>
      </c>
      <c r="F884">
        <v>-510294</v>
      </c>
      <c r="G884">
        <v>59655</v>
      </c>
      <c r="H884">
        <v>-541802</v>
      </c>
      <c r="I884">
        <v>-194808</v>
      </c>
      <c r="J884">
        <v>-173145</v>
      </c>
      <c r="K884">
        <v>713093</v>
      </c>
      <c r="L884">
        <v>-47373</v>
      </c>
      <c r="M884">
        <v>7.37</v>
      </c>
      <c r="N884">
        <f t="shared" si="39"/>
        <v>30027</v>
      </c>
      <c r="O884">
        <v>24514300</v>
      </c>
      <c r="P884" s="2">
        <f t="shared" si="40"/>
        <v>0.12248769085798901</v>
      </c>
      <c r="Q884" s="4">
        <f t="shared" si="41"/>
        <v>18.067039099999999</v>
      </c>
    </row>
    <row r="885" spans="1:17" x14ac:dyDescent="0.4">
      <c r="A885">
        <v>20210819</v>
      </c>
      <c r="B885" s="1">
        <v>0.39583333333333331</v>
      </c>
      <c r="C885">
        <v>148512</v>
      </c>
      <c r="D885">
        <v>197521</v>
      </c>
      <c r="E885">
        <v>417355</v>
      </c>
      <c r="F885">
        <v>-616816</v>
      </c>
      <c r="G885">
        <v>497</v>
      </c>
      <c r="H885">
        <v>-776571</v>
      </c>
      <c r="I885">
        <v>-50685</v>
      </c>
      <c r="J885">
        <v>-173611</v>
      </c>
      <c r="K885">
        <v>746707</v>
      </c>
      <c r="L885">
        <v>-52851</v>
      </c>
      <c r="M885">
        <v>7.31</v>
      </c>
      <c r="N885">
        <f t="shared" si="39"/>
        <v>-159942</v>
      </c>
      <c r="O885">
        <v>24814950</v>
      </c>
      <c r="P885" s="2">
        <f t="shared" si="40"/>
        <v>-0.64453887676582056</v>
      </c>
      <c r="Q885" s="4">
        <f t="shared" si="41"/>
        <v>18.13972845</v>
      </c>
    </row>
    <row r="886" spans="1:17" x14ac:dyDescent="0.4">
      <c r="A886">
        <v>20210819</v>
      </c>
      <c r="B886" s="1">
        <v>0.41666666666666669</v>
      </c>
      <c r="C886">
        <v>141604</v>
      </c>
      <c r="D886">
        <v>266259</v>
      </c>
      <c r="E886">
        <v>322982</v>
      </c>
      <c r="F886">
        <v>-654734</v>
      </c>
      <c r="G886">
        <v>-6459</v>
      </c>
      <c r="H886">
        <v>-803429</v>
      </c>
      <c r="I886">
        <v>142887</v>
      </c>
      <c r="J886">
        <v>-145432</v>
      </c>
      <c r="K886">
        <v>882601</v>
      </c>
      <c r="L886">
        <v>-56610</v>
      </c>
      <c r="M886">
        <v>7.31</v>
      </c>
      <c r="N886">
        <f t="shared" si="39"/>
        <v>89669</v>
      </c>
      <c r="O886">
        <v>25061450</v>
      </c>
      <c r="P886" s="2">
        <f t="shared" si="40"/>
        <v>0.35779653611423123</v>
      </c>
      <c r="Q886" s="4">
        <f t="shared" si="41"/>
        <v>18.319919949999999</v>
      </c>
    </row>
    <row r="887" spans="1:17" x14ac:dyDescent="0.4">
      <c r="A887">
        <v>20210819</v>
      </c>
      <c r="B887" s="1">
        <v>0.4375</v>
      </c>
      <c r="C887">
        <v>157509</v>
      </c>
      <c r="D887">
        <v>35329</v>
      </c>
      <c r="E887">
        <v>207965</v>
      </c>
      <c r="F887">
        <v>-769981</v>
      </c>
      <c r="G887">
        <v>900</v>
      </c>
      <c r="H887">
        <v>-865175</v>
      </c>
      <c r="I887">
        <v>72205</v>
      </c>
      <c r="J887">
        <v>-147518</v>
      </c>
      <c r="K887">
        <v>967431</v>
      </c>
      <c r="L887">
        <v>-59241</v>
      </c>
      <c r="M887">
        <v>7.37</v>
      </c>
      <c r="N887">
        <f t="shared" si="39"/>
        <v>-400576</v>
      </c>
      <c r="O887">
        <v>25232150</v>
      </c>
      <c r="P887" s="2">
        <f t="shared" si="40"/>
        <v>-1.5875619001947912</v>
      </c>
      <c r="Q887" s="4">
        <f t="shared" si="41"/>
        <v>18.59609455</v>
      </c>
    </row>
    <row r="888" spans="1:17" x14ac:dyDescent="0.4">
      <c r="A888">
        <v>20210819</v>
      </c>
      <c r="B888" s="1">
        <v>0.45833333333333331</v>
      </c>
      <c r="C888">
        <v>111882</v>
      </c>
      <c r="D888">
        <v>137947</v>
      </c>
      <c r="E888">
        <v>80639</v>
      </c>
      <c r="F888">
        <v>-871216</v>
      </c>
      <c r="G888">
        <v>24762</v>
      </c>
      <c r="H888">
        <v>-864404</v>
      </c>
      <c r="I888">
        <v>183938</v>
      </c>
      <c r="J888">
        <v>-141936</v>
      </c>
      <c r="K888">
        <v>1028299</v>
      </c>
      <c r="L888">
        <v>-56037</v>
      </c>
      <c r="M888">
        <v>7.64</v>
      </c>
      <c r="N888">
        <f t="shared" si="39"/>
        <v>-366126</v>
      </c>
      <c r="O888">
        <v>25517850</v>
      </c>
      <c r="P888" s="2">
        <f t="shared" si="40"/>
        <v>-1.4347838865735161</v>
      </c>
      <c r="Q888" s="4">
        <f t="shared" si="41"/>
        <v>19.4956374</v>
      </c>
    </row>
    <row r="889" spans="1:17" x14ac:dyDescent="0.4">
      <c r="A889">
        <v>20210819</v>
      </c>
      <c r="B889" s="1">
        <v>0.47916666666666669</v>
      </c>
      <c r="C889">
        <v>88789</v>
      </c>
      <c r="D889">
        <v>328503</v>
      </c>
      <c r="E889">
        <v>21829</v>
      </c>
      <c r="F889">
        <v>-972041</v>
      </c>
      <c r="G889">
        <v>60968</v>
      </c>
      <c r="H889">
        <v>-691354</v>
      </c>
      <c r="I889">
        <v>316081</v>
      </c>
      <c r="J889">
        <v>-151161</v>
      </c>
      <c r="K889">
        <v>1043554</v>
      </c>
      <c r="L889">
        <v>-44118</v>
      </c>
      <c r="M889">
        <v>7.6</v>
      </c>
      <c r="N889">
        <f t="shared" si="39"/>
        <v>1050</v>
      </c>
      <c r="O889">
        <v>25543650</v>
      </c>
      <c r="P889" s="2">
        <f t="shared" si="40"/>
        <v>4.1106106605751334E-3</v>
      </c>
      <c r="Q889" s="4">
        <f t="shared" si="41"/>
        <v>19.413174000000001</v>
      </c>
    </row>
    <row r="890" spans="1:17" x14ac:dyDescent="0.4">
      <c r="A890">
        <v>20210819</v>
      </c>
      <c r="B890" s="1">
        <v>0.5</v>
      </c>
      <c r="C890">
        <v>35291</v>
      </c>
      <c r="D890">
        <v>373899</v>
      </c>
      <c r="E890">
        <v>-51798</v>
      </c>
      <c r="F890">
        <v>-1202104</v>
      </c>
      <c r="G890">
        <v>67429</v>
      </c>
      <c r="H890">
        <v>-497090</v>
      </c>
      <c r="I890">
        <v>156120</v>
      </c>
      <c r="J890">
        <v>-88711</v>
      </c>
      <c r="K890">
        <v>974482</v>
      </c>
      <c r="L890">
        <v>-57918</v>
      </c>
      <c r="M890">
        <v>6.98</v>
      </c>
      <c r="N890">
        <f t="shared" si="39"/>
        <v>-290400</v>
      </c>
      <c r="O890">
        <v>25550350</v>
      </c>
      <c r="P890" s="2">
        <f t="shared" si="40"/>
        <v>-1.1365793423573454</v>
      </c>
      <c r="Q890" s="4">
        <f t="shared" si="41"/>
        <v>17.834144299999998</v>
      </c>
    </row>
    <row r="891" spans="1:17" x14ac:dyDescent="0.4">
      <c r="A891">
        <v>20210819</v>
      </c>
      <c r="B891" s="1">
        <v>0.52083333333333337</v>
      </c>
      <c r="C891">
        <v>34470</v>
      </c>
      <c r="D891">
        <v>396773</v>
      </c>
      <c r="E891">
        <v>-108335</v>
      </c>
      <c r="F891">
        <v>-1342981</v>
      </c>
      <c r="G891">
        <v>7061</v>
      </c>
      <c r="H891">
        <v>-325547</v>
      </c>
      <c r="I891">
        <v>274359</v>
      </c>
      <c r="J891">
        <v>-96531</v>
      </c>
      <c r="K891">
        <v>1051331</v>
      </c>
      <c r="L891">
        <v>-45866</v>
      </c>
      <c r="M891">
        <v>6.98</v>
      </c>
      <c r="N891">
        <f t="shared" si="39"/>
        <v>-155266</v>
      </c>
      <c r="O891">
        <v>25439000</v>
      </c>
      <c r="P891" s="2">
        <f t="shared" si="40"/>
        <v>-0.61034631864460076</v>
      </c>
      <c r="Q891" s="4">
        <f t="shared" si="41"/>
        <v>17.756422000000001</v>
      </c>
    </row>
    <row r="892" spans="1:17" x14ac:dyDescent="0.4">
      <c r="A892">
        <v>20210819</v>
      </c>
      <c r="B892" s="1">
        <v>0.54166666666666663</v>
      </c>
      <c r="C892">
        <v>75025</v>
      </c>
      <c r="D892">
        <v>371999</v>
      </c>
      <c r="E892">
        <v>-448020</v>
      </c>
      <c r="F892">
        <v>-1380318</v>
      </c>
      <c r="G892">
        <v>12680</v>
      </c>
      <c r="H892">
        <v>-71843</v>
      </c>
      <c r="I892">
        <v>331274</v>
      </c>
      <c r="J892">
        <v>-137977</v>
      </c>
      <c r="K892">
        <v>1213073</v>
      </c>
      <c r="L892">
        <v>-11520</v>
      </c>
      <c r="M892">
        <v>8.1199999999999992</v>
      </c>
      <c r="N892">
        <f t="shared" si="39"/>
        <v>-45627</v>
      </c>
      <c r="O892">
        <v>24907450</v>
      </c>
      <c r="P892" s="2">
        <f t="shared" si="40"/>
        <v>-0.18318615514635178</v>
      </c>
      <c r="Q892" s="4">
        <f t="shared" si="41"/>
        <v>20.224849399999997</v>
      </c>
    </row>
    <row r="893" spans="1:17" x14ac:dyDescent="0.4">
      <c r="A893">
        <v>20210819</v>
      </c>
      <c r="B893" s="1">
        <v>0.5625</v>
      </c>
      <c r="C893">
        <v>93656</v>
      </c>
      <c r="D893">
        <v>268004</v>
      </c>
      <c r="E893">
        <v>-322440</v>
      </c>
      <c r="F893">
        <v>-1178455</v>
      </c>
      <c r="G893">
        <v>16899</v>
      </c>
      <c r="H893">
        <v>201865</v>
      </c>
      <c r="I893">
        <v>244966</v>
      </c>
      <c r="J893">
        <v>-141337</v>
      </c>
      <c r="K893">
        <v>1214517</v>
      </c>
      <c r="L893">
        <v>-5254</v>
      </c>
      <c r="M893">
        <v>8.86</v>
      </c>
      <c r="N893">
        <f t="shared" si="39"/>
        <v>392421</v>
      </c>
      <c r="O893">
        <v>24630050</v>
      </c>
      <c r="P893" s="2">
        <f t="shared" si="40"/>
        <v>1.5932610774237161</v>
      </c>
      <c r="Q893" s="4">
        <f t="shared" si="41"/>
        <v>21.822224299999998</v>
      </c>
    </row>
    <row r="894" spans="1:17" x14ac:dyDescent="0.4">
      <c r="A894">
        <v>20210819</v>
      </c>
      <c r="B894" s="1">
        <v>0.58333333333333337</v>
      </c>
      <c r="C894">
        <v>91661</v>
      </c>
      <c r="D894">
        <v>240995</v>
      </c>
      <c r="E894">
        <v>-215547</v>
      </c>
      <c r="F894">
        <v>-251227</v>
      </c>
      <c r="G894">
        <v>17462</v>
      </c>
      <c r="H894">
        <v>284632</v>
      </c>
      <c r="I894">
        <v>124048</v>
      </c>
      <c r="J894">
        <v>-136069</v>
      </c>
      <c r="K894">
        <v>1288169</v>
      </c>
      <c r="L894">
        <v>-13763</v>
      </c>
      <c r="M894">
        <v>8.86</v>
      </c>
      <c r="N894">
        <f t="shared" si="39"/>
        <v>1430361</v>
      </c>
      <c r="O894">
        <v>24438850</v>
      </c>
      <c r="P894" s="2">
        <f t="shared" si="40"/>
        <v>5.8528163150066392</v>
      </c>
      <c r="Q894" s="4">
        <f t="shared" si="41"/>
        <v>21.652821100000001</v>
      </c>
    </row>
    <row r="895" spans="1:17" x14ac:dyDescent="0.4">
      <c r="A895">
        <v>20210819</v>
      </c>
      <c r="B895" s="1">
        <v>0.60416666666666663</v>
      </c>
      <c r="C895">
        <v>144160</v>
      </c>
      <c r="D895">
        <v>261647</v>
      </c>
      <c r="E895">
        <v>-323982</v>
      </c>
      <c r="F895">
        <v>-38333</v>
      </c>
      <c r="G895">
        <v>42224</v>
      </c>
      <c r="H895">
        <v>429061</v>
      </c>
      <c r="I895">
        <v>98249</v>
      </c>
      <c r="J895">
        <v>-113508</v>
      </c>
      <c r="K895">
        <v>1218665</v>
      </c>
      <c r="L895">
        <v>-3472</v>
      </c>
      <c r="M895">
        <v>9.4700000000000006</v>
      </c>
      <c r="N895">
        <f t="shared" si="39"/>
        <v>1714711</v>
      </c>
      <c r="O895">
        <v>24161500</v>
      </c>
      <c r="P895" s="2">
        <f t="shared" si="40"/>
        <v>7.0968731245990524</v>
      </c>
      <c r="Q895" s="4">
        <f t="shared" si="41"/>
        <v>22.880940500000001</v>
      </c>
    </row>
    <row r="896" spans="1:17" x14ac:dyDescent="0.4">
      <c r="A896">
        <v>20210819</v>
      </c>
      <c r="B896" s="1">
        <v>0.625</v>
      </c>
      <c r="C896">
        <v>114348</v>
      </c>
      <c r="D896">
        <v>117335</v>
      </c>
      <c r="E896">
        <v>-361145</v>
      </c>
      <c r="F896">
        <v>-296403</v>
      </c>
      <c r="G896">
        <v>77073</v>
      </c>
      <c r="H896">
        <v>492422</v>
      </c>
      <c r="I896">
        <v>78535</v>
      </c>
      <c r="J896">
        <v>-147802</v>
      </c>
      <c r="K896">
        <v>1059821</v>
      </c>
      <c r="L896">
        <v>24386</v>
      </c>
      <c r="M896">
        <v>9.2200000000000006</v>
      </c>
      <c r="N896">
        <f t="shared" si="39"/>
        <v>1158570</v>
      </c>
      <c r="O896">
        <v>23774550</v>
      </c>
      <c r="P896" s="2">
        <f t="shared" si="40"/>
        <v>4.8731521732272531</v>
      </c>
      <c r="Q896" s="4">
        <f t="shared" si="41"/>
        <v>21.920135100000003</v>
      </c>
    </row>
    <row r="897" spans="1:17" x14ac:dyDescent="0.4">
      <c r="A897">
        <v>20210819</v>
      </c>
      <c r="B897" s="1">
        <v>0.64583333333333337</v>
      </c>
      <c r="C897">
        <v>101806</v>
      </c>
      <c r="D897">
        <v>143328</v>
      </c>
      <c r="E897">
        <v>-381563</v>
      </c>
      <c r="F897">
        <v>-112323</v>
      </c>
      <c r="G897">
        <v>107435</v>
      </c>
      <c r="H897">
        <v>527434</v>
      </c>
      <c r="I897">
        <v>-88619</v>
      </c>
      <c r="J897">
        <v>-206176</v>
      </c>
      <c r="K897">
        <v>884584</v>
      </c>
      <c r="L897">
        <v>25439</v>
      </c>
      <c r="M897">
        <v>9.64</v>
      </c>
      <c r="N897">
        <f t="shared" si="39"/>
        <v>1001345</v>
      </c>
      <c r="O897">
        <v>23531150</v>
      </c>
      <c r="P897" s="2">
        <f t="shared" si="40"/>
        <v>4.2554018821859536</v>
      </c>
      <c r="Q897" s="4">
        <f t="shared" si="41"/>
        <v>22.684028600000001</v>
      </c>
    </row>
    <row r="898" spans="1:17" x14ac:dyDescent="0.4">
      <c r="A898">
        <v>20210819</v>
      </c>
      <c r="B898" s="1">
        <v>0.66666666666666663</v>
      </c>
      <c r="C898">
        <v>60063</v>
      </c>
      <c r="D898">
        <v>140441</v>
      </c>
      <c r="E898">
        <v>-44098</v>
      </c>
      <c r="F898">
        <v>87128</v>
      </c>
      <c r="G898">
        <v>72689</v>
      </c>
      <c r="H898">
        <v>473307</v>
      </c>
      <c r="I898">
        <v>333934</v>
      </c>
      <c r="J898">
        <v>-210342</v>
      </c>
      <c r="K898">
        <v>650692</v>
      </c>
      <c r="L898">
        <v>31010</v>
      </c>
      <c r="M898">
        <v>9.9700000000000006</v>
      </c>
      <c r="N898">
        <f t="shared" si="39"/>
        <v>1594824</v>
      </c>
      <c r="O898">
        <v>23650050</v>
      </c>
      <c r="P898" s="2">
        <f t="shared" si="40"/>
        <v>6.7434276037471381</v>
      </c>
      <c r="Q898" s="4">
        <f t="shared" si="41"/>
        <v>23.579099850000002</v>
      </c>
    </row>
    <row r="899" spans="1:17" x14ac:dyDescent="0.4">
      <c r="A899">
        <v>20210819</v>
      </c>
      <c r="B899" s="1">
        <v>0.6875</v>
      </c>
      <c r="C899">
        <v>47007</v>
      </c>
      <c r="D899">
        <v>100279</v>
      </c>
      <c r="E899">
        <v>189865</v>
      </c>
      <c r="F899">
        <v>299386</v>
      </c>
      <c r="G899">
        <v>97137</v>
      </c>
      <c r="H899">
        <v>333586</v>
      </c>
      <c r="I899">
        <v>224595</v>
      </c>
      <c r="J899">
        <v>-169590</v>
      </c>
      <c r="K899">
        <v>396981</v>
      </c>
      <c r="L899">
        <v>41687</v>
      </c>
      <c r="M899">
        <v>9.9700000000000006</v>
      </c>
      <c r="N899">
        <f t="shared" ref="N899:N962" si="42">C899+D899+E899+F899+G899+H899+I899+J899+K899+L899</f>
        <v>1560933</v>
      </c>
      <c r="O899">
        <v>23213350</v>
      </c>
      <c r="P899" s="2">
        <f t="shared" ref="P899:P962" si="43">((N899*100)/O899)</f>
        <v>6.7242901175401224</v>
      </c>
      <c r="Q899" s="4">
        <f t="shared" ref="Q899:Q962" si="44">(M899*O899)/10^7</f>
        <v>23.143709950000002</v>
      </c>
    </row>
    <row r="900" spans="1:17" x14ac:dyDescent="0.4">
      <c r="A900">
        <v>20210819</v>
      </c>
      <c r="B900" s="1">
        <v>0.70833333333333337</v>
      </c>
      <c r="C900">
        <v>-41363</v>
      </c>
      <c r="D900">
        <v>5051</v>
      </c>
      <c r="E900">
        <v>236262</v>
      </c>
      <c r="F900">
        <v>337268</v>
      </c>
      <c r="G900">
        <v>104652</v>
      </c>
      <c r="H900">
        <v>366184</v>
      </c>
      <c r="I900">
        <v>49366</v>
      </c>
      <c r="J900">
        <v>-132146</v>
      </c>
      <c r="K900">
        <v>212576</v>
      </c>
      <c r="L900">
        <v>57293</v>
      </c>
      <c r="M900">
        <v>9.9700000000000006</v>
      </c>
      <c r="N900">
        <f t="shared" si="42"/>
        <v>1195143</v>
      </c>
      <c r="O900">
        <v>22908500</v>
      </c>
      <c r="P900" s="2">
        <f t="shared" si="43"/>
        <v>5.2170286138332935</v>
      </c>
      <c r="Q900" s="4">
        <f t="shared" si="44"/>
        <v>22.839774500000001</v>
      </c>
    </row>
    <row r="901" spans="1:17" x14ac:dyDescent="0.4">
      <c r="A901">
        <v>20210819</v>
      </c>
      <c r="B901" s="1">
        <v>0.72916666666666663</v>
      </c>
      <c r="C901">
        <v>-38913</v>
      </c>
      <c r="D901">
        <v>40575</v>
      </c>
      <c r="E901">
        <v>418213</v>
      </c>
      <c r="F901">
        <v>378202</v>
      </c>
      <c r="G901">
        <v>102803</v>
      </c>
      <c r="H901">
        <v>416341</v>
      </c>
      <c r="I901">
        <v>118179</v>
      </c>
      <c r="J901">
        <v>-89169</v>
      </c>
      <c r="K901">
        <v>-40897</v>
      </c>
      <c r="L901">
        <v>54339</v>
      </c>
      <c r="M901">
        <v>9.9700000000000006</v>
      </c>
      <c r="N901">
        <f t="shared" si="42"/>
        <v>1359673</v>
      </c>
      <c r="O901">
        <v>22691000</v>
      </c>
      <c r="P901" s="2">
        <f t="shared" si="43"/>
        <v>5.9921246309109337</v>
      </c>
      <c r="Q901" s="4">
        <f t="shared" si="44"/>
        <v>22.622927000000001</v>
      </c>
    </row>
    <row r="902" spans="1:17" x14ac:dyDescent="0.4">
      <c r="A902">
        <v>20210819</v>
      </c>
      <c r="B902" s="1">
        <v>0.75</v>
      </c>
      <c r="C902">
        <v>-19508</v>
      </c>
      <c r="D902">
        <v>-154606</v>
      </c>
      <c r="E902">
        <v>574116</v>
      </c>
      <c r="F902">
        <v>374943</v>
      </c>
      <c r="G902">
        <v>100477</v>
      </c>
      <c r="H902">
        <v>596655</v>
      </c>
      <c r="I902">
        <v>178879</v>
      </c>
      <c r="J902">
        <v>-78634</v>
      </c>
      <c r="K902">
        <v>-3787</v>
      </c>
      <c r="L902">
        <v>52610</v>
      </c>
      <c r="M902">
        <v>9.9700000000000006</v>
      </c>
      <c r="N902">
        <f t="shared" si="42"/>
        <v>1621145</v>
      </c>
      <c r="O902">
        <v>22616250</v>
      </c>
      <c r="P902" s="2">
        <f t="shared" si="43"/>
        <v>7.1680539435140664</v>
      </c>
      <c r="Q902" s="4">
        <f t="shared" si="44"/>
        <v>22.548401250000001</v>
      </c>
    </row>
    <row r="903" spans="1:17" x14ac:dyDescent="0.4">
      <c r="A903">
        <v>20210819</v>
      </c>
      <c r="B903" s="1">
        <v>0.77083333333333337</v>
      </c>
      <c r="C903">
        <v>-42019</v>
      </c>
      <c r="D903">
        <v>-79441</v>
      </c>
      <c r="E903">
        <v>510124</v>
      </c>
      <c r="F903">
        <v>255024</v>
      </c>
      <c r="G903">
        <v>93468</v>
      </c>
      <c r="H903">
        <v>766908</v>
      </c>
      <c r="I903">
        <v>89582</v>
      </c>
      <c r="J903">
        <v>-39755</v>
      </c>
      <c r="K903">
        <v>-95136</v>
      </c>
      <c r="L903">
        <v>43331</v>
      </c>
      <c r="M903">
        <v>9.9700000000000006</v>
      </c>
      <c r="N903">
        <f t="shared" si="42"/>
        <v>1502086</v>
      </c>
      <c r="O903">
        <v>22703850</v>
      </c>
      <c r="P903" s="2">
        <f t="shared" si="43"/>
        <v>6.615996846349848</v>
      </c>
      <c r="Q903" s="4">
        <f t="shared" si="44"/>
        <v>22.635738450000002</v>
      </c>
    </row>
    <row r="904" spans="1:17" x14ac:dyDescent="0.4">
      <c r="A904">
        <v>20210819</v>
      </c>
      <c r="B904" s="1">
        <v>0.79166666666666663</v>
      </c>
      <c r="C904">
        <v>-38988</v>
      </c>
      <c r="D904">
        <v>-119149</v>
      </c>
      <c r="E904">
        <v>628230</v>
      </c>
      <c r="F904">
        <v>353906</v>
      </c>
      <c r="G904">
        <v>4884</v>
      </c>
      <c r="H904">
        <v>696107</v>
      </c>
      <c r="I904">
        <v>53658</v>
      </c>
      <c r="J904">
        <v>-521</v>
      </c>
      <c r="K904">
        <v>-5415</v>
      </c>
      <c r="L904">
        <v>39018</v>
      </c>
      <c r="M904">
        <v>9.81</v>
      </c>
      <c r="N904">
        <f t="shared" si="42"/>
        <v>1611730</v>
      </c>
      <c r="O904">
        <v>22445400</v>
      </c>
      <c r="P904" s="2">
        <f t="shared" si="43"/>
        <v>7.1806695358514441</v>
      </c>
      <c r="Q904" s="4">
        <f t="shared" si="44"/>
        <v>22.018937399999999</v>
      </c>
    </row>
    <row r="905" spans="1:17" x14ac:dyDescent="0.4">
      <c r="A905">
        <v>20210819</v>
      </c>
      <c r="B905" s="1">
        <v>0.8125</v>
      </c>
      <c r="C905">
        <v>-40314</v>
      </c>
      <c r="D905">
        <v>-195906</v>
      </c>
      <c r="E905">
        <v>675059</v>
      </c>
      <c r="F905">
        <v>328287</v>
      </c>
      <c r="G905">
        <v>11218</v>
      </c>
      <c r="H905">
        <v>623425</v>
      </c>
      <c r="I905">
        <v>113263</v>
      </c>
      <c r="J905">
        <v>8776</v>
      </c>
      <c r="K905">
        <v>148764</v>
      </c>
      <c r="L905">
        <v>39958</v>
      </c>
      <c r="M905">
        <v>9.4600000000000009</v>
      </c>
      <c r="N905">
        <f t="shared" si="42"/>
        <v>1712530</v>
      </c>
      <c r="O905">
        <v>22375050</v>
      </c>
      <c r="P905" s="2">
        <f t="shared" si="43"/>
        <v>7.6537482597804249</v>
      </c>
      <c r="Q905" s="4">
        <f t="shared" si="44"/>
        <v>21.166797300000002</v>
      </c>
    </row>
    <row r="906" spans="1:17" x14ac:dyDescent="0.4">
      <c r="A906">
        <v>20210819</v>
      </c>
      <c r="B906" s="1">
        <v>0.83333333333333337</v>
      </c>
      <c r="C906">
        <v>-2770</v>
      </c>
      <c r="D906">
        <v>-27052</v>
      </c>
      <c r="E906">
        <v>638332</v>
      </c>
      <c r="F906">
        <v>339300</v>
      </c>
      <c r="G906">
        <v>18021</v>
      </c>
      <c r="H906">
        <v>498463</v>
      </c>
      <c r="I906">
        <v>108204</v>
      </c>
      <c r="J906">
        <v>23228</v>
      </c>
      <c r="K906">
        <v>184077</v>
      </c>
      <c r="L906">
        <v>31092</v>
      </c>
      <c r="M906">
        <v>8.86</v>
      </c>
      <c r="N906">
        <f t="shared" si="42"/>
        <v>1810895</v>
      </c>
      <c r="O906">
        <v>21609150</v>
      </c>
      <c r="P906" s="2">
        <f t="shared" si="43"/>
        <v>8.3802231924902184</v>
      </c>
      <c r="Q906" s="4">
        <f t="shared" si="44"/>
        <v>19.1457069</v>
      </c>
    </row>
    <row r="907" spans="1:17" x14ac:dyDescent="0.4">
      <c r="A907">
        <v>20210819</v>
      </c>
      <c r="B907" s="1">
        <v>0.85416666666666663</v>
      </c>
      <c r="C907">
        <v>37866</v>
      </c>
      <c r="D907">
        <v>-8179</v>
      </c>
      <c r="E907">
        <v>752690</v>
      </c>
      <c r="F907">
        <v>310246</v>
      </c>
      <c r="G907">
        <v>9708</v>
      </c>
      <c r="H907">
        <v>557122</v>
      </c>
      <c r="I907">
        <v>138307</v>
      </c>
      <c r="J907">
        <v>15463</v>
      </c>
      <c r="K907">
        <v>227055</v>
      </c>
      <c r="L907">
        <v>36162</v>
      </c>
      <c r="M907">
        <v>8.86</v>
      </c>
      <c r="N907">
        <f t="shared" si="42"/>
        <v>2076440</v>
      </c>
      <c r="O907">
        <v>21675700</v>
      </c>
      <c r="P907" s="2">
        <f t="shared" si="43"/>
        <v>9.5795752847658893</v>
      </c>
      <c r="Q907" s="4">
        <f t="shared" si="44"/>
        <v>19.204670199999999</v>
      </c>
    </row>
    <row r="908" spans="1:17" x14ac:dyDescent="0.4">
      <c r="A908">
        <v>20210819</v>
      </c>
      <c r="B908" s="1">
        <v>0.875</v>
      </c>
      <c r="C908">
        <v>-9922</v>
      </c>
      <c r="D908">
        <v>-60699</v>
      </c>
      <c r="E908">
        <v>329082</v>
      </c>
      <c r="F908">
        <v>238667</v>
      </c>
      <c r="G908">
        <v>9553</v>
      </c>
      <c r="H908">
        <v>503118</v>
      </c>
      <c r="I908">
        <v>183289</v>
      </c>
      <c r="J908">
        <v>23783</v>
      </c>
      <c r="K908">
        <v>141785</v>
      </c>
      <c r="L908">
        <v>29605</v>
      </c>
      <c r="M908">
        <v>7.92</v>
      </c>
      <c r="N908">
        <f t="shared" si="42"/>
        <v>1388261</v>
      </c>
      <c r="O908">
        <v>21365350</v>
      </c>
      <c r="P908" s="2">
        <f t="shared" si="43"/>
        <v>6.4977217784871302</v>
      </c>
      <c r="Q908" s="4">
        <f t="shared" si="44"/>
        <v>16.921357199999999</v>
      </c>
    </row>
    <row r="909" spans="1:17" x14ac:dyDescent="0.4">
      <c r="A909">
        <v>20210819</v>
      </c>
      <c r="B909" s="1">
        <v>0.89583333333333337</v>
      </c>
      <c r="C909">
        <v>63187</v>
      </c>
      <c r="D909">
        <v>-68404</v>
      </c>
      <c r="E909">
        <v>289110</v>
      </c>
      <c r="F909">
        <v>241667</v>
      </c>
      <c r="G909">
        <v>19907</v>
      </c>
      <c r="H909">
        <v>444238</v>
      </c>
      <c r="I909">
        <v>189235</v>
      </c>
      <c r="J909">
        <v>30998</v>
      </c>
      <c r="K909">
        <v>134876</v>
      </c>
      <c r="L909">
        <v>32532</v>
      </c>
      <c r="M909">
        <v>7.54</v>
      </c>
      <c r="N909">
        <f t="shared" si="42"/>
        <v>1377346</v>
      </c>
      <c r="O909">
        <v>21111200</v>
      </c>
      <c r="P909" s="2">
        <f t="shared" si="43"/>
        <v>6.5242430558187126</v>
      </c>
      <c r="Q909" s="4">
        <f t="shared" si="44"/>
        <v>15.917844799999999</v>
      </c>
    </row>
    <row r="910" spans="1:17" x14ac:dyDescent="0.4">
      <c r="A910">
        <v>20210819</v>
      </c>
      <c r="B910" s="1">
        <v>0.91666666666666663</v>
      </c>
      <c r="C910">
        <v>46036</v>
      </c>
      <c r="D910">
        <v>37074</v>
      </c>
      <c r="E910">
        <v>272465</v>
      </c>
      <c r="F910">
        <v>227063</v>
      </c>
      <c r="G910">
        <v>17896</v>
      </c>
      <c r="H910">
        <v>413650</v>
      </c>
      <c r="I910">
        <v>200419</v>
      </c>
      <c r="J910">
        <v>34928</v>
      </c>
      <c r="K910">
        <v>128986</v>
      </c>
      <c r="L910">
        <v>20975</v>
      </c>
      <c r="M910">
        <v>7.31</v>
      </c>
      <c r="N910">
        <f t="shared" si="42"/>
        <v>1399492</v>
      </c>
      <c r="O910">
        <v>20737650</v>
      </c>
      <c r="P910" s="2">
        <f t="shared" si="43"/>
        <v>6.7485563696947342</v>
      </c>
      <c r="Q910" s="4">
        <f t="shared" si="44"/>
        <v>15.15922215</v>
      </c>
    </row>
    <row r="911" spans="1:17" x14ac:dyDescent="0.4">
      <c r="A911">
        <v>20210819</v>
      </c>
      <c r="B911" s="1">
        <v>0.9375</v>
      </c>
      <c r="C911">
        <v>-26502</v>
      </c>
      <c r="D911">
        <v>-6815</v>
      </c>
      <c r="E911">
        <v>345102</v>
      </c>
      <c r="F911">
        <v>231121</v>
      </c>
      <c r="G911">
        <v>26639</v>
      </c>
      <c r="H911">
        <v>368038</v>
      </c>
      <c r="I911">
        <v>161814</v>
      </c>
      <c r="J911">
        <v>17261</v>
      </c>
      <c r="K911">
        <v>154072</v>
      </c>
      <c r="L911">
        <v>18867</v>
      </c>
      <c r="M911">
        <v>7.08</v>
      </c>
      <c r="N911">
        <f t="shared" si="42"/>
        <v>1289597</v>
      </c>
      <c r="O911">
        <v>20688850</v>
      </c>
      <c r="P911" s="2">
        <f t="shared" si="43"/>
        <v>6.2332947457205208</v>
      </c>
      <c r="Q911" s="4">
        <f t="shared" si="44"/>
        <v>14.647705800000001</v>
      </c>
    </row>
    <row r="912" spans="1:17" x14ac:dyDescent="0.4">
      <c r="A912">
        <v>20210819</v>
      </c>
      <c r="B912" s="1">
        <v>0.95833333333333337</v>
      </c>
      <c r="C912">
        <v>28589</v>
      </c>
      <c r="D912">
        <v>5461</v>
      </c>
      <c r="E912">
        <v>209927</v>
      </c>
      <c r="F912">
        <v>192736</v>
      </c>
      <c r="G912">
        <v>31855</v>
      </c>
      <c r="H912">
        <v>353221</v>
      </c>
      <c r="I912">
        <v>127593</v>
      </c>
      <c r="J912">
        <v>17247</v>
      </c>
      <c r="K912">
        <v>138078</v>
      </c>
      <c r="L912">
        <v>22871</v>
      </c>
      <c r="M912">
        <v>6.85</v>
      </c>
      <c r="N912">
        <f t="shared" si="42"/>
        <v>1127578</v>
      </c>
      <c r="O912">
        <v>20478050</v>
      </c>
      <c r="P912" s="2">
        <f t="shared" si="43"/>
        <v>5.5062762323561083</v>
      </c>
      <c r="Q912" s="4">
        <f t="shared" si="44"/>
        <v>14.02746425</v>
      </c>
    </row>
    <row r="913" spans="1:17" x14ac:dyDescent="0.4">
      <c r="A913">
        <v>20210819</v>
      </c>
      <c r="B913" s="1">
        <v>0.97916666666666663</v>
      </c>
      <c r="C913">
        <v>39252</v>
      </c>
      <c r="D913">
        <v>-35456</v>
      </c>
      <c r="E913">
        <v>241515</v>
      </c>
      <c r="F913">
        <v>195775</v>
      </c>
      <c r="G913">
        <v>50934</v>
      </c>
      <c r="H913">
        <v>409993</v>
      </c>
      <c r="I913">
        <v>116539</v>
      </c>
      <c r="J913">
        <v>13828</v>
      </c>
      <c r="K913">
        <v>54716</v>
      </c>
      <c r="L913">
        <v>26806</v>
      </c>
      <c r="M913">
        <v>6.72</v>
      </c>
      <c r="N913">
        <f t="shared" si="42"/>
        <v>1113902</v>
      </c>
      <c r="O913">
        <v>19770750</v>
      </c>
      <c r="P913" s="2">
        <f t="shared" si="43"/>
        <v>5.6340907653983789</v>
      </c>
      <c r="Q913" s="4">
        <f t="shared" si="44"/>
        <v>13.285944000000001</v>
      </c>
    </row>
    <row r="914" spans="1:17" x14ac:dyDescent="0.4">
      <c r="A914">
        <v>20210820</v>
      </c>
      <c r="B914" s="1">
        <v>0</v>
      </c>
      <c r="C914">
        <v>50171</v>
      </c>
      <c r="D914">
        <v>55168</v>
      </c>
      <c r="E914">
        <v>62328</v>
      </c>
      <c r="F914">
        <v>152377</v>
      </c>
      <c r="G914">
        <v>33258</v>
      </c>
      <c r="H914">
        <v>371759</v>
      </c>
      <c r="I914">
        <v>-9093</v>
      </c>
      <c r="J914">
        <v>-13200</v>
      </c>
      <c r="K914">
        <v>-8427</v>
      </c>
      <c r="L914">
        <v>15723</v>
      </c>
      <c r="M914">
        <v>6.41</v>
      </c>
      <c r="N914">
        <f t="shared" si="42"/>
        <v>710064</v>
      </c>
      <c r="O914">
        <v>18525350</v>
      </c>
      <c r="P914" s="2">
        <f t="shared" si="43"/>
        <v>3.8329316315211317</v>
      </c>
      <c r="Q914" s="4">
        <f t="shared" si="44"/>
        <v>11.87474935</v>
      </c>
    </row>
    <row r="915" spans="1:17" x14ac:dyDescent="0.4">
      <c r="A915">
        <v>20210820</v>
      </c>
      <c r="B915" s="1">
        <v>2.0833333333333332E-2</v>
      </c>
      <c r="C915">
        <v>60237</v>
      </c>
      <c r="D915">
        <v>59192</v>
      </c>
      <c r="E915">
        <v>108427</v>
      </c>
      <c r="F915">
        <v>199416</v>
      </c>
      <c r="G915">
        <v>38435</v>
      </c>
      <c r="H915">
        <v>337165</v>
      </c>
      <c r="I915">
        <v>25132</v>
      </c>
      <c r="J915">
        <v>-27912</v>
      </c>
      <c r="K915">
        <v>2045</v>
      </c>
      <c r="L915">
        <v>27646</v>
      </c>
      <c r="M915">
        <v>6.3</v>
      </c>
      <c r="N915">
        <f t="shared" si="42"/>
        <v>829783</v>
      </c>
      <c r="O915">
        <v>19332950</v>
      </c>
      <c r="P915" s="2">
        <f t="shared" si="43"/>
        <v>4.2920661357940721</v>
      </c>
      <c r="Q915" s="4">
        <f t="shared" si="44"/>
        <v>12.1797585</v>
      </c>
    </row>
    <row r="916" spans="1:17" x14ac:dyDescent="0.4">
      <c r="A916">
        <v>20210820</v>
      </c>
      <c r="B916" s="1">
        <v>4.1666666666666664E-2</v>
      </c>
      <c r="C916">
        <v>70961</v>
      </c>
      <c r="D916">
        <v>-3034</v>
      </c>
      <c r="E916">
        <v>-47225</v>
      </c>
      <c r="F916">
        <v>136753</v>
      </c>
      <c r="G916">
        <v>33795</v>
      </c>
      <c r="H916">
        <v>333282</v>
      </c>
      <c r="I916">
        <v>18298</v>
      </c>
      <c r="J916">
        <v>-15697</v>
      </c>
      <c r="K916">
        <v>-51501</v>
      </c>
      <c r="L916">
        <v>14817</v>
      </c>
      <c r="M916">
        <v>6.19</v>
      </c>
      <c r="N916">
        <f t="shared" si="42"/>
        <v>490449</v>
      </c>
      <c r="O916">
        <v>19157300</v>
      </c>
      <c r="P916" s="2">
        <f t="shared" si="43"/>
        <v>2.5601154651229558</v>
      </c>
      <c r="Q916" s="4">
        <f t="shared" si="44"/>
        <v>11.858368700000002</v>
      </c>
    </row>
    <row r="917" spans="1:17" x14ac:dyDescent="0.4">
      <c r="A917">
        <v>20210820</v>
      </c>
      <c r="B917" s="1">
        <v>6.25E-2</v>
      </c>
      <c r="C917">
        <v>40674</v>
      </c>
      <c r="D917">
        <v>40609</v>
      </c>
      <c r="E917">
        <v>136892</v>
      </c>
      <c r="F917">
        <v>90085</v>
      </c>
      <c r="G917">
        <v>45893</v>
      </c>
      <c r="H917">
        <v>249969</v>
      </c>
      <c r="I917">
        <v>14836</v>
      </c>
      <c r="J917">
        <v>-28526</v>
      </c>
      <c r="K917">
        <v>-48690</v>
      </c>
      <c r="L917">
        <v>26649</v>
      </c>
      <c r="M917">
        <v>6.02</v>
      </c>
      <c r="N917">
        <f t="shared" si="42"/>
        <v>568391</v>
      </c>
      <c r="O917">
        <v>19207550</v>
      </c>
      <c r="P917" s="2">
        <f t="shared" si="43"/>
        <v>2.9592061455000769</v>
      </c>
      <c r="Q917" s="4">
        <f t="shared" si="44"/>
        <v>11.562945099999999</v>
      </c>
    </row>
    <row r="918" spans="1:17" x14ac:dyDescent="0.4">
      <c r="A918">
        <v>20210820</v>
      </c>
      <c r="B918" s="1">
        <v>8.3333333333333329E-2</v>
      </c>
      <c r="C918">
        <v>43277</v>
      </c>
      <c r="D918">
        <v>-20700</v>
      </c>
      <c r="E918">
        <v>58521</v>
      </c>
      <c r="F918">
        <v>66573</v>
      </c>
      <c r="G918">
        <v>29423</v>
      </c>
      <c r="H918">
        <v>283957</v>
      </c>
      <c r="I918">
        <v>56260</v>
      </c>
      <c r="J918">
        <v>-18710</v>
      </c>
      <c r="K918">
        <v>-60103</v>
      </c>
      <c r="L918">
        <v>22162</v>
      </c>
      <c r="M918">
        <v>6.02</v>
      </c>
      <c r="N918">
        <f t="shared" si="42"/>
        <v>460660</v>
      </c>
      <c r="O918">
        <v>19155000</v>
      </c>
      <c r="P918" s="2">
        <f t="shared" si="43"/>
        <v>2.4049073348995043</v>
      </c>
      <c r="Q918" s="4">
        <f t="shared" si="44"/>
        <v>11.531309999999998</v>
      </c>
    </row>
    <row r="919" spans="1:17" x14ac:dyDescent="0.4">
      <c r="A919">
        <v>20210820</v>
      </c>
      <c r="B919" s="1">
        <v>0.10416666666666667</v>
      </c>
      <c r="C919">
        <v>42682</v>
      </c>
      <c r="D919">
        <v>3319</v>
      </c>
      <c r="E919">
        <v>59732</v>
      </c>
      <c r="F919">
        <v>88180</v>
      </c>
      <c r="G919">
        <v>46449</v>
      </c>
      <c r="H919">
        <v>231915</v>
      </c>
      <c r="I919">
        <v>3144</v>
      </c>
      <c r="J919">
        <v>-27317</v>
      </c>
      <c r="K919">
        <v>-49268</v>
      </c>
      <c r="L919">
        <v>15707</v>
      </c>
      <c r="M919">
        <v>6.02</v>
      </c>
      <c r="N919">
        <f t="shared" si="42"/>
        <v>414543</v>
      </c>
      <c r="O919">
        <v>19129050</v>
      </c>
      <c r="P919" s="2">
        <f t="shared" si="43"/>
        <v>2.1670861856704855</v>
      </c>
      <c r="Q919" s="4">
        <f t="shared" si="44"/>
        <v>11.515688099999998</v>
      </c>
    </row>
    <row r="920" spans="1:17" x14ac:dyDescent="0.4">
      <c r="A920">
        <v>20210820</v>
      </c>
      <c r="B920" s="1">
        <v>0.125</v>
      </c>
      <c r="C920">
        <v>-5426</v>
      </c>
      <c r="D920">
        <v>-3458</v>
      </c>
      <c r="E920">
        <v>43752</v>
      </c>
      <c r="F920">
        <v>10049</v>
      </c>
      <c r="G920">
        <v>30694</v>
      </c>
      <c r="H920">
        <v>311026</v>
      </c>
      <c r="I920">
        <v>-17301</v>
      </c>
      <c r="J920">
        <v>-29929</v>
      </c>
      <c r="K920">
        <v>-124509</v>
      </c>
      <c r="L920">
        <v>18900</v>
      </c>
      <c r="M920">
        <v>6.28</v>
      </c>
      <c r="N920">
        <f t="shared" si="42"/>
        <v>233798</v>
      </c>
      <c r="O920">
        <v>18954450</v>
      </c>
      <c r="P920" s="2">
        <f t="shared" si="43"/>
        <v>1.2334728784005866</v>
      </c>
      <c r="Q920" s="4">
        <f t="shared" si="44"/>
        <v>11.9033946</v>
      </c>
    </row>
    <row r="921" spans="1:17" x14ac:dyDescent="0.4">
      <c r="A921">
        <v>20210820</v>
      </c>
      <c r="B921" s="1">
        <v>0.14583333333333334</v>
      </c>
      <c r="C921">
        <v>-2605</v>
      </c>
      <c r="D921">
        <v>70227</v>
      </c>
      <c r="E921">
        <v>157803</v>
      </c>
      <c r="F921">
        <v>42314</v>
      </c>
      <c r="G921">
        <v>49180</v>
      </c>
      <c r="H921">
        <v>214383</v>
      </c>
      <c r="I921">
        <v>-70888</v>
      </c>
      <c r="J921">
        <v>-37397</v>
      </c>
      <c r="K921">
        <v>-99420</v>
      </c>
      <c r="L921">
        <v>14707</v>
      </c>
      <c r="M921">
        <v>6.27</v>
      </c>
      <c r="N921">
        <f t="shared" si="42"/>
        <v>338304</v>
      </c>
      <c r="O921">
        <v>18875950</v>
      </c>
      <c r="P921" s="2">
        <f t="shared" si="43"/>
        <v>1.7922488669444452</v>
      </c>
      <c r="Q921" s="4">
        <f t="shared" si="44"/>
        <v>11.835220649999998</v>
      </c>
    </row>
    <row r="922" spans="1:17" x14ac:dyDescent="0.4">
      <c r="A922">
        <v>20210820</v>
      </c>
      <c r="B922" s="1">
        <v>0.16666666666666666</v>
      </c>
      <c r="C922">
        <v>-2139</v>
      </c>
      <c r="D922">
        <v>5816</v>
      </c>
      <c r="E922">
        <v>41405</v>
      </c>
      <c r="F922">
        <v>40424</v>
      </c>
      <c r="G922">
        <v>40023</v>
      </c>
      <c r="H922">
        <v>263877</v>
      </c>
      <c r="I922">
        <v>-273</v>
      </c>
      <c r="J922">
        <v>-33063</v>
      </c>
      <c r="K922">
        <v>-96838</v>
      </c>
      <c r="L922">
        <v>20081</v>
      </c>
      <c r="M922">
        <v>6.27</v>
      </c>
      <c r="N922">
        <f t="shared" si="42"/>
        <v>279313</v>
      </c>
      <c r="O922">
        <v>18893350</v>
      </c>
      <c r="P922" s="2">
        <f t="shared" si="43"/>
        <v>1.4783667269171428</v>
      </c>
      <c r="Q922" s="4">
        <f t="shared" si="44"/>
        <v>11.846130449999999</v>
      </c>
    </row>
    <row r="923" spans="1:17" x14ac:dyDescent="0.4">
      <c r="A923">
        <v>20210820</v>
      </c>
      <c r="B923" s="1">
        <v>0.1875</v>
      </c>
      <c r="C923">
        <v>44089</v>
      </c>
      <c r="D923">
        <v>24250</v>
      </c>
      <c r="E923">
        <v>-359</v>
      </c>
      <c r="F923">
        <v>49252</v>
      </c>
      <c r="G923">
        <v>23702</v>
      </c>
      <c r="H923">
        <v>284716</v>
      </c>
      <c r="I923">
        <v>-89388</v>
      </c>
      <c r="J923">
        <v>-36666</v>
      </c>
      <c r="K923">
        <v>-72517</v>
      </c>
      <c r="L923">
        <v>7547</v>
      </c>
      <c r="M923">
        <v>6.27</v>
      </c>
      <c r="N923">
        <f t="shared" si="42"/>
        <v>234626</v>
      </c>
      <c r="O923">
        <v>18953450</v>
      </c>
      <c r="P923" s="2">
        <f t="shared" si="43"/>
        <v>1.2379065552709401</v>
      </c>
      <c r="Q923" s="4">
        <f t="shared" si="44"/>
        <v>11.883813149999998</v>
      </c>
    </row>
    <row r="924" spans="1:17" x14ac:dyDescent="0.4">
      <c r="A924">
        <v>20210820</v>
      </c>
      <c r="B924" s="1">
        <v>0.20833333333333334</v>
      </c>
      <c r="C924">
        <v>43195</v>
      </c>
      <c r="D924">
        <v>-13029</v>
      </c>
      <c r="E924">
        <v>164443</v>
      </c>
      <c r="F924">
        <v>17666</v>
      </c>
      <c r="G924">
        <v>13567</v>
      </c>
      <c r="H924">
        <v>271924</v>
      </c>
      <c r="I924">
        <v>-45358</v>
      </c>
      <c r="J924">
        <v>-54573</v>
      </c>
      <c r="K924">
        <v>-44324</v>
      </c>
      <c r="L924">
        <v>23989</v>
      </c>
      <c r="M924">
        <v>6.26</v>
      </c>
      <c r="N924">
        <f t="shared" si="42"/>
        <v>377500</v>
      </c>
      <c r="O924">
        <v>19050950</v>
      </c>
      <c r="P924" s="2">
        <f t="shared" si="43"/>
        <v>1.9815284802070239</v>
      </c>
      <c r="Q924" s="4">
        <f t="shared" si="44"/>
        <v>11.925894700000001</v>
      </c>
    </row>
    <row r="925" spans="1:17" x14ac:dyDescent="0.4">
      <c r="A925">
        <v>20210820</v>
      </c>
      <c r="B925" s="1">
        <v>0.22916666666666666</v>
      </c>
      <c r="C925">
        <v>39019</v>
      </c>
      <c r="D925">
        <v>98529</v>
      </c>
      <c r="E925">
        <v>137344</v>
      </c>
      <c r="F925">
        <v>72786</v>
      </c>
      <c r="G925">
        <v>7632</v>
      </c>
      <c r="H925">
        <v>326448</v>
      </c>
      <c r="I925">
        <v>-105838</v>
      </c>
      <c r="J925">
        <v>-56987</v>
      </c>
      <c r="K925">
        <v>42782</v>
      </c>
      <c r="L925">
        <v>16025</v>
      </c>
      <c r="M925">
        <v>6.26</v>
      </c>
      <c r="N925">
        <f t="shared" si="42"/>
        <v>577740</v>
      </c>
      <c r="O925">
        <v>19302500</v>
      </c>
      <c r="P925" s="2">
        <f t="shared" si="43"/>
        <v>2.9930837974355655</v>
      </c>
      <c r="Q925" s="4">
        <f t="shared" si="44"/>
        <v>12.083365000000001</v>
      </c>
    </row>
    <row r="926" spans="1:17" x14ac:dyDescent="0.4">
      <c r="A926">
        <v>20210820</v>
      </c>
      <c r="B926" s="1">
        <v>0.25</v>
      </c>
      <c r="C926">
        <v>38840</v>
      </c>
      <c r="D926">
        <v>107966</v>
      </c>
      <c r="E926">
        <v>169182</v>
      </c>
      <c r="F926">
        <v>31207</v>
      </c>
      <c r="G926">
        <v>-2383</v>
      </c>
      <c r="H926">
        <v>234090</v>
      </c>
      <c r="I926">
        <v>-43233</v>
      </c>
      <c r="J926">
        <v>-44817</v>
      </c>
      <c r="K926">
        <v>6518</v>
      </c>
      <c r="L926">
        <v>25116</v>
      </c>
      <c r="M926">
        <v>6.06</v>
      </c>
      <c r="N926">
        <f t="shared" si="42"/>
        <v>522486</v>
      </c>
      <c r="O926">
        <v>19826300</v>
      </c>
      <c r="P926" s="2">
        <f t="shared" si="43"/>
        <v>2.6353177345243441</v>
      </c>
      <c r="Q926" s="4">
        <f t="shared" si="44"/>
        <v>12.014737799999999</v>
      </c>
    </row>
    <row r="927" spans="1:17" x14ac:dyDescent="0.4">
      <c r="A927">
        <v>20210820</v>
      </c>
      <c r="B927" s="1">
        <v>0.27083333333333331</v>
      </c>
      <c r="C927">
        <v>7366</v>
      </c>
      <c r="D927">
        <v>242914</v>
      </c>
      <c r="E927">
        <v>208196</v>
      </c>
      <c r="F927">
        <v>-74851</v>
      </c>
      <c r="G927">
        <v>12570</v>
      </c>
      <c r="H927">
        <v>296570</v>
      </c>
      <c r="I927">
        <v>-112452</v>
      </c>
      <c r="J927">
        <v>-67186</v>
      </c>
      <c r="K927">
        <v>-10863</v>
      </c>
      <c r="L927">
        <v>14798</v>
      </c>
      <c r="M927">
        <v>6.19</v>
      </c>
      <c r="N927">
        <f t="shared" si="42"/>
        <v>517062</v>
      </c>
      <c r="O927">
        <v>20263900</v>
      </c>
      <c r="P927" s="2">
        <f t="shared" si="43"/>
        <v>2.5516410957416884</v>
      </c>
      <c r="Q927" s="4">
        <f t="shared" si="44"/>
        <v>12.543354100000002</v>
      </c>
    </row>
    <row r="928" spans="1:17" x14ac:dyDescent="0.4">
      <c r="A928">
        <v>20210820</v>
      </c>
      <c r="B928" s="1">
        <v>0.29166666666666669</v>
      </c>
      <c r="C928">
        <v>130243</v>
      </c>
      <c r="D928">
        <v>367788</v>
      </c>
      <c r="E928">
        <v>361758</v>
      </c>
      <c r="F928">
        <v>55066</v>
      </c>
      <c r="G928">
        <v>54774</v>
      </c>
      <c r="H928">
        <v>350306</v>
      </c>
      <c r="I928">
        <v>49500</v>
      </c>
      <c r="J928">
        <v>-58263</v>
      </c>
      <c r="K928">
        <v>-205280</v>
      </c>
      <c r="L928">
        <v>19419</v>
      </c>
      <c r="M928">
        <v>6.19</v>
      </c>
      <c r="N928">
        <f t="shared" si="42"/>
        <v>1125311</v>
      </c>
      <c r="O928">
        <v>21257950</v>
      </c>
      <c r="P928" s="2">
        <f t="shared" si="43"/>
        <v>5.2936007470146462</v>
      </c>
      <c r="Q928" s="4">
        <f t="shared" si="44"/>
        <v>13.158671050000002</v>
      </c>
    </row>
    <row r="929" spans="1:17" x14ac:dyDescent="0.4">
      <c r="A929">
        <v>20210820</v>
      </c>
      <c r="B929" s="1">
        <v>0.3125</v>
      </c>
      <c r="C929">
        <v>113109</v>
      </c>
      <c r="D929">
        <v>525044</v>
      </c>
      <c r="E929">
        <v>349346</v>
      </c>
      <c r="F929">
        <v>-463542</v>
      </c>
      <c r="G929">
        <v>46054</v>
      </c>
      <c r="H929">
        <v>279526</v>
      </c>
      <c r="I929">
        <v>178420</v>
      </c>
      <c r="J929">
        <v>-128063</v>
      </c>
      <c r="K929">
        <v>-436354</v>
      </c>
      <c r="L929">
        <v>29821</v>
      </c>
      <c r="M929">
        <v>6.44</v>
      </c>
      <c r="N929">
        <f t="shared" si="42"/>
        <v>493361</v>
      </c>
      <c r="O929">
        <v>21920600</v>
      </c>
      <c r="P929" s="2">
        <f t="shared" si="43"/>
        <v>2.2506728830415228</v>
      </c>
      <c r="Q929" s="4">
        <f t="shared" si="44"/>
        <v>14.116866399999999</v>
      </c>
    </row>
    <row r="930" spans="1:17" x14ac:dyDescent="0.4">
      <c r="A930">
        <v>20210820</v>
      </c>
      <c r="B930" s="1">
        <v>0.33333333333333331</v>
      </c>
      <c r="C930">
        <v>106640</v>
      </c>
      <c r="D930">
        <v>522750</v>
      </c>
      <c r="E930">
        <v>744838</v>
      </c>
      <c r="F930">
        <v>-666878</v>
      </c>
      <c r="G930">
        <v>80590</v>
      </c>
      <c r="H930">
        <v>269887</v>
      </c>
      <c r="I930">
        <v>-58075</v>
      </c>
      <c r="J930">
        <v>-150587</v>
      </c>
      <c r="K930">
        <v>-582247</v>
      </c>
      <c r="L930">
        <v>45289</v>
      </c>
      <c r="M930">
        <v>6.63</v>
      </c>
      <c r="N930">
        <f t="shared" si="42"/>
        <v>312207</v>
      </c>
      <c r="O930">
        <v>23430000</v>
      </c>
      <c r="P930" s="2">
        <f t="shared" si="43"/>
        <v>1.3325096030729833</v>
      </c>
      <c r="Q930" s="4">
        <f t="shared" si="44"/>
        <v>15.534090000000001</v>
      </c>
    </row>
    <row r="931" spans="1:17" x14ac:dyDescent="0.4">
      <c r="A931">
        <v>20210820</v>
      </c>
      <c r="B931" s="1">
        <v>0.35416666666666669</v>
      </c>
      <c r="C931">
        <v>108672</v>
      </c>
      <c r="D931">
        <v>511891</v>
      </c>
      <c r="E931">
        <v>597083</v>
      </c>
      <c r="F931">
        <v>-856531</v>
      </c>
      <c r="G931">
        <v>103333</v>
      </c>
      <c r="H931">
        <v>180646</v>
      </c>
      <c r="I931">
        <v>-136171</v>
      </c>
      <c r="J931">
        <v>-185100</v>
      </c>
      <c r="K931">
        <v>-709164</v>
      </c>
      <c r="L931">
        <v>34300</v>
      </c>
      <c r="M931">
        <v>6.96</v>
      </c>
      <c r="N931">
        <f t="shared" si="42"/>
        <v>-351041</v>
      </c>
      <c r="O931">
        <v>23784550</v>
      </c>
      <c r="P931" s="2">
        <f t="shared" si="43"/>
        <v>-1.4759202927951127</v>
      </c>
      <c r="Q931" s="4">
        <f t="shared" si="44"/>
        <v>16.554046799999998</v>
      </c>
    </row>
    <row r="932" spans="1:17" x14ac:dyDescent="0.4">
      <c r="A932">
        <v>20210820</v>
      </c>
      <c r="B932" s="1">
        <v>0.375</v>
      </c>
      <c r="C932">
        <v>111948</v>
      </c>
      <c r="D932">
        <v>438744</v>
      </c>
      <c r="E932">
        <v>712989</v>
      </c>
      <c r="F932">
        <v>-896566</v>
      </c>
      <c r="G932">
        <v>120742</v>
      </c>
      <c r="H932">
        <v>25617</v>
      </c>
      <c r="I932">
        <v>-220297</v>
      </c>
      <c r="J932">
        <v>-189320</v>
      </c>
      <c r="K932">
        <v>-891388</v>
      </c>
      <c r="L932">
        <v>9156</v>
      </c>
      <c r="M932">
        <v>7.68</v>
      </c>
      <c r="N932">
        <f t="shared" si="42"/>
        <v>-778375</v>
      </c>
      <c r="O932">
        <v>24124950</v>
      </c>
      <c r="P932" s="2">
        <f t="shared" si="43"/>
        <v>-3.2264315573711033</v>
      </c>
      <c r="Q932" s="4">
        <f t="shared" si="44"/>
        <v>18.527961600000001</v>
      </c>
    </row>
    <row r="933" spans="1:17" x14ac:dyDescent="0.4">
      <c r="A933">
        <v>20210820</v>
      </c>
      <c r="B933" s="1">
        <v>0.39583333333333331</v>
      </c>
      <c r="C933">
        <v>107823</v>
      </c>
      <c r="D933">
        <v>498053</v>
      </c>
      <c r="E933">
        <v>60227</v>
      </c>
      <c r="F933">
        <v>-564030</v>
      </c>
      <c r="G933">
        <v>99265</v>
      </c>
      <c r="H933">
        <v>-275193</v>
      </c>
      <c r="I933">
        <v>-186675</v>
      </c>
      <c r="J933">
        <v>-121271</v>
      </c>
      <c r="K933">
        <v>-892896</v>
      </c>
      <c r="L933">
        <v>2393</v>
      </c>
      <c r="M933">
        <v>7.39</v>
      </c>
      <c r="N933">
        <f t="shared" si="42"/>
        <v>-1272304</v>
      </c>
      <c r="O933">
        <v>25178700</v>
      </c>
      <c r="P933" s="2">
        <f t="shared" si="43"/>
        <v>-5.0530964664577596</v>
      </c>
      <c r="Q933" s="4">
        <f t="shared" si="44"/>
        <v>18.6070593</v>
      </c>
    </row>
    <row r="934" spans="1:17" x14ac:dyDescent="0.4">
      <c r="A934">
        <v>20210820</v>
      </c>
      <c r="B934" s="1">
        <v>0.41666666666666669</v>
      </c>
      <c r="C934">
        <v>116250</v>
      </c>
      <c r="D934">
        <v>411218</v>
      </c>
      <c r="E934">
        <v>121443</v>
      </c>
      <c r="F934">
        <v>-306786</v>
      </c>
      <c r="G934">
        <v>93555</v>
      </c>
      <c r="H934">
        <v>-413361</v>
      </c>
      <c r="I934">
        <v>-221825</v>
      </c>
      <c r="J934">
        <v>-74140</v>
      </c>
      <c r="K934">
        <v>-733567</v>
      </c>
      <c r="L934">
        <v>17710</v>
      </c>
      <c r="M934">
        <v>7.86</v>
      </c>
      <c r="N934">
        <f t="shared" si="42"/>
        <v>-989503</v>
      </c>
      <c r="O934">
        <v>25343900</v>
      </c>
      <c r="P934" s="2">
        <f t="shared" si="43"/>
        <v>-3.9043043888272919</v>
      </c>
      <c r="Q934" s="4">
        <f t="shared" si="44"/>
        <v>19.9203054</v>
      </c>
    </row>
    <row r="935" spans="1:17" x14ac:dyDescent="0.4">
      <c r="A935">
        <v>20210820</v>
      </c>
      <c r="B935" s="1">
        <v>0.4375</v>
      </c>
      <c r="C935">
        <v>126751</v>
      </c>
      <c r="D935">
        <v>357030</v>
      </c>
      <c r="E935">
        <v>63643</v>
      </c>
      <c r="F935">
        <v>-106696</v>
      </c>
      <c r="G935">
        <v>121596</v>
      </c>
      <c r="H935">
        <v>-677637</v>
      </c>
      <c r="I935">
        <v>-157161</v>
      </c>
      <c r="J935">
        <v>-119126</v>
      </c>
      <c r="K935">
        <v>-550669</v>
      </c>
      <c r="L935">
        <v>23872</v>
      </c>
      <c r="M935">
        <v>7.93</v>
      </c>
      <c r="N935">
        <f t="shared" si="42"/>
        <v>-918397</v>
      </c>
      <c r="O935">
        <v>25464400</v>
      </c>
      <c r="P935" s="2">
        <f t="shared" si="43"/>
        <v>-3.6065919479744268</v>
      </c>
      <c r="Q935" s="4">
        <f t="shared" si="44"/>
        <v>20.1932692</v>
      </c>
    </row>
    <row r="936" spans="1:17" x14ac:dyDescent="0.4">
      <c r="A936">
        <v>20210820</v>
      </c>
      <c r="B936" s="1">
        <v>0.45833333333333331</v>
      </c>
      <c r="C936">
        <v>107797</v>
      </c>
      <c r="D936">
        <v>380676</v>
      </c>
      <c r="E936">
        <v>263645</v>
      </c>
      <c r="F936">
        <v>-114642</v>
      </c>
      <c r="G936">
        <v>115270</v>
      </c>
      <c r="H936">
        <v>-575306</v>
      </c>
      <c r="I936">
        <v>-123740</v>
      </c>
      <c r="J936">
        <v>-104510</v>
      </c>
      <c r="K936">
        <v>-317374</v>
      </c>
      <c r="L936">
        <v>36376</v>
      </c>
      <c r="M936">
        <v>8.39</v>
      </c>
      <c r="N936">
        <f t="shared" si="42"/>
        <v>-331808</v>
      </c>
      <c r="O936">
        <v>25706300</v>
      </c>
      <c r="P936" s="2">
        <f t="shared" si="43"/>
        <v>-1.2907652987788985</v>
      </c>
      <c r="Q936" s="4">
        <f t="shared" si="44"/>
        <v>21.567585699999999</v>
      </c>
    </row>
    <row r="937" spans="1:17" x14ac:dyDescent="0.4">
      <c r="A937">
        <v>20210820</v>
      </c>
      <c r="B937" s="1">
        <v>0.47916666666666669</v>
      </c>
      <c r="C937">
        <v>105197</v>
      </c>
      <c r="D937">
        <v>387679</v>
      </c>
      <c r="E937">
        <v>9735</v>
      </c>
      <c r="F937">
        <v>-292963</v>
      </c>
      <c r="G937">
        <v>71020</v>
      </c>
      <c r="H937">
        <v>-499608</v>
      </c>
      <c r="I937">
        <v>-139452</v>
      </c>
      <c r="J937">
        <v>-98367</v>
      </c>
      <c r="K937">
        <v>-330439</v>
      </c>
      <c r="L937">
        <v>34967</v>
      </c>
      <c r="M937">
        <v>8.39</v>
      </c>
      <c r="N937">
        <f t="shared" si="42"/>
        <v>-752231</v>
      </c>
      <c r="O937">
        <v>25641600</v>
      </c>
      <c r="P937" s="2">
        <f t="shared" si="43"/>
        <v>-2.9336351865718209</v>
      </c>
      <c r="Q937" s="4">
        <f t="shared" si="44"/>
        <v>21.513302400000001</v>
      </c>
    </row>
    <row r="938" spans="1:17" x14ac:dyDescent="0.4">
      <c r="A938">
        <v>20210820</v>
      </c>
      <c r="B938" s="1">
        <v>0.5</v>
      </c>
      <c r="C938">
        <v>139573</v>
      </c>
      <c r="D938">
        <v>354249</v>
      </c>
      <c r="E938">
        <v>-106657</v>
      </c>
      <c r="F938">
        <v>-306593</v>
      </c>
      <c r="G938">
        <v>56708</v>
      </c>
      <c r="H938">
        <v>-493852</v>
      </c>
      <c r="I938">
        <v>-45332</v>
      </c>
      <c r="J938">
        <v>-80559</v>
      </c>
      <c r="K938">
        <v>-161417</v>
      </c>
      <c r="L938">
        <v>27553</v>
      </c>
      <c r="M938">
        <v>7.93</v>
      </c>
      <c r="N938">
        <f t="shared" si="42"/>
        <v>-616327</v>
      </c>
      <c r="O938">
        <v>25588150</v>
      </c>
      <c r="P938" s="2">
        <f t="shared" si="43"/>
        <v>-2.408642281681169</v>
      </c>
      <c r="Q938" s="4">
        <f t="shared" si="44"/>
        <v>20.291402949999998</v>
      </c>
    </row>
    <row r="939" spans="1:17" x14ac:dyDescent="0.4">
      <c r="A939">
        <v>20210820</v>
      </c>
      <c r="B939" s="1">
        <v>0.52083333333333337</v>
      </c>
      <c r="C939">
        <v>100063</v>
      </c>
      <c r="D939">
        <v>383935</v>
      </c>
      <c r="E939">
        <v>-196291</v>
      </c>
      <c r="F939">
        <v>-321355</v>
      </c>
      <c r="G939">
        <v>20135</v>
      </c>
      <c r="H939">
        <v>-640991</v>
      </c>
      <c r="I939">
        <v>-65770</v>
      </c>
      <c r="J939">
        <v>-118715</v>
      </c>
      <c r="K939">
        <v>-81059</v>
      </c>
      <c r="L939">
        <v>26739</v>
      </c>
      <c r="M939">
        <v>7.93</v>
      </c>
      <c r="N939">
        <f t="shared" si="42"/>
        <v>-893309</v>
      </c>
      <c r="O939">
        <v>25538000</v>
      </c>
      <c r="P939" s="2">
        <f t="shared" si="43"/>
        <v>-3.4979599028898112</v>
      </c>
      <c r="Q939" s="4">
        <f t="shared" si="44"/>
        <v>20.251633999999999</v>
      </c>
    </row>
    <row r="940" spans="1:17" x14ac:dyDescent="0.4">
      <c r="A940">
        <v>20210820</v>
      </c>
      <c r="B940" s="1">
        <v>0.54166666666666663</v>
      </c>
      <c r="C940">
        <v>56827</v>
      </c>
      <c r="D940">
        <v>465417</v>
      </c>
      <c r="E940">
        <v>-236171</v>
      </c>
      <c r="F940">
        <v>-413284</v>
      </c>
      <c r="G940">
        <v>2012</v>
      </c>
      <c r="H940">
        <v>-772144</v>
      </c>
      <c r="I940">
        <v>-214648</v>
      </c>
      <c r="J940">
        <v>-133993</v>
      </c>
      <c r="K940">
        <v>-84998</v>
      </c>
      <c r="L940">
        <v>26104</v>
      </c>
      <c r="M940">
        <v>8.41</v>
      </c>
      <c r="N940">
        <f t="shared" si="42"/>
        <v>-1304878</v>
      </c>
      <c r="O940">
        <v>25140900</v>
      </c>
      <c r="P940" s="2">
        <f t="shared" si="43"/>
        <v>-5.1902596963513634</v>
      </c>
      <c r="Q940" s="4">
        <f t="shared" si="44"/>
        <v>21.143496899999999</v>
      </c>
    </row>
    <row r="941" spans="1:17" x14ac:dyDescent="0.4">
      <c r="A941">
        <v>20210820</v>
      </c>
      <c r="B941" s="1">
        <v>0.5625</v>
      </c>
      <c r="C941">
        <v>113697</v>
      </c>
      <c r="D941">
        <v>390528</v>
      </c>
      <c r="E941">
        <v>-225728</v>
      </c>
      <c r="F941">
        <v>-140383</v>
      </c>
      <c r="G941">
        <v>44822</v>
      </c>
      <c r="H941">
        <v>-690135</v>
      </c>
      <c r="I941">
        <v>-13910</v>
      </c>
      <c r="J941">
        <v>-135730</v>
      </c>
      <c r="K941">
        <v>76210</v>
      </c>
      <c r="L941">
        <v>19179</v>
      </c>
      <c r="M941">
        <v>8.41</v>
      </c>
      <c r="N941">
        <f t="shared" si="42"/>
        <v>-561450</v>
      </c>
      <c r="O941">
        <v>24790550</v>
      </c>
      <c r="P941" s="2">
        <f t="shared" si="43"/>
        <v>-2.2647742789086971</v>
      </c>
      <c r="Q941" s="4">
        <f t="shared" si="44"/>
        <v>20.84885255</v>
      </c>
    </row>
    <row r="942" spans="1:17" x14ac:dyDescent="0.4">
      <c r="A942">
        <v>20210820</v>
      </c>
      <c r="B942" s="1">
        <v>0.58333333333333337</v>
      </c>
      <c r="C942">
        <v>74700</v>
      </c>
      <c r="D942">
        <v>312207</v>
      </c>
      <c r="E942">
        <v>-297167</v>
      </c>
      <c r="F942">
        <v>-198678</v>
      </c>
      <c r="G942">
        <v>-14104</v>
      </c>
      <c r="H942">
        <v>-414725</v>
      </c>
      <c r="I942">
        <v>25522</v>
      </c>
      <c r="J942">
        <v>-144239</v>
      </c>
      <c r="K942">
        <v>218068</v>
      </c>
      <c r="L942">
        <v>6825</v>
      </c>
      <c r="M942">
        <v>9.0399999999999991</v>
      </c>
      <c r="N942">
        <f t="shared" si="42"/>
        <v>-431591</v>
      </c>
      <c r="O942">
        <v>24517550</v>
      </c>
      <c r="P942" s="2">
        <f t="shared" si="43"/>
        <v>-1.7603349437443789</v>
      </c>
      <c r="Q942" s="4">
        <f t="shared" si="44"/>
        <v>22.163865199999996</v>
      </c>
    </row>
    <row r="943" spans="1:17" x14ac:dyDescent="0.4">
      <c r="A943">
        <v>20210820</v>
      </c>
      <c r="B943" s="1">
        <v>0.60416666666666663</v>
      </c>
      <c r="C943">
        <v>120303</v>
      </c>
      <c r="D943">
        <v>187919</v>
      </c>
      <c r="E943">
        <v>-235793</v>
      </c>
      <c r="F943">
        <v>-314562</v>
      </c>
      <c r="G943">
        <v>37437</v>
      </c>
      <c r="H943">
        <v>-63486</v>
      </c>
      <c r="I943">
        <v>6713</v>
      </c>
      <c r="J943">
        <v>-185637</v>
      </c>
      <c r="K943">
        <v>326687</v>
      </c>
      <c r="L943">
        <v>2037</v>
      </c>
      <c r="M943">
        <v>9.34</v>
      </c>
      <c r="N943">
        <f t="shared" si="42"/>
        <v>-118382</v>
      </c>
      <c r="O943">
        <v>24175750</v>
      </c>
      <c r="P943" s="2">
        <f t="shared" si="43"/>
        <v>-0.48967250240426874</v>
      </c>
      <c r="Q943" s="4">
        <f t="shared" si="44"/>
        <v>22.580150499999998</v>
      </c>
    </row>
    <row r="944" spans="1:17" x14ac:dyDescent="0.4">
      <c r="A944">
        <v>20210820</v>
      </c>
      <c r="B944" s="1">
        <v>0.625</v>
      </c>
      <c r="C944">
        <v>68020</v>
      </c>
      <c r="D944">
        <v>83546</v>
      </c>
      <c r="E944">
        <v>-120348</v>
      </c>
      <c r="F944">
        <v>-432924</v>
      </c>
      <c r="G944">
        <v>22144</v>
      </c>
      <c r="H944">
        <v>263756</v>
      </c>
      <c r="I944">
        <v>62684</v>
      </c>
      <c r="J944">
        <v>-268988</v>
      </c>
      <c r="K944">
        <v>402398</v>
      </c>
      <c r="L944">
        <v>961</v>
      </c>
      <c r="M944">
        <v>9.44</v>
      </c>
      <c r="N944">
        <f t="shared" si="42"/>
        <v>81249</v>
      </c>
      <c r="O944">
        <v>23858400</v>
      </c>
      <c r="P944" s="2">
        <f t="shared" si="43"/>
        <v>0.340546725681521</v>
      </c>
      <c r="Q944" s="4">
        <f t="shared" si="44"/>
        <v>22.522329599999999</v>
      </c>
    </row>
    <row r="945" spans="1:17" x14ac:dyDescent="0.4">
      <c r="A945">
        <v>20210820</v>
      </c>
      <c r="B945" s="1">
        <v>0.64583333333333337</v>
      </c>
      <c r="C945">
        <v>98797</v>
      </c>
      <c r="D945">
        <v>-3307</v>
      </c>
      <c r="E945">
        <v>-203041</v>
      </c>
      <c r="F945">
        <v>-685057</v>
      </c>
      <c r="G945">
        <v>36577</v>
      </c>
      <c r="H945">
        <v>591110</v>
      </c>
      <c r="I945">
        <v>6600</v>
      </c>
      <c r="J945">
        <v>-328479</v>
      </c>
      <c r="K945">
        <v>301145</v>
      </c>
      <c r="L945">
        <v>-7665</v>
      </c>
      <c r="M945">
        <v>9.81</v>
      </c>
      <c r="N945">
        <f t="shared" si="42"/>
        <v>-193320</v>
      </c>
      <c r="O945">
        <v>23295750</v>
      </c>
      <c r="P945" s="2">
        <f t="shared" si="43"/>
        <v>-0.8298509384759023</v>
      </c>
      <c r="Q945" s="4">
        <f t="shared" si="44"/>
        <v>22.853130749999998</v>
      </c>
    </row>
    <row r="946" spans="1:17" x14ac:dyDescent="0.4">
      <c r="A946">
        <v>20210820</v>
      </c>
      <c r="B946" s="1">
        <v>0.66666666666666663</v>
      </c>
      <c r="C946">
        <v>3724</v>
      </c>
      <c r="D946">
        <v>-41070</v>
      </c>
      <c r="E946">
        <v>115979</v>
      </c>
      <c r="F946">
        <v>-708648</v>
      </c>
      <c r="G946">
        <v>3603</v>
      </c>
      <c r="H946">
        <v>653243</v>
      </c>
      <c r="I946">
        <v>-170748</v>
      </c>
      <c r="J946">
        <v>-288949</v>
      </c>
      <c r="K946">
        <v>221262</v>
      </c>
      <c r="L946">
        <v>-2009</v>
      </c>
      <c r="M946">
        <v>10.220000000000001</v>
      </c>
      <c r="N946">
        <f t="shared" si="42"/>
        <v>-213613</v>
      </c>
      <c r="O946">
        <v>23720000</v>
      </c>
      <c r="P946" s="2">
        <f t="shared" si="43"/>
        <v>-0.90056070826306911</v>
      </c>
      <c r="Q946" s="4">
        <f t="shared" si="44"/>
        <v>24.241840000000003</v>
      </c>
    </row>
    <row r="947" spans="1:17" x14ac:dyDescent="0.4">
      <c r="A947">
        <v>20210820</v>
      </c>
      <c r="B947" s="1">
        <v>0.6875</v>
      </c>
      <c r="C947">
        <v>-2307</v>
      </c>
      <c r="D947">
        <v>-12780</v>
      </c>
      <c r="E947">
        <v>28244</v>
      </c>
      <c r="F947">
        <v>-601896</v>
      </c>
      <c r="G947">
        <v>11420</v>
      </c>
      <c r="H947">
        <v>674225</v>
      </c>
      <c r="I947">
        <v>-142589</v>
      </c>
      <c r="J947">
        <v>-220327</v>
      </c>
      <c r="K947">
        <v>185290</v>
      </c>
      <c r="L947">
        <v>-13003</v>
      </c>
      <c r="M947">
        <v>10.220000000000001</v>
      </c>
      <c r="N947">
        <f t="shared" si="42"/>
        <v>-93723</v>
      </c>
      <c r="O947">
        <v>23305650</v>
      </c>
      <c r="P947" s="2">
        <f t="shared" si="43"/>
        <v>-0.40214711883169962</v>
      </c>
      <c r="Q947" s="4">
        <f t="shared" si="44"/>
        <v>23.818374299999999</v>
      </c>
    </row>
    <row r="948" spans="1:17" x14ac:dyDescent="0.4">
      <c r="A948">
        <v>20210820</v>
      </c>
      <c r="B948" s="1">
        <v>0.70833333333333337</v>
      </c>
      <c r="C948">
        <v>43681</v>
      </c>
      <c r="D948">
        <v>-76438</v>
      </c>
      <c r="E948">
        <v>542614</v>
      </c>
      <c r="F948">
        <v>-381108</v>
      </c>
      <c r="G948">
        <v>7448</v>
      </c>
      <c r="H948">
        <v>568508</v>
      </c>
      <c r="I948">
        <v>-69784</v>
      </c>
      <c r="J948">
        <v>-144819</v>
      </c>
      <c r="K948">
        <v>178925</v>
      </c>
      <c r="L948">
        <v>-17584</v>
      </c>
      <c r="M948">
        <v>10.27</v>
      </c>
      <c r="N948">
        <f t="shared" si="42"/>
        <v>651443</v>
      </c>
      <c r="O948">
        <v>22921650</v>
      </c>
      <c r="P948" s="2">
        <f t="shared" si="43"/>
        <v>2.8420423486092843</v>
      </c>
      <c r="Q948" s="4">
        <f t="shared" si="44"/>
        <v>23.54053455</v>
      </c>
    </row>
    <row r="949" spans="1:17" x14ac:dyDescent="0.4">
      <c r="A949">
        <v>20210820</v>
      </c>
      <c r="B949" s="1">
        <v>0.72916666666666663</v>
      </c>
      <c r="C949">
        <v>16900</v>
      </c>
      <c r="D949">
        <v>-91301</v>
      </c>
      <c r="E949">
        <v>623856</v>
      </c>
      <c r="F949">
        <v>-124264</v>
      </c>
      <c r="G949">
        <v>-2263</v>
      </c>
      <c r="H949">
        <v>548422</v>
      </c>
      <c r="I949">
        <v>-90145</v>
      </c>
      <c r="J949">
        <v>-105925</v>
      </c>
      <c r="K949">
        <v>162364</v>
      </c>
      <c r="L949">
        <v>-6634</v>
      </c>
      <c r="M949">
        <v>10.27</v>
      </c>
      <c r="N949">
        <f t="shared" si="42"/>
        <v>931010</v>
      </c>
      <c r="O949">
        <v>22573800</v>
      </c>
      <c r="P949" s="2">
        <f t="shared" si="43"/>
        <v>4.1242945361436707</v>
      </c>
      <c r="Q949" s="4">
        <f t="shared" si="44"/>
        <v>23.183292600000001</v>
      </c>
    </row>
    <row r="950" spans="1:17" x14ac:dyDescent="0.4">
      <c r="A950">
        <v>20210820</v>
      </c>
      <c r="B950" s="1">
        <v>0.75</v>
      </c>
      <c r="C950">
        <v>28933</v>
      </c>
      <c r="D950">
        <v>-128875</v>
      </c>
      <c r="E950">
        <v>410866</v>
      </c>
      <c r="F950">
        <v>220148</v>
      </c>
      <c r="G950">
        <v>-9999</v>
      </c>
      <c r="H950">
        <v>486670</v>
      </c>
      <c r="I950">
        <v>18952</v>
      </c>
      <c r="J950">
        <v>-33641</v>
      </c>
      <c r="K950">
        <v>132560</v>
      </c>
      <c r="L950">
        <v>1273</v>
      </c>
      <c r="M950">
        <v>10.27</v>
      </c>
      <c r="N950">
        <f t="shared" si="42"/>
        <v>1126887</v>
      </c>
      <c r="O950">
        <v>22181800</v>
      </c>
      <c r="P950" s="2">
        <f t="shared" si="43"/>
        <v>5.080232442813478</v>
      </c>
      <c r="Q950" s="4">
        <f t="shared" si="44"/>
        <v>22.780708600000001</v>
      </c>
    </row>
    <row r="951" spans="1:17" x14ac:dyDescent="0.4">
      <c r="A951">
        <v>20210820</v>
      </c>
      <c r="B951" s="1">
        <v>0.77083333333333337</v>
      </c>
      <c r="C951">
        <v>9698</v>
      </c>
      <c r="D951">
        <v>-101543</v>
      </c>
      <c r="E951">
        <v>436730</v>
      </c>
      <c r="F951">
        <v>252393</v>
      </c>
      <c r="G951">
        <v>-33110</v>
      </c>
      <c r="H951">
        <v>412026</v>
      </c>
      <c r="I951">
        <v>-35073</v>
      </c>
      <c r="J951">
        <v>1964</v>
      </c>
      <c r="K951">
        <v>186001</v>
      </c>
      <c r="L951">
        <v>1450</v>
      </c>
      <c r="M951">
        <v>10.27</v>
      </c>
      <c r="N951">
        <f t="shared" si="42"/>
        <v>1130536</v>
      </c>
      <c r="O951">
        <v>22264600</v>
      </c>
      <c r="P951" s="2">
        <f t="shared" si="43"/>
        <v>5.0777287712332582</v>
      </c>
      <c r="Q951" s="4">
        <f t="shared" si="44"/>
        <v>22.865744200000002</v>
      </c>
    </row>
    <row r="952" spans="1:17" x14ac:dyDescent="0.4">
      <c r="A952">
        <v>20210820</v>
      </c>
      <c r="B952" s="1">
        <v>0.79166666666666663</v>
      </c>
      <c r="C952">
        <v>19284</v>
      </c>
      <c r="D952">
        <v>-10354</v>
      </c>
      <c r="E952">
        <v>397016</v>
      </c>
      <c r="F952">
        <v>416326</v>
      </c>
      <c r="G952">
        <v>-20328</v>
      </c>
      <c r="H952">
        <v>472372</v>
      </c>
      <c r="I952">
        <v>-46869</v>
      </c>
      <c r="J952">
        <v>27826</v>
      </c>
      <c r="K952">
        <v>175484</v>
      </c>
      <c r="L952">
        <v>-2061</v>
      </c>
      <c r="M952">
        <v>9.6199999999999992</v>
      </c>
      <c r="N952">
        <f t="shared" si="42"/>
        <v>1428696</v>
      </c>
      <c r="O952">
        <v>22220200</v>
      </c>
      <c r="P952" s="2">
        <f t="shared" si="43"/>
        <v>6.4297171042564871</v>
      </c>
      <c r="Q952" s="4">
        <f t="shared" si="44"/>
        <v>21.375832399999997</v>
      </c>
    </row>
    <row r="953" spans="1:17" x14ac:dyDescent="0.4">
      <c r="A953">
        <v>20210820</v>
      </c>
      <c r="B953" s="1">
        <v>0.8125</v>
      </c>
      <c r="C953">
        <v>-3995</v>
      </c>
      <c r="D953">
        <v>40423</v>
      </c>
      <c r="E953">
        <v>546853</v>
      </c>
      <c r="F953">
        <v>463185</v>
      </c>
      <c r="G953">
        <v>4892</v>
      </c>
      <c r="H953">
        <v>469011</v>
      </c>
      <c r="I953">
        <v>1402</v>
      </c>
      <c r="J953">
        <v>28833</v>
      </c>
      <c r="K953">
        <v>183007</v>
      </c>
      <c r="L953">
        <v>19</v>
      </c>
      <c r="M953">
        <v>9.2799999999999994</v>
      </c>
      <c r="N953">
        <f t="shared" si="42"/>
        <v>1733630</v>
      </c>
      <c r="O953">
        <v>22296050</v>
      </c>
      <c r="P953" s="2">
        <f t="shared" si="43"/>
        <v>7.7755028357040823</v>
      </c>
      <c r="Q953" s="4">
        <f t="shared" si="44"/>
        <v>20.6907344</v>
      </c>
    </row>
    <row r="954" spans="1:17" x14ac:dyDescent="0.4">
      <c r="A954">
        <v>20210820</v>
      </c>
      <c r="B954" s="1">
        <v>0.83333333333333337</v>
      </c>
      <c r="C954">
        <v>32946</v>
      </c>
      <c r="D954">
        <v>98913</v>
      </c>
      <c r="E954">
        <v>201158</v>
      </c>
      <c r="F954">
        <v>499949</v>
      </c>
      <c r="G954">
        <v>22948</v>
      </c>
      <c r="H954">
        <v>563705</v>
      </c>
      <c r="I954">
        <v>30141</v>
      </c>
      <c r="J954">
        <v>15964</v>
      </c>
      <c r="K954">
        <v>276445</v>
      </c>
      <c r="L954">
        <v>-8227</v>
      </c>
      <c r="M954">
        <v>8.86</v>
      </c>
      <c r="N954">
        <f t="shared" si="42"/>
        <v>1733942</v>
      </c>
      <c r="O954">
        <v>21979800</v>
      </c>
      <c r="P954" s="2">
        <f t="shared" si="43"/>
        <v>7.8887978962501935</v>
      </c>
      <c r="Q954" s="4">
        <f t="shared" si="44"/>
        <v>19.474102800000001</v>
      </c>
    </row>
    <row r="955" spans="1:17" x14ac:dyDescent="0.4">
      <c r="A955">
        <v>20210820</v>
      </c>
      <c r="B955" s="1">
        <v>0.85416666666666663</v>
      </c>
      <c r="C955">
        <v>46309</v>
      </c>
      <c r="D955">
        <v>87941</v>
      </c>
      <c r="E955">
        <v>334938</v>
      </c>
      <c r="F955">
        <v>368793</v>
      </c>
      <c r="G955">
        <v>1330</v>
      </c>
      <c r="H955">
        <v>414929</v>
      </c>
      <c r="I955">
        <v>8134</v>
      </c>
      <c r="J955">
        <v>-2705</v>
      </c>
      <c r="K955">
        <v>261497</v>
      </c>
      <c r="L955">
        <v>-906</v>
      </c>
      <c r="M955">
        <v>8.86</v>
      </c>
      <c r="N955">
        <f t="shared" si="42"/>
        <v>1520260</v>
      </c>
      <c r="O955">
        <v>21924350</v>
      </c>
      <c r="P955" s="2">
        <f t="shared" si="43"/>
        <v>6.9341166328762309</v>
      </c>
      <c r="Q955" s="4">
        <f t="shared" si="44"/>
        <v>19.4249741</v>
      </c>
    </row>
    <row r="956" spans="1:17" x14ac:dyDescent="0.4">
      <c r="A956">
        <v>20210820</v>
      </c>
      <c r="B956" s="1">
        <v>0.875</v>
      </c>
      <c r="C956">
        <v>72877</v>
      </c>
      <c r="D956">
        <v>102540</v>
      </c>
      <c r="E956">
        <v>250680</v>
      </c>
      <c r="F956">
        <v>321724</v>
      </c>
      <c r="G956">
        <v>19089</v>
      </c>
      <c r="H956">
        <v>427657</v>
      </c>
      <c r="I956">
        <v>30356</v>
      </c>
      <c r="J956">
        <v>12407</v>
      </c>
      <c r="K956">
        <v>270243</v>
      </c>
      <c r="L956">
        <v>-6941</v>
      </c>
      <c r="M956">
        <v>8.86</v>
      </c>
      <c r="N956">
        <f t="shared" si="42"/>
        <v>1500632</v>
      </c>
      <c r="O956">
        <v>21242750</v>
      </c>
      <c r="P956" s="2">
        <f t="shared" si="43"/>
        <v>7.0642077885396191</v>
      </c>
      <c r="Q956" s="4">
        <f t="shared" si="44"/>
        <v>18.8210765</v>
      </c>
    </row>
    <row r="957" spans="1:17" x14ac:dyDescent="0.4">
      <c r="A957">
        <v>20210820</v>
      </c>
      <c r="B957" s="1">
        <v>0.89583333333333337</v>
      </c>
      <c r="C957">
        <v>9609</v>
      </c>
      <c r="D957">
        <v>51847</v>
      </c>
      <c r="E957">
        <v>269074</v>
      </c>
      <c r="F957">
        <v>264890</v>
      </c>
      <c r="G957">
        <v>40487</v>
      </c>
      <c r="H957">
        <v>469456</v>
      </c>
      <c r="I957">
        <v>-9554</v>
      </c>
      <c r="J957">
        <v>14932</v>
      </c>
      <c r="K957">
        <v>261666</v>
      </c>
      <c r="L957">
        <v>1954</v>
      </c>
      <c r="M957">
        <v>8.1300000000000008</v>
      </c>
      <c r="N957">
        <f t="shared" si="42"/>
        <v>1374361</v>
      </c>
      <c r="O957">
        <v>20955800</v>
      </c>
      <c r="P957" s="2">
        <f t="shared" si="43"/>
        <v>6.5583800188969166</v>
      </c>
      <c r="Q957" s="4">
        <f t="shared" si="44"/>
        <v>17.037065400000003</v>
      </c>
    </row>
    <row r="958" spans="1:17" x14ac:dyDescent="0.4">
      <c r="A958">
        <v>20210820</v>
      </c>
      <c r="B958" s="1">
        <v>0.91666666666666663</v>
      </c>
      <c r="C958">
        <v>68418</v>
      </c>
      <c r="D958">
        <v>107568</v>
      </c>
      <c r="E958">
        <v>178444</v>
      </c>
      <c r="F958">
        <v>326281</v>
      </c>
      <c r="G958">
        <v>687</v>
      </c>
      <c r="H958">
        <v>353556</v>
      </c>
      <c r="I958">
        <v>-5282</v>
      </c>
      <c r="J958">
        <v>34815</v>
      </c>
      <c r="K958">
        <v>254937</v>
      </c>
      <c r="L958">
        <v>5181</v>
      </c>
      <c r="M958">
        <v>7.64</v>
      </c>
      <c r="N958">
        <f t="shared" si="42"/>
        <v>1324605</v>
      </c>
      <c r="O958">
        <v>20420500</v>
      </c>
      <c r="P958" s="2">
        <f t="shared" si="43"/>
        <v>6.4866433241105748</v>
      </c>
      <c r="Q958" s="4">
        <f t="shared" si="44"/>
        <v>15.601262</v>
      </c>
    </row>
    <row r="959" spans="1:17" x14ac:dyDescent="0.4">
      <c r="A959">
        <v>20210820</v>
      </c>
      <c r="B959" s="1">
        <v>0.9375</v>
      </c>
      <c r="C959">
        <v>10207</v>
      </c>
      <c r="D959">
        <v>117462</v>
      </c>
      <c r="E959">
        <v>332092</v>
      </c>
      <c r="F959">
        <v>299412</v>
      </c>
      <c r="G959">
        <v>15382</v>
      </c>
      <c r="H959">
        <v>359133</v>
      </c>
      <c r="I959">
        <v>-37896</v>
      </c>
      <c r="J959">
        <v>26306</v>
      </c>
      <c r="K959">
        <v>223620</v>
      </c>
      <c r="L959">
        <v>10893</v>
      </c>
      <c r="M959">
        <v>7.42</v>
      </c>
      <c r="N959">
        <f t="shared" si="42"/>
        <v>1356611</v>
      </c>
      <c r="O959">
        <v>20154350</v>
      </c>
      <c r="P959" s="2">
        <f t="shared" si="43"/>
        <v>6.7311076765065607</v>
      </c>
      <c r="Q959" s="4">
        <f t="shared" si="44"/>
        <v>14.9545277</v>
      </c>
    </row>
    <row r="960" spans="1:17" x14ac:dyDescent="0.4">
      <c r="A960">
        <v>20210820</v>
      </c>
      <c r="B960" s="1">
        <v>0.95833333333333337</v>
      </c>
      <c r="C960">
        <v>-13448</v>
      </c>
      <c r="D960">
        <v>118813</v>
      </c>
      <c r="E960">
        <v>113147</v>
      </c>
      <c r="F960">
        <v>229406</v>
      </c>
      <c r="G960">
        <v>5942</v>
      </c>
      <c r="H960">
        <v>133501</v>
      </c>
      <c r="I960">
        <v>62330</v>
      </c>
      <c r="J960">
        <v>50638</v>
      </c>
      <c r="K960">
        <v>159379</v>
      </c>
      <c r="L960">
        <v>-10446</v>
      </c>
      <c r="M960">
        <v>6.99</v>
      </c>
      <c r="N960">
        <f t="shared" si="42"/>
        <v>849262</v>
      </c>
      <c r="O960">
        <v>19553850</v>
      </c>
      <c r="P960" s="2">
        <f t="shared" si="43"/>
        <v>4.3431958412281979</v>
      </c>
      <c r="Q960" s="4">
        <f t="shared" si="44"/>
        <v>13.66814115</v>
      </c>
    </row>
    <row r="961" spans="1:17" x14ac:dyDescent="0.4">
      <c r="A961">
        <v>20210820</v>
      </c>
      <c r="B961" s="1">
        <v>0.97916666666666663</v>
      </c>
      <c r="C961">
        <v>32977</v>
      </c>
      <c r="D961">
        <v>69482</v>
      </c>
      <c r="E961">
        <v>153461</v>
      </c>
      <c r="F961">
        <v>250463</v>
      </c>
      <c r="G961">
        <v>19407</v>
      </c>
      <c r="H961">
        <v>229275</v>
      </c>
      <c r="I961">
        <v>-454</v>
      </c>
      <c r="J961">
        <v>62298</v>
      </c>
      <c r="K961">
        <v>141222</v>
      </c>
      <c r="L961">
        <v>-2845</v>
      </c>
      <c r="M961">
        <v>6.83</v>
      </c>
      <c r="N961">
        <f t="shared" si="42"/>
        <v>955286</v>
      </c>
      <c r="O961">
        <v>19090050</v>
      </c>
      <c r="P961" s="2">
        <f t="shared" si="43"/>
        <v>5.0041042323095013</v>
      </c>
      <c r="Q961" s="4">
        <f t="shared" si="44"/>
        <v>13.03850415</v>
      </c>
    </row>
    <row r="962" spans="1:17" x14ac:dyDescent="0.4">
      <c r="A962">
        <v>20210821</v>
      </c>
      <c r="B962" s="1">
        <v>0</v>
      </c>
      <c r="C962">
        <v>-13023</v>
      </c>
      <c r="D962">
        <v>117733</v>
      </c>
      <c r="E962">
        <v>-12598</v>
      </c>
      <c r="F962">
        <v>242746</v>
      </c>
      <c r="G962">
        <v>11846</v>
      </c>
      <c r="H962">
        <v>107308</v>
      </c>
      <c r="I962">
        <v>39228</v>
      </c>
      <c r="J962">
        <v>65807</v>
      </c>
      <c r="K962">
        <v>250603</v>
      </c>
      <c r="L962">
        <v>-10917</v>
      </c>
      <c r="M962">
        <v>7.15</v>
      </c>
      <c r="N962">
        <f t="shared" si="42"/>
        <v>798733</v>
      </c>
      <c r="O962">
        <v>17596950</v>
      </c>
      <c r="P962" s="2">
        <f t="shared" si="43"/>
        <v>4.5390422772128121</v>
      </c>
      <c r="Q962" s="4">
        <f t="shared" si="44"/>
        <v>12.581819250000001</v>
      </c>
    </row>
    <row r="963" spans="1:17" x14ac:dyDescent="0.4">
      <c r="A963">
        <v>20210821</v>
      </c>
      <c r="B963" s="1">
        <v>2.0833333333333332E-2</v>
      </c>
      <c r="C963">
        <v>6068</v>
      </c>
      <c r="D963">
        <v>103820</v>
      </c>
      <c r="E963">
        <v>135571</v>
      </c>
      <c r="F963">
        <v>185417</v>
      </c>
      <c r="G963">
        <v>21203</v>
      </c>
      <c r="H963">
        <v>96254</v>
      </c>
      <c r="I963">
        <v>-4188</v>
      </c>
      <c r="J963">
        <v>50271</v>
      </c>
      <c r="K963">
        <v>203351</v>
      </c>
      <c r="L963">
        <v>-4120</v>
      </c>
      <c r="M963">
        <v>7.15</v>
      </c>
      <c r="N963">
        <f t="shared" ref="N963:N1026" si="45">C963+D963+E963+F963+G963+H963+I963+J963+K963+L963</f>
        <v>793647</v>
      </c>
      <c r="O963">
        <v>18053200</v>
      </c>
      <c r="P963" s="2">
        <f t="shared" ref="P963:P1026" si="46">((N963*100)/O963)</f>
        <v>4.3961569140097048</v>
      </c>
      <c r="Q963" s="4">
        <f t="shared" ref="Q963:Q1026" si="47">(M963*O963)/10^7</f>
        <v>12.908037999999999</v>
      </c>
    </row>
    <row r="964" spans="1:17" x14ac:dyDescent="0.4">
      <c r="A964">
        <v>20210821</v>
      </c>
      <c r="B964" s="1">
        <v>4.1666666666666664E-2</v>
      </c>
      <c r="C964">
        <v>32512</v>
      </c>
      <c r="D964">
        <v>17578</v>
      </c>
      <c r="E964">
        <v>-53640</v>
      </c>
      <c r="F964">
        <v>236841</v>
      </c>
      <c r="G964">
        <v>5625</v>
      </c>
      <c r="H964">
        <v>208668</v>
      </c>
      <c r="I964">
        <v>2421</v>
      </c>
      <c r="J964">
        <v>58331</v>
      </c>
      <c r="K964">
        <v>212646</v>
      </c>
      <c r="L964">
        <v>-5512</v>
      </c>
      <c r="M964">
        <v>8.01</v>
      </c>
      <c r="N964">
        <f t="shared" si="45"/>
        <v>715470</v>
      </c>
      <c r="O964">
        <v>18035450</v>
      </c>
      <c r="P964" s="2">
        <f t="shared" si="46"/>
        <v>3.9670205068351496</v>
      </c>
      <c r="Q964" s="4">
        <f t="shared" si="47"/>
        <v>14.446395450000001</v>
      </c>
    </row>
    <row r="965" spans="1:17" x14ac:dyDescent="0.4">
      <c r="A965">
        <v>20210821</v>
      </c>
      <c r="B965" s="1">
        <v>6.25E-2</v>
      </c>
      <c r="C965">
        <v>4567</v>
      </c>
      <c r="D965">
        <v>8157</v>
      </c>
      <c r="E965">
        <v>38044</v>
      </c>
      <c r="F965">
        <v>199247</v>
      </c>
      <c r="G965">
        <v>16935</v>
      </c>
      <c r="H965">
        <v>102574</v>
      </c>
      <c r="I965">
        <v>60726</v>
      </c>
      <c r="J965">
        <v>24138</v>
      </c>
      <c r="K965">
        <v>199185</v>
      </c>
      <c r="L965">
        <v>-356</v>
      </c>
      <c r="M965">
        <v>7.95</v>
      </c>
      <c r="N965">
        <f t="shared" si="45"/>
        <v>653217</v>
      </c>
      <c r="O965">
        <v>18131500</v>
      </c>
      <c r="P965" s="2">
        <f t="shared" si="46"/>
        <v>3.6026638722664974</v>
      </c>
      <c r="Q965" s="4">
        <f t="shared" si="47"/>
        <v>14.4145425</v>
      </c>
    </row>
    <row r="966" spans="1:17" x14ac:dyDescent="0.4">
      <c r="A966">
        <v>20210821</v>
      </c>
      <c r="B966" s="1">
        <v>8.3333333333333329E-2</v>
      </c>
      <c r="C966">
        <v>45990</v>
      </c>
      <c r="D966">
        <v>20729</v>
      </c>
      <c r="E966">
        <v>64006</v>
      </c>
      <c r="F966">
        <v>281043</v>
      </c>
      <c r="G966">
        <v>18248</v>
      </c>
      <c r="H966">
        <v>82726</v>
      </c>
      <c r="I966">
        <v>70004</v>
      </c>
      <c r="J966">
        <v>26049</v>
      </c>
      <c r="K966">
        <v>178595</v>
      </c>
      <c r="L966">
        <v>-2370</v>
      </c>
      <c r="M966">
        <v>6.88</v>
      </c>
      <c r="N966">
        <f t="shared" si="45"/>
        <v>785020</v>
      </c>
      <c r="O966">
        <v>18074800</v>
      </c>
      <c r="P966" s="2">
        <f t="shared" si="46"/>
        <v>4.3431739217031451</v>
      </c>
      <c r="Q966" s="4">
        <f t="shared" si="47"/>
        <v>12.4354624</v>
      </c>
    </row>
    <row r="967" spans="1:17" x14ac:dyDescent="0.4">
      <c r="A967">
        <v>20210821</v>
      </c>
      <c r="B967" s="1">
        <v>0.10416666666666667</v>
      </c>
      <c r="C967">
        <v>53150</v>
      </c>
      <c r="D967">
        <v>5388</v>
      </c>
      <c r="E967">
        <v>24016</v>
      </c>
      <c r="F967">
        <v>303747</v>
      </c>
      <c r="G967">
        <v>21108</v>
      </c>
      <c r="H967">
        <v>64751</v>
      </c>
      <c r="I967">
        <v>85163</v>
      </c>
      <c r="J967">
        <v>24990</v>
      </c>
      <c r="K967">
        <v>215809</v>
      </c>
      <c r="L967">
        <v>-6272</v>
      </c>
      <c r="M967">
        <v>6.85</v>
      </c>
      <c r="N967">
        <f t="shared" si="45"/>
        <v>791850</v>
      </c>
      <c r="O967">
        <v>18039700</v>
      </c>
      <c r="P967" s="2">
        <f t="shared" si="46"/>
        <v>4.3894854127285932</v>
      </c>
      <c r="Q967" s="4">
        <f t="shared" si="47"/>
        <v>12.3571945</v>
      </c>
    </row>
    <row r="968" spans="1:17" x14ac:dyDescent="0.4">
      <c r="A968">
        <v>20210821</v>
      </c>
      <c r="B968" s="1">
        <v>0.125</v>
      </c>
      <c r="C968">
        <v>43614</v>
      </c>
      <c r="D968">
        <v>2322</v>
      </c>
      <c r="E968">
        <v>94302</v>
      </c>
      <c r="F968">
        <v>285765</v>
      </c>
      <c r="G968">
        <v>10165</v>
      </c>
      <c r="H968">
        <v>99546</v>
      </c>
      <c r="I968">
        <v>2710</v>
      </c>
      <c r="J968">
        <v>24972</v>
      </c>
      <c r="K968">
        <v>166140</v>
      </c>
      <c r="L968">
        <v>-7614</v>
      </c>
      <c r="M968">
        <v>6.88</v>
      </c>
      <c r="N968">
        <f t="shared" si="45"/>
        <v>721922</v>
      </c>
      <c r="O968">
        <v>17905050</v>
      </c>
      <c r="P968" s="2">
        <f t="shared" si="46"/>
        <v>4.0319462944811661</v>
      </c>
      <c r="Q968" s="4">
        <f t="shared" si="47"/>
        <v>12.318674400000001</v>
      </c>
    </row>
    <row r="969" spans="1:17" x14ac:dyDescent="0.4">
      <c r="A969">
        <v>20210821</v>
      </c>
      <c r="B969" s="1">
        <v>0.14583333333333334</v>
      </c>
      <c r="C969">
        <v>43231</v>
      </c>
      <c r="D969">
        <v>-12903</v>
      </c>
      <c r="E969">
        <v>29269</v>
      </c>
      <c r="F969">
        <v>292245</v>
      </c>
      <c r="G969">
        <v>10392</v>
      </c>
      <c r="H969">
        <v>84763</v>
      </c>
      <c r="I969">
        <v>7477</v>
      </c>
      <c r="J969">
        <v>25285</v>
      </c>
      <c r="K969">
        <v>185860</v>
      </c>
      <c r="L969">
        <v>-4640</v>
      </c>
      <c r="M969">
        <v>6.88</v>
      </c>
      <c r="N969">
        <f t="shared" si="45"/>
        <v>660979</v>
      </c>
      <c r="O969">
        <v>17844200</v>
      </c>
      <c r="P969" s="2">
        <f t="shared" si="46"/>
        <v>3.7041671803723339</v>
      </c>
      <c r="Q969" s="4">
        <f t="shared" si="47"/>
        <v>12.2768096</v>
      </c>
    </row>
    <row r="970" spans="1:17" x14ac:dyDescent="0.4">
      <c r="A970">
        <v>20210821</v>
      </c>
      <c r="B970" s="1">
        <v>0.16666666666666666</v>
      </c>
      <c r="C970">
        <v>35638</v>
      </c>
      <c r="D970">
        <v>-691</v>
      </c>
      <c r="E970">
        <v>58100</v>
      </c>
      <c r="F970">
        <v>273767</v>
      </c>
      <c r="G970">
        <v>29610</v>
      </c>
      <c r="H970">
        <v>158861</v>
      </c>
      <c r="I970">
        <v>32201</v>
      </c>
      <c r="J970">
        <v>25982</v>
      </c>
      <c r="K970">
        <v>195122</v>
      </c>
      <c r="L970">
        <v>-3085</v>
      </c>
      <c r="M970">
        <v>6.89</v>
      </c>
      <c r="N970">
        <f t="shared" si="45"/>
        <v>805505</v>
      </c>
      <c r="O970">
        <v>17884100</v>
      </c>
      <c r="P970" s="2">
        <f t="shared" si="46"/>
        <v>4.5040287182469347</v>
      </c>
      <c r="Q970" s="4">
        <f t="shared" si="47"/>
        <v>12.3221449</v>
      </c>
    </row>
    <row r="971" spans="1:17" x14ac:dyDescent="0.4">
      <c r="A971">
        <v>20210821</v>
      </c>
      <c r="B971" s="1">
        <v>0.1875</v>
      </c>
      <c r="C971">
        <v>75701</v>
      </c>
      <c r="D971">
        <v>-10482</v>
      </c>
      <c r="E971">
        <v>9235</v>
      </c>
      <c r="F971">
        <v>130808</v>
      </c>
      <c r="G971">
        <v>13647</v>
      </c>
      <c r="H971">
        <v>156214</v>
      </c>
      <c r="I971">
        <v>-14603</v>
      </c>
      <c r="J971">
        <v>32205</v>
      </c>
      <c r="K971">
        <v>159476</v>
      </c>
      <c r="L971">
        <v>-2908</v>
      </c>
      <c r="M971">
        <v>6.89</v>
      </c>
      <c r="N971">
        <f t="shared" si="45"/>
        <v>549293</v>
      </c>
      <c r="O971">
        <v>17919800</v>
      </c>
      <c r="P971" s="2">
        <f t="shared" si="46"/>
        <v>3.0652853268451659</v>
      </c>
      <c r="Q971" s="4">
        <f t="shared" si="47"/>
        <v>12.3467422</v>
      </c>
    </row>
    <row r="972" spans="1:17" x14ac:dyDescent="0.4">
      <c r="A972">
        <v>20210821</v>
      </c>
      <c r="B972" s="1">
        <v>0.20833333333333334</v>
      </c>
      <c r="C972">
        <v>35461</v>
      </c>
      <c r="D972">
        <v>4061</v>
      </c>
      <c r="E972">
        <v>54603</v>
      </c>
      <c r="F972">
        <v>124661</v>
      </c>
      <c r="G972">
        <v>18718</v>
      </c>
      <c r="H972">
        <v>223762</v>
      </c>
      <c r="I972">
        <v>-12113</v>
      </c>
      <c r="J972">
        <v>35823</v>
      </c>
      <c r="K972">
        <v>168661</v>
      </c>
      <c r="L972">
        <v>-5895</v>
      </c>
      <c r="M972">
        <v>6.88</v>
      </c>
      <c r="N972">
        <f t="shared" si="45"/>
        <v>647742</v>
      </c>
      <c r="O972">
        <v>17857050</v>
      </c>
      <c r="P972" s="2">
        <f t="shared" si="46"/>
        <v>3.6273740623451243</v>
      </c>
      <c r="Q972" s="4">
        <f t="shared" si="47"/>
        <v>12.2856504</v>
      </c>
    </row>
    <row r="973" spans="1:17" x14ac:dyDescent="0.4">
      <c r="A973">
        <v>20210821</v>
      </c>
      <c r="B973" s="1">
        <v>0.22916666666666666</v>
      </c>
      <c r="C973">
        <v>41195</v>
      </c>
      <c r="D973">
        <v>61716</v>
      </c>
      <c r="E973">
        <v>20123</v>
      </c>
      <c r="F973">
        <v>218706</v>
      </c>
      <c r="G973">
        <v>24676</v>
      </c>
      <c r="H973">
        <v>302933</v>
      </c>
      <c r="I973">
        <v>60954</v>
      </c>
      <c r="J973">
        <v>36077</v>
      </c>
      <c r="K973">
        <v>205891</v>
      </c>
      <c r="L973">
        <v>-1223</v>
      </c>
      <c r="M973">
        <v>6.88</v>
      </c>
      <c r="N973">
        <f t="shared" si="45"/>
        <v>971048</v>
      </c>
      <c r="O973">
        <v>17903450</v>
      </c>
      <c r="P973" s="2">
        <f t="shared" si="46"/>
        <v>5.4238037920065683</v>
      </c>
      <c r="Q973" s="4">
        <f t="shared" si="47"/>
        <v>12.317573599999999</v>
      </c>
    </row>
    <row r="974" spans="1:17" x14ac:dyDescent="0.4">
      <c r="A974">
        <v>20210821</v>
      </c>
      <c r="B974" s="1">
        <v>0.25</v>
      </c>
      <c r="C974">
        <v>88149</v>
      </c>
      <c r="D974">
        <v>123575</v>
      </c>
      <c r="E974">
        <v>17508</v>
      </c>
      <c r="F974">
        <v>195845</v>
      </c>
      <c r="G974">
        <v>7792</v>
      </c>
      <c r="H974">
        <v>271603</v>
      </c>
      <c r="I974">
        <v>-17447</v>
      </c>
      <c r="J974">
        <v>12017</v>
      </c>
      <c r="K974">
        <v>198406</v>
      </c>
      <c r="L974">
        <v>-4455</v>
      </c>
      <c r="M974">
        <v>6.64</v>
      </c>
      <c r="N974">
        <f t="shared" si="45"/>
        <v>892993</v>
      </c>
      <c r="O974">
        <v>18181150</v>
      </c>
      <c r="P974" s="2">
        <f t="shared" si="46"/>
        <v>4.9116420028436041</v>
      </c>
      <c r="Q974" s="4">
        <f t="shared" si="47"/>
        <v>12.0722836</v>
      </c>
    </row>
    <row r="975" spans="1:17" x14ac:dyDescent="0.4">
      <c r="A975">
        <v>20210821</v>
      </c>
      <c r="B975" s="1">
        <v>0.27083333333333331</v>
      </c>
      <c r="C975">
        <v>128279</v>
      </c>
      <c r="D975">
        <v>61270</v>
      </c>
      <c r="E975">
        <v>209379</v>
      </c>
      <c r="F975">
        <v>219666</v>
      </c>
      <c r="G975">
        <v>38378</v>
      </c>
      <c r="H975">
        <v>397459</v>
      </c>
      <c r="I975">
        <v>-60416</v>
      </c>
      <c r="J975">
        <v>-12812</v>
      </c>
      <c r="K975">
        <v>230551</v>
      </c>
      <c r="L975">
        <v>-10463</v>
      </c>
      <c r="M975">
        <v>6.7</v>
      </c>
      <c r="N975">
        <f t="shared" si="45"/>
        <v>1201291</v>
      </c>
      <c r="O975">
        <v>18608650</v>
      </c>
      <c r="P975" s="2">
        <f t="shared" si="46"/>
        <v>6.4555515848812242</v>
      </c>
      <c r="Q975" s="4">
        <f t="shared" si="47"/>
        <v>12.467795499999999</v>
      </c>
    </row>
    <row r="976" spans="1:17" x14ac:dyDescent="0.4">
      <c r="A976">
        <v>20210821</v>
      </c>
      <c r="B976" s="1">
        <v>0.29166666666666669</v>
      </c>
      <c r="C976">
        <v>163282</v>
      </c>
      <c r="D976">
        <v>199522</v>
      </c>
      <c r="E976">
        <v>197104</v>
      </c>
      <c r="F976">
        <v>157686</v>
      </c>
      <c r="G976">
        <v>47524</v>
      </c>
      <c r="H976">
        <v>442899</v>
      </c>
      <c r="I976">
        <v>-138113</v>
      </c>
      <c r="J976">
        <v>-46184</v>
      </c>
      <c r="K976">
        <v>263176</v>
      </c>
      <c r="L976">
        <v>-14883</v>
      </c>
      <c r="M976">
        <v>6.63</v>
      </c>
      <c r="N976">
        <f t="shared" si="45"/>
        <v>1272013</v>
      </c>
      <c r="O976">
        <v>19579550</v>
      </c>
      <c r="P976" s="2">
        <f t="shared" si="46"/>
        <v>6.4966406275935862</v>
      </c>
      <c r="Q976" s="4">
        <f t="shared" si="47"/>
        <v>12.981241649999999</v>
      </c>
    </row>
    <row r="977" spans="1:17" x14ac:dyDescent="0.4">
      <c r="A977">
        <v>20210821</v>
      </c>
      <c r="B977" s="1">
        <v>0.3125</v>
      </c>
      <c r="C977">
        <v>156124</v>
      </c>
      <c r="D977">
        <v>93423</v>
      </c>
      <c r="E977">
        <v>44442</v>
      </c>
      <c r="F977">
        <v>107202</v>
      </c>
      <c r="G977">
        <v>52828</v>
      </c>
      <c r="H977">
        <v>434792</v>
      </c>
      <c r="I977">
        <v>-259146</v>
      </c>
      <c r="J977">
        <v>-79376</v>
      </c>
      <c r="K977">
        <v>336415</v>
      </c>
      <c r="L977">
        <v>-25912</v>
      </c>
      <c r="M977">
        <v>6.63</v>
      </c>
      <c r="N977">
        <f t="shared" si="45"/>
        <v>860792</v>
      </c>
      <c r="O977">
        <v>19875300</v>
      </c>
      <c r="P977" s="2">
        <f t="shared" si="46"/>
        <v>4.3309635577827752</v>
      </c>
      <c r="Q977" s="4">
        <f t="shared" si="47"/>
        <v>13.177323899999999</v>
      </c>
    </row>
    <row r="978" spans="1:17" x14ac:dyDescent="0.4">
      <c r="A978">
        <v>20210821</v>
      </c>
      <c r="B978" s="1">
        <v>0.33333333333333331</v>
      </c>
      <c r="C978">
        <v>210066</v>
      </c>
      <c r="D978">
        <v>206415</v>
      </c>
      <c r="E978">
        <v>57719</v>
      </c>
      <c r="F978">
        <v>381678</v>
      </c>
      <c r="G978">
        <v>57520</v>
      </c>
      <c r="H978">
        <v>175639</v>
      </c>
      <c r="I978">
        <v>-268239</v>
      </c>
      <c r="J978">
        <v>-106881</v>
      </c>
      <c r="K978">
        <v>451228</v>
      </c>
      <c r="L978">
        <v>-20578</v>
      </c>
      <c r="M978">
        <v>6.74</v>
      </c>
      <c r="N978">
        <f t="shared" si="45"/>
        <v>1144567</v>
      </c>
      <c r="O978">
        <v>20682500</v>
      </c>
      <c r="P978" s="2">
        <f t="shared" si="46"/>
        <v>5.5339876707361295</v>
      </c>
      <c r="Q978" s="4">
        <f t="shared" si="47"/>
        <v>13.940004999999999</v>
      </c>
    </row>
    <row r="979" spans="1:17" x14ac:dyDescent="0.4">
      <c r="A979">
        <v>20210821</v>
      </c>
      <c r="B979" s="1">
        <v>0.35416666666666669</v>
      </c>
      <c r="C979">
        <v>196255</v>
      </c>
      <c r="D979">
        <v>153230</v>
      </c>
      <c r="E979">
        <v>-162892</v>
      </c>
      <c r="F979">
        <v>370334</v>
      </c>
      <c r="G979">
        <v>49355</v>
      </c>
      <c r="H979">
        <v>81342</v>
      </c>
      <c r="I979">
        <v>-343492</v>
      </c>
      <c r="J979">
        <v>-112445</v>
      </c>
      <c r="K979">
        <v>495888</v>
      </c>
      <c r="L979">
        <v>-28525</v>
      </c>
      <c r="M979">
        <v>6.93</v>
      </c>
      <c r="N979">
        <f t="shared" si="45"/>
        <v>699050</v>
      </c>
      <c r="O979">
        <v>20879600</v>
      </c>
      <c r="P979" s="2">
        <f t="shared" si="46"/>
        <v>3.3480047510488706</v>
      </c>
      <c r="Q979" s="4">
        <f t="shared" si="47"/>
        <v>14.4695628</v>
      </c>
    </row>
    <row r="980" spans="1:17" x14ac:dyDescent="0.4">
      <c r="A980">
        <v>20210821</v>
      </c>
      <c r="B980" s="1">
        <v>0.375</v>
      </c>
      <c r="C980">
        <v>193815</v>
      </c>
      <c r="D980">
        <v>203912</v>
      </c>
      <c r="E980">
        <v>-145667</v>
      </c>
      <c r="F980">
        <v>393876</v>
      </c>
      <c r="G980">
        <v>79038</v>
      </c>
      <c r="H980">
        <v>-24078</v>
      </c>
      <c r="I980">
        <v>-396351</v>
      </c>
      <c r="J980">
        <v>-109244</v>
      </c>
      <c r="K980">
        <v>278839</v>
      </c>
      <c r="L980">
        <v>-16738</v>
      </c>
      <c r="M980">
        <v>8.39</v>
      </c>
      <c r="N980">
        <f t="shared" si="45"/>
        <v>457402</v>
      </c>
      <c r="O980">
        <v>21365950</v>
      </c>
      <c r="P980" s="2">
        <f t="shared" si="46"/>
        <v>2.1407987943433362</v>
      </c>
      <c r="Q980" s="4">
        <f t="shared" si="47"/>
        <v>17.92603205</v>
      </c>
    </row>
    <row r="981" spans="1:17" x14ac:dyDescent="0.4">
      <c r="A981">
        <v>20210821</v>
      </c>
      <c r="B981" s="1">
        <v>0.39583333333333331</v>
      </c>
      <c r="C981">
        <v>128254</v>
      </c>
      <c r="D981">
        <v>217991</v>
      </c>
      <c r="E981">
        <v>-544750</v>
      </c>
      <c r="F981">
        <v>457598</v>
      </c>
      <c r="G981">
        <v>123810</v>
      </c>
      <c r="H981">
        <v>32689</v>
      </c>
      <c r="I981">
        <v>-377528</v>
      </c>
      <c r="J981">
        <v>-80420</v>
      </c>
      <c r="K981">
        <v>275008</v>
      </c>
      <c r="L981">
        <v>-9066</v>
      </c>
      <c r="M981">
        <v>7.95</v>
      </c>
      <c r="N981">
        <f t="shared" si="45"/>
        <v>223586</v>
      </c>
      <c r="O981">
        <v>22353450</v>
      </c>
      <c r="P981" s="2">
        <f t="shared" si="46"/>
        <v>1.0002303894924498</v>
      </c>
      <c r="Q981" s="4">
        <f t="shared" si="47"/>
        <v>17.770992750000001</v>
      </c>
    </row>
    <row r="982" spans="1:17" x14ac:dyDescent="0.4">
      <c r="A982">
        <v>20210821</v>
      </c>
      <c r="B982" s="1">
        <v>0.41666666666666669</v>
      </c>
      <c r="C982">
        <v>103031</v>
      </c>
      <c r="D982">
        <v>184737</v>
      </c>
      <c r="E982">
        <v>-352228</v>
      </c>
      <c r="F982">
        <v>667179</v>
      </c>
      <c r="G982">
        <v>96563</v>
      </c>
      <c r="H982">
        <v>-2153</v>
      </c>
      <c r="I982">
        <v>-291599</v>
      </c>
      <c r="J982">
        <v>-78646</v>
      </c>
      <c r="K982">
        <v>363603</v>
      </c>
      <c r="L982">
        <v>-7468</v>
      </c>
      <c r="M982">
        <v>7.64</v>
      </c>
      <c r="N982">
        <f t="shared" si="45"/>
        <v>683019</v>
      </c>
      <c r="O982">
        <v>22526700</v>
      </c>
      <c r="P982" s="2">
        <f t="shared" si="46"/>
        <v>3.0320419768541331</v>
      </c>
      <c r="Q982" s="4">
        <f t="shared" si="47"/>
        <v>17.2103988</v>
      </c>
    </row>
    <row r="983" spans="1:17" x14ac:dyDescent="0.4">
      <c r="A983">
        <v>20210821</v>
      </c>
      <c r="B983" s="1">
        <v>0.4375</v>
      </c>
      <c r="C983">
        <v>134978</v>
      </c>
      <c r="D983">
        <v>181630</v>
      </c>
      <c r="E983">
        <v>-231491</v>
      </c>
      <c r="F983">
        <v>696360</v>
      </c>
      <c r="G983">
        <v>89186</v>
      </c>
      <c r="H983">
        <v>86649</v>
      </c>
      <c r="I983">
        <v>-201013</v>
      </c>
      <c r="J983">
        <v>-70288</v>
      </c>
      <c r="K983">
        <v>627067</v>
      </c>
      <c r="L983">
        <v>-12556</v>
      </c>
      <c r="M983">
        <v>7.95</v>
      </c>
      <c r="N983">
        <f t="shared" si="45"/>
        <v>1300522</v>
      </c>
      <c r="O983">
        <v>22624900</v>
      </c>
      <c r="P983" s="2">
        <f t="shared" si="46"/>
        <v>5.7481889422715682</v>
      </c>
      <c r="Q983" s="4">
        <f t="shared" si="47"/>
        <v>17.986795499999999</v>
      </c>
    </row>
    <row r="984" spans="1:17" x14ac:dyDescent="0.4">
      <c r="A984">
        <v>20210821</v>
      </c>
      <c r="B984" s="1">
        <v>0.45833333333333331</v>
      </c>
      <c r="C984">
        <v>80849</v>
      </c>
      <c r="D984">
        <v>221330</v>
      </c>
      <c r="E984">
        <v>143252</v>
      </c>
      <c r="F984">
        <v>485249</v>
      </c>
      <c r="G984">
        <v>73947</v>
      </c>
      <c r="H984">
        <v>49312</v>
      </c>
      <c r="I984">
        <v>-138076</v>
      </c>
      <c r="J984">
        <v>11548</v>
      </c>
      <c r="K984">
        <v>587924</v>
      </c>
      <c r="L984">
        <v>-16236</v>
      </c>
      <c r="M984">
        <v>7.63</v>
      </c>
      <c r="N984">
        <f t="shared" si="45"/>
        <v>1499099</v>
      </c>
      <c r="O984">
        <v>22770650</v>
      </c>
      <c r="P984" s="2">
        <f t="shared" si="46"/>
        <v>6.5834703884166679</v>
      </c>
      <c r="Q984" s="4">
        <f t="shared" si="47"/>
        <v>17.374005950000001</v>
      </c>
    </row>
    <row r="985" spans="1:17" x14ac:dyDescent="0.4">
      <c r="A985">
        <v>20210821</v>
      </c>
      <c r="B985" s="1">
        <v>0.47916666666666669</v>
      </c>
      <c r="C985">
        <v>84110</v>
      </c>
      <c r="D985">
        <v>244364</v>
      </c>
      <c r="E985">
        <v>262055</v>
      </c>
      <c r="F985">
        <v>409078</v>
      </c>
      <c r="G985">
        <v>29221</v>
      </c>
      <c r="H985">
        <v>-45006</v>
      </c>
      <c r="I985">
        <v>-114729</v>
      </c>
      <c r="J985">
        <v>59722</v>
      </c>
      <c r="K985">
        <v>585625</v>
      </c>
      <c r="L985">
        <v>-15447</v>
      </c>
      <c r="M985">
        <v>7.24</v>
      </c>
      <c r="N985">
        <f t="shared" si="45"/>
        <v>1498993</v>
      </c>
      <c r="O985">
        <v>22949400</v>
      </c>
      <c r="P985" s="2">
        <f t="shared" si="46"/>
        <v>6.5317306770547381</v>
      </c>
      <c r="Q985" s="4">
        <f t="shared" si="47"/>
        <v>16.615365600000001</v>
      </c>
    </row>
    <row r="986" spans="1:17" x14ac:dyDescent="0.4">
      <c r="A986">
        <v>20210821</v>
      </c>
      <c r="B986" s="1">
        <v>0.5</v>
      </c>
      <c r="C986">
        <v>131121</v>
      </c>
      <c r="D986">
        <v>307289</v>
      </c>
      <c r="E986">
        <v>430974</v>
      </c>
      <c r="F986">
        <v>199483</v>
      </c>
      <c r="G986">
        <v>16263</v>
      </c>
      <c r="H986">
        <v>-73716</v>
      </c>
      <c r="I986">
        <v>20466</v>
      </c>
      <c r="J986">
        <v>1438</v>
      </c>
      <c r="K986">
        <v>623462</v>
      </c>
      <c r="L986">
        <v>-19220</v>
      </c>
      <c r="M986">
        <v>7.15</v>
      </c>
      <c r="N986">
        <f t="shared" si="45"/>
        <v>1637560</v>
      </c>
      <c r="O986">
        <v>23041950</v>
      </c>
      <c r="P986" s="2">
        <f t="shared" si="46"/>
        <v>7.1068637854001073</v>
      </c>
      <c r="Q986" s="4">
        <f t="shared" si="47"/>
        <v>16.474994250000002</v>
      </c>
    </row>
    <row r="987" spans="1:17" x14ac:dyDescent="0.4">
      <c r="A987">
        <v>20210821</v>
      </c>
      <c r="B987" s="1">
        <v>0.52083333333333337</v>
      </c>
      <c r="C987">
        <v>155290</v>
      </c>
      <c r="D987">
        <v>337793</v>
      </c>
      <c r="E987">
        <v>622344</v>
      </c>
      <c r="F987">
        <v>101090</v>
      </c>
      <c r="G987">
        <v>-2099</v>
      </c>
      <c r="H987">
        <v>-83633</v>
      </c>
      <c r="I987">
        <v>27106</v>
      </c>
      <c r="J987">
        <v>-102850</v>
      </c>
      <c r="K987">
        <v>582464</v>
      </c>
      <c r="L987">
        <v>-30078</v>
      </c>
      <c r="M987">
        <v>7.15</v>
      </c>
      <c r="N987">
        <f t="shared" si="45"/>
        <v>1607427</v>
      </c>
      <c r="O987">
        <v>23096500</v>
      </c>
      <c r="P987" s="2">
        <f t="shared" si="46"/>
        <v>6.9596129283657699</v>
      </c>
      <c r="Q987" s="4">
        <f t="shared" si="47"/>
        <v>16.513997499999999</v>
      </c>
    </row>
    <row r="988" spans="1:17" x14ac:dyDescent="0.4">
      <c r="A988">
        <v>20210821</v>
      </c>
      <c r="B988" s="1">
        <v>0.54166666666666663</v>
      </c>
      <c r="C988">
        <v>147146</v>
      </c>
      <c r="D988">
        <v>301743</v>
      </c>
      <c r="E988">
        <v>496554</v>
      </c>
      <c r="F988">
        <v>36598</v>
      </c>
      <c r="G988">
        <v>-16847</v>
      </c>
      <c r="H988">
        <v>-72601</v>
      </c>
      <c r="I988">
        <v>-30251</v>
      </c>
      <c r="J988">
        <v>-92582</v>
      </c>
      <c r="K988">
        <v>547757</v>
      </c>
      <c r="L988">
        <v>-27654</v>
      </c>
      <c r="M988">
        <v>7.95</v>
      </c>
      <c r="N988">
        <f t="shared" si="45"/>
        <v>1289863</v>
      </c>
      <c r="O988">
        <v>22390400</v>
      </c>
      <c r="P988" s="2">
        <f t="shared" si="46"/>
        <v>5.7607858725167933</v>
      </c>
      <c r="Q988" s="4">
        <f t="shared" si="47"/>
        <v>17.800367999999999</v>
      </c>
    </row>
    <row r="989" spans="1:17" x14ac:dyDescent="0.4">
      <c r="A989">
        <v>20210821</v>
      </c>
      <c r="B989" s="1">
        <v>0.5625</v>
      </c>
      <c r="C989">
        <v>184207</v>
      </c>
      <c r="D989">
        <v>375796</v>
      </c>
      <c r="E989">
        <v>91058</v>
      </c>
      <c r="F989">
        <v>155968</v>
      </c>
      <c r="G989">
        <v>22132</v>
      </c>
      <c r="H989">
        <v>183631</v>
      </c>
      <c r="I989">
        <v>-77844</v>
      </c>
      <c r="J989">
        <v>-119157</v>
      </c>
      <c r="K989">
        <v>484482</v>
      </c>
      <c r="L989">
        <v>-309</v>
      </c>
      <c r="M989">
        <v>7.97</v>
      </c>
      <c r="N989">
        <f t="shared" si="45"/>
        <v>1299964</v>
      </c>
      <c r="O989">
        <v>22046000</v>
      </c>
      <c r="P989" s="2">
        <f t="shared" si="46"/>
        <v>5.8965980223169732</v>
      </c>
      <c r="Q989" s="4">
        <f t="shared" si="47"/>
        <v>17.570661999999999</v>
      </c>
    </row>
    <row r="990" spans="1:17" x14ac:dyDescent="0.4">
      <c r="A990">
        <v>20210821</v>
      </c>
      <c r="B990" s="1">
        <v>0.58333333333333337</v>
      </c>
      <c r="C990">
        <v>140101</v>
      </c>
      <c r="D990">
        <v>257339</v>
      </c>
      <c r="E990">
        <v>-217739</v>
      </c>
      <c r="F990">
        <v>271560</v>
      </c>
      <c r="G990">
        <v>51837</v>
      </c>
      <c r="H990">
        <v>171581</v>
      </c>
      <c r="I990">
        <v>-141788</v>
      </c>
      <c r="J990">
        <v>-86946</v>
      </c>
      <c r="K990">
        <v>549669</v>
      </c>
      <c r="L990">
        <v>19271</v>
      </c>
      <c r="M990">
        <v>7.65</v>
      </c>
      <c r="N990">
        <f t="shared" si="45"/>
        <v>1014885</v>
      </c>
      <c r="O990">
        <v>21739750</v>
      </c>
      <c r="P990" s="2">
        <f t="shared" si="46"/>
        <v>4.6683379523683577</v>
      </c>
      <c r="Q990" s="4">
        <f t="shared" si="47"/>
        <v>16.63090875</v>
      </c>
    </row>
    <row r="991" spans="1:17" x14ac:dyDescent="0.4">
      <c r="A991">
        <v>20210821</v>
      </c>
      <c r="B991" s="1">
        <v>0.60416666666666663</v>
      </c>
      <c r="C991">
        <v>160074</v>
      </c>
      <c r="D991">
        <v>76087</v>
      </c>
      <c r="E991">
        <v>-270805</v>
      </c>
      <c r="F991">
        <v>121896</v>
      </c>
      <c r="G991">
        <v>62418</v>
      </c>
      <c r="H991">
        <v>205925</v>
      </c>
      <c r="I991">
        <v>-61183</v>
      </c>
      <c r="J991">
        <v>-46665</v>
      </c>
      <c r="K991">
        <v>485338</v>
      </c>
      <c r="L991">
        <v>15312</v>
      </c>
      <c r="M991">
        <v>8.14</v>
      </c>
      <c r="N991">
        <f t="shared" si="45"/>
        <v>748397</v>
      </c>
      <c r="O991">
        <v>21385400</v>
      </c>
      <c r="P991" s="2">
        <f t="shared" si="46"/>
        <v>3.4995697999569799</v>
      </c>
      <c r="Q991" s="4">
        <f t="shared" si="47"/>
        <v>17.4077156</v>
      </c>
    </row>
    <row r="992" spans="1:17" x14ac:dyDescent="0.4">
      <c r="A992">
        <v>20210821</v>
      </c>
      <c r="B992" s="1">
        <v>0.625</v>
      </c>
      <c r="C992">
        <v>127872</v>
      </c>
      <c r="D992">
        <v>-50867</v>
      </c>
      <c r="E992">
        <v>-303076</v>
      </c>
      <c r="F992">
        <v>191741</v>
      </c>
      <c r="G992">
        <v>66008</v>
      </c>
      <c r="H992">
        <v>196796</v>
      </c>
      <c r="I992">
        <v>-10233</v>
      </c>
      <c r="J992">
        <v>-52469</v>
      </c>
      <c r="K992">
        <v>581931</v>
      </c>
      <c r="L992">
        <v>-1815</v>
      </c>
      <c r="M992">
        <v>8.39</v>
      </c>
      <c r="N992">
        <f t="shared" si="45"/>
        <v>745888</v>
      </c>
      <c r="O992">
        <v>21239850</v>
      </c>
      <c r="P992" s="2">
        <f t="shared" si="46"/>
        <v>3.5117385480594261</v>
      </c>
      <c r="Q992" s="4">
        <f t="shared" si="47"/>
        <v>17.820234150000001</v>
      </c>
    </row>
    <row r="993" spans="1:17" x14ac:dyDescent="0.4">
      <c r="A993">
        <v>20210821</v>
      </c>
      <c r="B993" s="1">
        <v>0.64583333333333337</v>
      </c>
      <c r="C993">
        <v>123990</v>
      </c>
      <c r="D993">
        <v>-110350</v>
      </c>
      <c r="E993">
        <v>-523272</v>
      </c>
      <c r="F993">
        <v>105487</v>
      </c>
      <c r="G993">
        <v>220</v>
      </c>
      <c r="H993">
        <v>132053</v>
      </c>
      <c r="I993">
        <v>-11304</v>
      </c>
      <c r="J993">
        <v>-73005</v>
      </c>
      <c r="K993">
        <v>324337</v>
      </c>
      <c r="L993">
        <v>-3331</v>
      </c>
      <c r="M993">
        <v>8.39</v>
      </c>
      <c r="N993">
        <f t="shared" si="45"/>
        <v>-35175</v>
      </c>
      <c r="O993">
        <v>21068150</v>
      </c>
      <c r="P993" s="2">
        <f t="shared" si="46"/>
        <v>-0.16695818095086659</v>
      </c>
      <c r="Q993" s="4">
        <f t="shared" si="47"/>
        <v>17.676177849999998</v>
      </c>
    </row>
    <row r="994" spans="1:17" x14ac:dyDescent="0.4">
      <c r="A994">
        <v>20210821</v>
      </c>
      <c r="B994" s="1">
        <v>0.66666666666666663</v>
      </c>
      <c r="C994">
        <v>76789</v>
      </c>
      <c r="D994">
        <v>14355</v>
      </c>
      <c r="E994">
        <v>-597479</v>
      </c>
      <c r="F994">
        <v>161519</v>
      </c>
      <c r="G994">
        <v>-10506</v>
      </c>
      <c r="H994">
        <v>274356</v>
      </c>
      <c r="I994">
        <v>10455</v>
      </c>
      <c r="J994">
        <v>-59257</v>
      </c>
      <c r="K994">
        <v>267130</v>
      </c>
      <c r="L994">
        <v>11876</v>
      </c>
      <c r="M994">
        <v>8.86</v>
      </c>
      <c r="N994">
        <f t="shared" si="45"/>
        <v>149238</v>
      </c>
      <c r="O994">
        <v>21691550</v>
      </c>
      <c r="P994" s="2">
        <f t="shared" si="46"/>
        <v>0.68800062697225417</v>
      </c>
      <c r="Q994" s="4">
        <f t="shared" si="47"/>
        <v>19.218713300000001</v>
      </c>
    </row>
    <row r="995" spans="1:17" x14ac:dyDescent="0.4">
      <c r="A995">
        <v>20210821</v>
      </c>
      <c r="B995" s="1">
        <v>0.6875</v>
      </c>
      <c r="C995">
        <v>101567</v>
      </c>
      <c r="D995">
        <v>-94255</v>
      </c>
      <c r="E995">
        <v>-336019</v>
      </c>
      <c r="F995">
        <v>75893</v>
      </c>
      <c r="G995">
        <v>-33297</v>
      </c>
      <c r="H995">
        <v>296621</v>
      </c>
      <c r="I995">
        <v>9357</v>
      </c>
      <c r="J995">
        <v>24119</v>
      </c>
      <c r="K995">
        <v>121607</v>
      </c>
      <c r="L995">
        <v>4665</v>
      </c>
      <c r="M995">
        <v>8.99</v>
      </c>
      <c r="N995">
        <f t="shared" si="45"/>
        <v>170258</v>
      </c>
      <c r="O995">
        <v>21195250</v>
      </c>
      <c r="P995" s="2">
        <f t="shared" si="46"/>
        <v>0.80328375461483115</v>
      </c>
      <c r="Q995" s="4">
        <f t="shared" si="47"/>
        <v>19.05452975</v>
      </c>
    </row>
    <row r="996" spans="1:17" x14ac:dyDescent="0.4">
      <c r="A996">
        <v>20210821</v>
      </c>
      <c r="B996" s="1">
        <v>0.70833333333333337</v>
      </c>
      <c r="C996">
        <v>58017</v>
      </c>
      <c r="D996">
        <v>74956</v>
      </c>
      <c r="E996">
        <v>-396510</v>
      </c>
      <c r="F996">
        <v>64078</v>
      </c>
      <c r="G996">
        <v>-36578</v>
      </c>
      <c r="H996">
        <v>418204</v>
      </c>
      <c r="I996">
        <v>27516</v>
      </c>
      <c r="J996">
        <v>12905</v>
      </c>
      <c r="K996">
        <v>36901</v>
      </c>
      <c r="L996">
        <v>4565</v>
      </c>
      <c r="M996">
        <v>8.98</v>
      </c>
      <c r="N996">
        <f t="shared" si="45"/>
        <v>264054</v>
      </c>
      <c r="O996">
        <v>21136350</v>
      </c>
      <c r="P996" s="2">
        <f t="shared" si="46"/>
        <v>1.2492885479280955</v>
      </c>
      <c r="Q996" s="4">
        <f t="shared" si="47"/>
        <v>18.9804423</v>
      </c>
    </row>
    <row r="997" spans="1:17" x14ac:dyDescent="0.4">
      <c r="A997">
        <v>20210821</v>
      </c>
      <c r="B997" s="1">
        <v>0.72916666666666663</v>
      </c>
      <c r="C997">
        <v>75278</v>
      </c>
      <c r="D997">
        <v>38592</v>
      </c>
      <c r="E997">
        <v>-317035</v>
      </c>
      <c r="F997">
        <v>-6466</v>
      </c>
      <c r="G997">
        <v>-33030</v>
      </c>
      <c r="H997">
        <v>364768</v>
      </c>
      <c r="I997">
        <v>115518</v>
      </c>
      <c r="J997">
        <v>1635</v>
      </c>
      <c r="K997">
        <v>-100411</v>
      </c>
      <c r="L997">
        <v>-2332</v>
      </c>
      <c r="M997">
        <v>9.25</v>
      </c>
      <c r="N997">
        <f t="shared" si="45"/>
        <v>136517</v>
      </c>
      <c r="O997">
        <v>20855000</v>
      </c>
      <c r="P997" s="2">
        <f t="shared" si="46"/>
        <v>0.65460081515224167</v>
      </c>
      <c r="Q997" s="4">
        <f t="shared" si="47"/>
        <v>19.290875</v>
      </c>
    </row>
    <row r="998" spans="1:17" x14ac:dyDescent="0.4">
      <c r="A998">
        <v>20210821</v>
      </c>
      <c r="B998" s="1">
        <v>0.75</v>
      </c>
      <c r="C998">
        <v>72861</v>
      </c>
      <c r="D998">
        <v>-3520</v>
      </c>
      <c r="E998">
        <v>-446570</v>
      </c>
      <c r="F998">
        <v>47693</v>
      </c>
      <c r="G998">
        <v>-15700</v>
      </c>
      <c r="H998">
        <v>384757</v>
      </c>
      <c r="I998">
        <v>34347</v>
      </c>
      <c r="J998">
        <v>3044</v>
      </c>
      <c r="K998">
        <v>-122771</v>
      </c>
      <c r="L998">
        <v>7321</v>
      </c>
      <c r="M998">
        <v>9.41</v>
      </c>
      <c r="N998">
        <f t="shared" si="45"/>
        <v>-38538</v>
      </c>
      <c r="O998">
        <v>20728200</v>
      </c>
      <c r="P998" s="2">
        <f t="shared" si="46"/>
        <v>-0.18592062986655861</v>
      </c>
      <c r="Q998" s="4">
        <f t="shared" si="47"/>
        <v>19.505236199999999</v>
      </c>
    </row>
    <row r="999" spans="1:17" x14ac:dyDescent="0.4">
      <c r="A999">
        <v>20210821</v>
      </c>
      <c r="B999" s="1">
        <v>0.77083333333333337</v>
      </c>
      <c r="C999">
        <v>56576</v>
      </c>
      <c r="D999">
        <v>-78500</v>
      </c>
      <c r="E999">
        <v>-459409</v>
      </c>
      <c r="F999">
        <v>43945</v>
      </c>
      <c r="G999">
        <v>-16761</v>
      </c>
      <c r="H999">
        <v>324453</v>
      </c>
      <c r="I999">
        <v>-42580</v>
      </c>
      <c r="J999">
        <v>-25677</v>
      </c>
      <c r="K999">
        <v>-135562</v>
      </c>
      <c r="L999">
        <v>1124</v>
      </c>
      <c r="M999">
        <v>9.61</v>
      </c>
      <c r="N999">
        <f t="shared" si="45"/>
        <v>-332391</v>
      </c>
      <c r="O999">
        <v>20551250</v>
      </c>
      <c r="P999" s="2">
        <f t="shared" si="46"/>
        <v>-1.6173760720150843</v>
      </c>
      <c r="Q999" s="4">
        <f t="shared" si="47"/>
        <v>19.749751249999999</v>
      </c>
    </row>
    <row r="1000" spans="1:17" x14ac:dyDescent="0.4">
      <c r="A1000">
        <v>20210821</v>
      </c>
      <c r="B1000" s="1">
        <v>0.79166666666666663</v>
      </c>
      <c r="C1000">
        <v>37190</v>
      </c>
      <c r="D1000">
        <v>-17711</v>
      </c>
      <c r="E1000">
        <v>-375306</v>
      </c>
      <c r="F1000">
        <v>99964</v>
      </c>
      <c r="G1000">
        <v>-14515</v>
      </c>
      <c r="H1000">
        <v>327324</v>
      </c>
      <c r="I1000">
        <v>-39439</v>
      </c>
      <c r="J1000">
        <v>9114</v>
      </c>
      <c r="K1000">
        <v>-105661</v>
      </c>
      <c r="L1000">
        <v>2330</v>
      </c>
      <c r="M1000">
        <v>9.48</v>
      </c>
      <c r="N1000">
        <f t="shared" si="45"/>
        <v>-76710</v>
      </c>
      <c r="O1000">
        <v>20484450</v>
      </c>
      <c r="P1000" s="2">
        <f t="shared" si="46"/>
        <v>-0.37447917810827236</v>
      </c>
      <c r="Q1000" s="4">
        <f t="shared" si="47"/>
        <v>19.419258599999999</v>
      </c>
    </row>
    <row r="1001" spans="1:17" x14ac:dyDescent="0.4">
      <c r="A1001">
        <v>20210821</v>
      </c>
      <c r="B1001" s="1">
        <v>0.8125</v>
      </c>
      <c r="C1001">
        <v>1845</v>
      </c>
      <c r="D1001">
        <v>24443</v>
      </c>
      <c r="E1001">
        <v>-334381</v>
      </c>
      <c r="F1001">
        <v>190120</v>
      </c>
      <c r="G1001">
        <v>-852</v>
      </c>
      <c r="H1001">
        <v>250142</v>
      </c>
      <c r="I1001">
        <v>33158</v>
      </c>
      <c r="J1001">
        <v>4667</v>
      </c>
      <c r="K1001">
        <v>33459</v>
      </c>
      <c r="L1001">
        <v>2866</v>
      </c>
      <c r="M1001">
        <v>8.99</v>
      </c>
      <c r="N1001">
        <f t="shared" si="45"/>
        <v>205467</v>
      </c>
      <c r="O1001">
        <v>20340250</v>
      </c>
      <c r="P1001" s="2">
        <f t="shared" si="46"/>
        <v>1.0101498260837503</v>
      </c>
      <c r="Q1001" s="4">
        <f t="shared" si="47"/>
        <v>18.285884750000001</v>
      </c>
    </row>
    <row r="1002" spans="1:17" x14ac:dyDescent="0.4">
      <c r="A1002">
        <v>20210821</v>
      </c>
      <c r="B1002" s="1">
        <v>0.83333333333333337</v>
      </c>
      <c r="C1002">
        <v>64864</v>
      </c>
      <c r="D1002">
        <v>13855</v>
      </c>
      <c r="E1002">
        <v>-529099</v>
      </c>
      <c r="F1002">
        <v>241125</v>
      </c>
      <c r="G1002">
        <v>13295</v>
      </c>
      <c r="H1002">
        <v>319443</v>
      </c>
      <c r="I1002">
        <v>15814</v>
      </c>
      <c r="J1002">
        <v>13145</v>
      </c>
      <c r="K1002">
        <v>108603</v>
      </c>
      <c r="L1002">
        <v>-5527</v>
      </c>
      <c r="M1002">
        <v>8.86</v>
      </c>
      <c r="N1002">
        <f t="shared" si="45"/>
        <v>255518</v>
      </c>
      <c r="O1002">
        <v>20081050</v>
      </c>
      <c r="P1002" s="2">
        <f t="shared" si="46"/>
        <v>1.2724334633896135</v>
      </c>
      <c r="Q1002" s="4">
        <f t="shared" si="47"/>
        <v>17.791810300000002</v>
      </c>
    </row>
    <row r="1003" spans="1:17" x14ac:dyDescent="0.4">
      <c r="A1003">
        <v>20210821</v>
      </c>
      <c r="B1003" s="1">
        <v>0.85416666666666663</v>
      </c>
      <c r="C1003">
        <v>75146</v>
      </c>
      <c r="D1003">
        <v>29799</v>
      </c>
      <c r="E1003">
        <v>-87853</v>
      </c>
      <c r="F1003">
        <v>198309</v>
      </c>
      <c r="G1003">
        <v>20878</v>
      </c>
      <c r="H1003">
        <v>193871</v>
      </c>
      <c r="I1003">
        <v>39545</v>
      </c>
      <c r="J1003">
        <v>7228</v>
      </c>
      <c r="K1003">
        <v>118804</v>
      </c>
      <c r="L1003">
        <v>-2473</v>
      </c>
      <c r="M1003">
        <v>8.86</v>
      </c>
      <c r="N1003">
        <f t="shared" si="45"/>
        <v>593254</v>
      </c>
      <c r="O1003">
        <v>19701750</v>
      </c>
      <c r="P1003" s="2">
        <f t="shared" si="46"/>
        <v>3.0111741342774119</v>
      </c>
      <c r="Q1003" s="4">
        <f t="shared" si="47"/>
        <v>17.455750500000001</v>
      </c>
    </row>
    <row r="1004" spans="1:17" x14ac:dyDescent="0.4">
      <c r="A1004">
        <v>20210821</v>
      </c>
      <c r="B1004" s="1">
        <v>0.875</v>
      </c>
      <c r="C1004">
        <v>95721</v>
      </c>
      <c r="D1004">
        <v>44091</v>
      </c>
      <c r="E1004">
        <v>-153141</v>
      </c>
      <c r="F1004">
        <v>211816</v>
      </c>
      <c r="G1004">
        <v>32370</v>
      </c>
      <c r="H1004">
        <v>136417</v>
      </c>
      <c r="I1004">
        <v>6582</v>
      </c>
      <c r="J1004">
        <v>13570</v>
      </c>
      <c r="K1004">
        <v>132470</v>
      </c>
      <c r="L1004">
        <v>-10375</v>
      </c>
      <c r="M1004">
        <v>7.77</v>
      </c>
      <c r="N1004">
        <f t="shared" si="45"/>
        <v>509521</v>
      </c>
      <c r="O1004">
        <v>19697300</v>
      </c>
      <c r="P1004" s="2">
        <f t="shared" si="46"/>
        <v>2.5867555451762425</v>
      </c>
      <c r="Q1004" s="4">
        <f t="shared" si="47"/>
        <v>15.3048021</v>
      </c>
    </row>
    <row r="1005" spans="1:17" x14ac:dyDescent="0.4">
      <c r="A1005">
        <v>20210821</v>
      </c>
      <c r="B1005" s="1">
        <v>0.89583333333333337</v>
      </c>
      <c r="C1005">
        <v>47335</v>
      </c>
      <c r="D1005">
        <v>42588</v>
      </c>
      <c r="E1005">
        <v>-166744</v>
      </c>
      <c r="F1005">
        <v>229747</v>
      </c>
      <c r="G1005">
        <v>26760</v>
      </c>
      <c r="H1005">
        <v>195902</v>
      </c>
      <c r="I1005">
        <v>47598</v>
      </c>
      <c r="J1005">
        <v>4913</v>
      </c>
      <c r="K1005">
        <v>92093</v>
      </c>
      <c r="L1005">
        <v>-4386</v>
      </c>
      <c r="M1005">
        <v>7.41</v>
      </c>
      <c r="N1005">
        <f t="shared" si="45"/>
        <v>515806</v>
      </c>
      <c r="O1005">
        <v>19896800</v>
      </c>
      <c r="P1005" s="2">
        <f t="shared" si="46"/>
        <v>2.5924068191870049</v>
      </c>
      <c r="Q1005" s="4">
        <f t="shared" si="47"/>
        <v>14.7435288</v>
      </c>
    </row>
    <row r="1006" spans="1:17" x14ac:dyDescent="0.4">
      <c r="A1006">
        <v>20210821</v>
      </c>
      <c r="B1006" s="1">
        <v>0.91666666666666663</v>
      </c>
      <c r="C1006">
        <v>87852</v>
      </c>
      <c r="D1006">
        <v>41080</v>
      </c>
      <c r="E1006">
        <v>-362687</v>
      </c>
      <c r="F1006">
        <v>149485</v>
      </c>
      <c r="G1006">
        <v>11456</v>
      </c>
      <c r="H1006">
        <v>124236</v>
      </c>
      <c r="I1006">
        <v>30020</v>
      </c>
      <c r="J1006">
        <v>15220</v>
      </c>
      <c r="K1006">
        <v>136608</v>
      </c>
      <c r="L1006">
        <v>-115</v>
      </c>
      <c r="M1006">
        <v>7.31</v>
      </c>
      <c r="N1006">
        <f t="shared" si="45"/>
        <v>233155</v>
      </c>
      <c r="O1006">
        <v>19722250</v>
      </c>
      <c r="P1006" s="2">
        <f t="shared" si="46"/>
        <v>1.1821927011370406</v>
      </c>
      <c r="Q1006" s="4">
        <f t="shared" si="47"/>
        <v>14.41696475</v>
      </c>
    </row>
    <row r="1007" spans="1:17" x14ac:dyDescent="0.4">
      <c r="A1007">
        <v>20210821</v>
      </c>
      <c r="B1007" s="1">
        <v>0.9375</v>
      </c>
      <c r="C1007">
        <v>46747</v>
      </c>
      <c r="D1007">
        <v>73825</v>
      </c>
      <c r="E1007">
        <v>-322610</v>
      </c>
      <c r="F1007">
        <v>191189</v>
      </c>
      <c r="G1007">
        <v>2671</v>
      </c>
      <c r="H1007">
        <v>125611</v>
      </c>
      <c r="I1007">
        <v>34089</v>
      </c>
      <c r="J1007">
        <v>-1403</v>
      </c>
      <c r="K1007">
        <v>69982</v>
      </c>
      <c r="L1007">
        <v>6251</v>
      </c>
      <c r="M1007">
        <v>7.19</v>
      </c>
      <c r="N1007">
        <f t="shared" si="45"/>
        <v>226352</v>
      </c>
      <c r="O1007">
        <v>19516600</v>
      </c>
      <c r="P1007" s="2">
        <f t="shared" si="46"/>
        <v>1.1597921769160613</v>
      </c>
      <c r="Q1007" s="4">
        <f t="shared" si="47"/>
        <v>14.032435400000001</v>
      </c>
    </row>
    <row r="1008" spans="1:17" x14ac:dyDescent="0.4">
      <c r="A1008">
        <v>20210821</v>
      </c>
      <c r="B1008" s="1">
        <v>0.95833333333333337</v>
      </c>
      <c r="C1008">
        <v>43633</v>
      </c>
      <c r="D1008">
        <v>80407</v>
      </c>
      <c r="E1008">
        <v>-398042</v>
      </c>
      <c r="F1008">
        <v>138509</v>
      </c>
      <c r="G1008">
        <v>15029</v>
      </c>
      <c r="H1008">
        <v>90589</v>
      </c>
      <c r="I1008">
        <v>92978</v>
      </c>
      <c r="J1008">
        <v>-3278</v>
      </c>
      <c r="K1008">
        <v>88667</v>
      </c>
      <c r="L1008">
        <v>-12506</v>
      </c>
      <c r="M1008">
        <v>7.12</v>
      </c>
      <c r="N1008">
        <f t="shared" si="45"/>
        <v>135986</v>
      </c>
      <c r="O1008">
        <v>18953200</v>
      </c>
      <c r="P1008" s="2">
        <f t="shared" si="46"/>
        <v>0.71748306354599756</v>
      </c>
      <c r="Q1008" s="4">
        <f t="shared" si="47"/>
        <v>13.4946784</v>
      </c>
    </row>
    <row r="1009" spans="1:17" x14ac:dyDescent="0.4">
      <c r="A1009">
        <v>20210821</v>
      </c>
      <c r="B1009" s="1">
        <v>0.97916666666666663</v>
      </c>
      <c r="C1009">
        <v>64829</v>
      </c>
      <c r="D1009">
        <v>56813</v>
      </c>
      <c r="E1009">
        <v>-459846</v>
      </c>
      <c r="F1009">
        <v>78010</v>
      </c>
      <c r="G1009">
        <v>21560</v>
      </c>
      <c r="H1009">
        <v>150386</v>
      </c>
      <c r="I1009">
        <v>-1887</v>
      </c>
      <c r="J1009">
        <v>-26845</v>
      </c>
      <c r="K1009">
        <v>67155</v>
      </c>
      <c r="L1009">
        <v>-8244</v>
      </c>
      <c r="M1009">
        <v>6.85</v>
      </c>
      <c r="N1009">
        <f t="shared" si="45"/>
        <v>-58069</v>
      </c>
      <c r="O1009">
        <v>18448000</v>
      </c>
      <c r="P1009" s="2">
        <f t="shared" si="46"/>
        <v>-0.31477124891587166</v>
      </c>
      <c r="Q1009" s="4">
        <f t="shared" si="47"/>
        <v>12.63688</v>
      </c>
    </row>
    <row r="1010" spans="1:17" x14ac:dyDescent="0.4">
      <c r="A1010">
        <v>20210822</v>
      </c>
      <c r="B1010" s="1">
        <v>0</v>
      </c>
      <c r="C1010">
        <v>2591</v>
      </c>
      <c r="D1010">
        <v>40400</v>
      </c>
      <c r="E1010">
        <v>-563350</v>
      </c>
      <c r="F1010">
        <v>6637</v>
      </c>
      <c r="G1010">
        <v>17774</v>
      </c>
      <c r="H1010">
        <v>41114</v>
      </c>
      <c r="I1010">
        <v>-89174</v>
      </c>
      <c r="J1010">
        <v>-45059</v>
      </c>
      <c r="K1010">
        <v>34524</v>
      </c>
      <c r="L1010">
        <v>-7827</v>
      </c>
      <c r="M1010">
        <v>6.65</v>
      </c>
      <c r="N1010">
        <f t="shared" si="45"/>
        <v>-562370</v>
      </c>
      <c r="O1010">
        <v>17004350</v>
      </c>
      <c r="P1010" s="2">
        <f t="shared" si="46"/>
        <v>-3.3072125661962968</v>
      </c>
      <c r="Q1010" s="4">
        <f t="shared" si="47"/>
        <v>11.307892750000001</v>
      </c>
    </row>
    <row r="1011" spans="1:17" x14ac:dyDescent="0.4">
      <c r="A1011">
        <v>20210822</v>
      </c>
      <c r="B1011" s="1">
        <v>2.0833333333333332E-2</v>
      </c>
      <c r="C1011">
        <v>15832</v>
      </c>
      <c r="D1011">
        <v>-6285</v>
      </c>
      <c r="E1011">
        <v>-441978</v>
      </c>
      <c r="F1011">
        <v>-24013</v>
      </c>
      <c r="G1011">
        <v>3860</v>
      </c>
      <c r="H1011">
        <v>73672</v>
      </c>
      <c r="I1011">
        <v>-64540</v>
      </c>
      <c r="J1011">
        <v>-32296</v>
      </c>
      <c r="K1011">
        <v>25170</v>
      </c>
      <c r="L1011">
        <v>2695</v>
      </c>
      <c r="M1011">
        <v>6.55</v>
      </c>
      <c r="N1011">
        <f t="shared" si="45"/>
        <v>-447883</v>
      </c>
      <c r="O1011">
        <v>17769500</v>
      </c>
      <c r="P1011" s="2">
        <f t="shared" si="46"/>
        <v>-2.5205154900250428</v>
      </c>
      <c r="Q1011" s="4">
        <f t="shared" si="47"/>
        <v>11.639022499999999</v>
      </c>
    </row>
    <row r="1012" spans="1:17" x14ac:dyDescent="0.4">
      <c r="A1012">
        <v>20210822</v>
      </c>
      <c r="B1012" s="1">
        <v>4.1666666666666664E-2</v>
      </c>
      <c r="C1012">
        <v>9331</v>
      </c>
      <c r="D1012">
        <v>31343</v>
      </c>
      <c r="E1012">
        <v>-529475</v>
      </c>
      <c r="F1012">
        <v>-84253</v>
      </c>
      <c r="G1012">
        <v>11945</v>
      </c>
      <c r="H1012">
        <v>120813</v>
      </c>
      <c r="I1012">
        <v>9302</v>
      </c>
      <c r="J1012">
        <v>-32194</v>
      </c>
      <c r="K1012">
        <v>-3738</v>
      </c>
      <c r="L1012">
        <v>-50</v>
      </c>
      <c r="M1012">
        <v>6.55</v>
      </c>
      <c r="N1012">
        <f t="shared" si="45"/>
        <v>-466976</v>
      </c>
      <c r="O1012">
        <v>17974750</v>
      </c>
      <c r="P1012" s="2">
        <f t="shared" si="46"/>
        <v>-2.5979554653054979</v>
      </c>
      <c r="Q1012" s="4">
        <f t="shared" si="47"/>
        <v>11.77346125</v>
      </c>
    </row>
    <row r="1013" spans="1:17" x14ac:dyDescent="0.4">
      <c r="A1013">
        <v>20210822</v>
      </c>
      <c r="B1013" s="1">
        <v>6.25E-2</v>
      </c>
      <c r="C1013">
        <v>-4631</v>
      </c>
      <c r="D1013">
        <v>34368</v>
      </c>
      <c r="E1013">
        <v>-563128</v>
      </c>
      <c r="F1013">
        <v>2089</v>
      </c>
      <c r="G1013">
        <v>19301</v>
      </c>
      <c r="H1013">
        <v>74753</v>
      </c>
      <c r="I1013">
        <v>-8262</v>
      </c>
      <c r="J1013">
        <v>-35731</v>
      </c>
      <c r="K1013">
        <v>1590</v>
      </c>
      <c r="L1013">
        <v>2643</v>
      </c>
      <c r="M1013">
        <v>6.55</v>
      </c>
      <c r="N1013">
        <f t="shared" si="45"/>
        <v>-477008</v>
      </c>
      <c r="O1013">
        <v>17965500</v>
      </c>
      <c r="P1013" s="2">
        <f t="shared" si="46"/>
        <v>-2.6551334502240405</v>
      </c>
      <c r="Q1013" s="4">
        <f t="shared" si="47"/>
        <v>11.767402499999999</v>
      </c>
    </row>
    <row r="1014" spans="1:17" x14ac:dyDescent="0.4">
      <c r="A1014">
        <v>20210822</v>
      </c>
      <c r="B1014" s="1">
        <v>8.3333333333333329E-2</v>
      </c>
      <c r="C1014">
        <v>32083</v>
      </c>
      <c r="D1014">
        <v>-12772</v>
      </c>
      <c r="E1014">
        <v>-525753</v>
      </c>
      <c r="F1014">
        <v>-37233</v>
      </c>
      <c r="G1014">
        <v>37242</v>
      </c>
      <c r="H1014">
        <v>78982</v>
      </c>
      <c r="I1014">
        <v>69772</v>
      </c>
      <c r="J1014">
        <v>-20809</v>
      </c>
      <c r="K1014">
        <v>12462</v>
      </c>
      <c r="L1014">
        <v>-2264</v>
      </c>
      <c r="M1014">
        <v>6.43</v>
      </c>
      <c r="N1014">
        <f t="shared" si="45"/>
        <v>-368290</v>
      </c>
      <c r="O1014">
        <v>17779400</v>
      </c>
      <c r="P1014" s="2">
        <f t="shared" si="46"/>
        <v>-2.0714422308964306</v>
      </c>
      <c r="Q1014" s="4">
        <f t="shared" si="47"/>
        <v>11.432154199999999</v>
      </c>
    </row>
    <row r="1015" spans="1:17" x14ac:dyDescent="0.4">
      <c r="A1015">
        <v>20210822</v>
      </c>
      <c r="B1015" s="1">
        <v>0.10416666666666667</v>
      </c>
      <c r="C1015">
        <v>-345</v>
      </c>
      <c r="D1015">
        <v>-10352</v>
      </c>
      <c r="E1015">
        <v>-544358</v>
      </c>
      <c r="F1015">
        <v>-41811</v>
      </c>
      <c r="G1015">
        <v>15897</v>
      </c>
      <c r="H1015">
        <v>-38858</v>
      </c>
      <c r="I1015">
        <v>-11193</v>
      </c>
      <c r="J1015">
        <v>-20696</v>
      </c>
      <c r="K1015">
        <v>-32720</v>
      </c>
      <c r="L1015">
        <v>-9217</v>
      </c>
      <c r="M1015">
        <v>6.48</v>
      </c>
      <c r="N1015">
        <f t="shared" si="45"/>
        <v>-693653</v>
      </c>
      <c r="O1015">
        <v>17659100</v>
      </c>
      <c r="P1015" s="2">
        <f t="shared" si="46"/>
        <v>-3.9280201142753595</v>
      </c>
      <c r="Q1015" s="4">
        <f t="shared" si="47"/>
        <v>11.443096800000001</v>
      </c>
    </row>
    <row r="1016" spans="1:17" x14ac:dyDescent="0.4">
      <c r="A1016">
        <v>20210822</v>
      </c>
      <c r="B1016" s="1">
        <v>0.125</v>
      </c>
      <c r="C1016">
        <v>7306</v>
      </c>
      <c r="D1016">
        <v>8873</v>
      </c>
      <c r="E1016">
        <v>-525128</v>
      </c>
      <c r="F1016">
        <v>-89502</v>
      </c>
      <c r="G1016">
        <v>29543</v>
      </c>
      <c r="H1016">
        <v>7236</v>
      </c>
      <c r="I1016">
        <v>-12088</v>
      </c>
      <c r="J1016">
        <v>-21146</v>
      </c>
      <c r="K1016">
        <v>-21182</v>
      </c>
      <c r="L1016">
        <v>-13085</v>
      </c>
      <c r="M1016">
        <v>6.44</v>
      </c>
      <c r="N1016">
        <f t="shared" si="45"/>
        <v>-629173</v>
      </c>
      <c r="O1016">
        <v>17632900</v>
      </c>
      <c r="P1016" s="2">
        <f t="shared" si="46"/>
        <v>-3.5681765336388227</v>
      </c>
      <c r="Q1016" s="4">
        <f t="shared" si="47"/>
        <v>11.3555876</v>
      </c>
    </row>
    <row r="1017" spans="1:17" x14ac:dyDescent="0.4">
      <c r="A1017">
        <v>20210822</v>
      </c>
      <c r="B1017" s="1">
        <v>0.14583333333333334</v>
      </c>
      <c r="C1017">
        <v>-17627</v>
      </c>
      <c r="D1017">
        <v>-14028</v>
      </c>
      <c r="E1017">
        <v>-357039</v>
      </c>
      <c r="F1017">
        <v>-172587</v>
      </c>
      <c r="G1017">
        <v>-6770</v>
      </c>
      <c r="H1017">
        <v>-5521</v>
      </c>
      <c r="I1017">
        <v>-24012</v>
      </c>
      <c r="J1017">
        <v>-20564</v>
      </c>
      <c r="K1017">
        <v>22544</v>
      </c>
      <c r="L1017">
        <v>-9835</v>
      </c>
      <c r="M1017">
        <v>6.47</v>
      </c>
      <c r="N1017">
        <f t="shared" si="45"/>
        <v>-605439</v>
      </c>
      <c r="O1017">
        <v>17533000</v>
      </c>
      <c r="P1017" s="2">
        <f t="shared" si="46"/>
        <v>-3.4531397935321966</v>
      </c>
      <c r="Q1017" s="4">
        <f t="shared" si="47"/>
        <v>11.343851000000001</v>
      </c>
    </row>
    <row r="1018" spans="1:17" x14ac:dyDescent="0.4">
      <c r="A1018">
        <v>20210822</v>
      </c>
      <c r="B1018" s="1">
        <v>0.16666666666666666</v>
      </c>
      <c r="C1018">
        <v>-25664</v>
      </c>
      <c r="D1018">
        <v>-18961</v>
      </c>
      <c r="E1018">
        <v>-301919</v>
      </c>
      <c r="F1018">
        <v>-115388</v>
      </c>
      <c r="G1018">
        <v>31424</v>
      </c>
      <c r="H1018">
        <v>-62758</v>
      </c>
      <c r="I1018">
        <v>13340</v>
      </c>
      <c r="J1018">
        <v>-13401</v>
      </c>
      <c r="K1018">
        <v>-29688</v>
      </c>
      <c r="L1018">
        <v>-7726</v>
      </c>
      <c r="M1018">
        <v>6.47</v>
      </c>
      <c r="N1018">
        <f t="shared" si="45"/>
        <v>-530741</v>
      </c>
      <c r="O1018">
        <v>17533350</v>
      </c>
      <c r="P1018" s="2">
        <f t="shared" si="46"/>
        <v>-3.0270370465427314</v>
      </c>
      <c r="Q1018" s="4">
        <f t="shared" si="47"/>
        <v>11.34407745</v>
      </c>
    </row>
    <row r="1019" spans="1:17" x14ac:dyDescent="0.4">
      <c r="A1019">
        <v>20210822</v>
      </c>
      <c r="B1019" s="1">
        <v>0.1875</v>
      </c>
      <c r="C1019">
        <v>16055</v>
      </c>
      <c r="D1019">
        <v>-40941</v>
      </c>
      <c r="E1019">
        <v>-156495</v>
      </c>
      <c r="F1019">
        <v>-144008</v>
      </c>
      <c r="G1019">
        <v>5028</v>
      </c>
      <c r="H1019">
        <v>-85046</v>
      </c>
      <c r="I1019">
        <v>-38971</v>
      </c>
      <c r="J1019">
        <v>-1474</v>
      </c>
      <c r="K1019">
        <v>-33292</v>
      </c>
      <c r="L1019">
        <v>-10202</v>
      </c>
      <c r="M1019">
        <v>6.47</v>
      </c>
      <c r="N1019">
        <f t="shared" si="45"/>
        <v>-489346</v>
      </c>
      <c r="O1019">
        <v>17533600</v>
      </c>
      <c r="P1019" s="2">
        <f t="shared" si="46"/>
        <v>-2.7909043208468312</v>
      </c>
      <c r="Q1019" s="4">
        <f t="shared" si="47"/>
        <v>11.344239200000001</v>
      </c>
    </row>
    <row r="1020" spans="1:17" x14ac:dyDescent="0.4">
      <c r="A1020">
        <v>20210822</v>
      </c>
      <c r="B1020" s="1">
        <v>0.20833333333333334</v>
      </c>
      <c r="C1020">
        <v>43292</v>
      </c>
      <c r="D1020">
        <v>-59839</v>
      </c>
      <c r="E1020">
        <v>-234677</v>
      </c>
      <c r="F1020">
        <v>-114786</v>
      </c>
      <c r="G1020">
        <v>24595</v>
      </c>
      <c r="H1020">
        <v>-30374</v>
      </c>
      <c r="I1020">
        <v>-63236</v>
      </c>
      <c r="J1020">
        <v>5030</v>
      </c>
      <c r="K1020">
        <v>-82244</v>
      </c>
      <c r="L1020">
        <v>-13009</v>
      </c>
      <c r="M1020">
        <v>6.43</v>
      </c>
      <c r="N1020">
        <f t="shared" si="45"/>
        <v>-525248</v>
      </c>
      <c r="O1020">
        <v>17473750</v>
      </c>
      <c r="P1020" s="2">
        <f t="shared" si="46"/>
        <v>-3.0059260319050005</v>
      </c>
      <c r="Q1020" s="4">
        <f t="shared" si="47"/>
        <v>11.235621249999999</v>
      </c>
    </row>
    <row r="1021" spans="1:17" x14ac:dyDescent="0.4">
      <c r="A1021">
        <v>20210822</v>
      </c>
      <c r="B1021" s="1">
        <v>0.22916666666666666</v>
      </c>
      <c r="C1021">
        <v>34475</v>
      </c>
      <c r="D1021">
        <v>-29933</v>
      </c>
      <c r="E1021">
        <v>-291676</v>
      </c>
      <c r="F1021">
        <v>30091</v>
      </c>
      <c r="G1021">
        <v>38430</v>
      </c>
      <c r="H1021">
        <v>15875</v>
      </c>
      <c r="I1021">
        <v>-11655</v>
      </c>
      <c r="J1021">
        <v>29896</v>
      </c>
      <c r="K1021">
        <v>-46580</v>
      </c>
      <c r="L1021">
        <v>-7642</v>
      </c>
      <c r="M1021">
        <v>6.38</v>
      </c>
      <c r="N1021">
        <f t="shared" si="45"/>
        <v>-238719</v>
      </c>
      <c r="O1021">
        <v>17509600</v>
      </c>
      <c r="P1021" s="2">
        <f t="shared" si="46"/>
        <v>-1.3633606707177777</v>
      </c>
      <c r="Q1021" s="4">
        <f t="shared" si="47"/>
        <v>11.171124799999999</v>
      </c>
    </row>
    <row r="1022" spans="1:17" x14ac:dyDescent="0.4">
      <c r="A1022">
        <v>20210822</v>
      </c>
      <c r="B1022" s="1">
        <v>0.25</v>
      </c>
      <c r="C1022">
        <v>31161</v>
      </c>
      <c r="D1022">
        <v>9803</v>
      </c>
      <c r="E1022">
        <v>-253721</v>
      </c>
      <c r="F1022">
        <v>180329</v>
      </c>
      <c r="G1022">
        <v>71129</v>
      </c>
      <c r="H1022">
        <v>61548</v>
      </c>
      <c r="I1022">
        <v>8653</v>
      </c>
      <c r="J1022">
        <v>48892</v>
      </c>
      <c r="K1022">
        <v>-138428</v>
      </c>
      <c r="L1022">
        <v>-8504</v>
      </c>
      <c r="M1022">
        <v>6.3</v>
      </c>
      <c r="N1022">
        <f t="shared" si="45"/>
        <v>10862</v>
      </c>
      <c r="O1022">
        <v>17764500</v>
      </c>
      <c r="P1022" s="2">
        <f t="shared" si="46"/>
        <v>6.1144417236623602E-2</v>
      </c>
      <c r="Q1022" s="4">
        <f t="shared" si="47"/>
        <v>11.191635</v>
      </c>
    </row>
    <row r="1023" spans="1:17" x14ac:dyDescent="0.4">
      <c r="A1023">
        <v>20210822</v>
      </c>
      <c r="B1023" s="1">
        <v>0.27083333333333331</v>
      </c>
      <c r="C1023">
        <v>41119</v>
      </c>
      <c r="D1023">
        <v>-27006</v>
      </c>
      <c r="E1023">
        <v>-334969</v>
      </c>
      <c r="F1023">
        <v>309079</v>
      </c>
      <c r="G1023">
        <v>68553</v>
      </c>
      <c r="H1023">
        <v>68719</v>
      </c>
      <c r="I1023">
        <v>65821</v>
      </c>
      <c r="J1023">
        <v>61679</v>
      </c>
      <c r="K1023">
        <v>-153256</v>
      </c>
      <c r="L1023">
        <v>-1140</v>
      </c>
      <c r="M1023">
        <v>6.22</v>
      </c>
      <c r="N1023">
        <f t="shared" si="45"/>
        <v>98599</v>
      </c>
      <c r="O1023">
        <v>18283650</v>
      </c>
      <c r="P1023" s="2">
        <f t="shared" si="46"/>
        <v>0.53927416024699659</v>
      </c>
      <c r="Q1023" s="4">
        <f t="shared" si="47"/>
        <v>11.3724303</v>
      </c>
    </row>
    <row r="1024" spans="1:17" x14ac:dyDescent="0.4">
      <c r="A1024">
        <v>20210822</v>
      </c>
      <c r="B1024" s="1">
        <v>0.29166666666666669</v>
      </c>
      <c r="C1024">
        <v>29305</v>
      </c>
      <c r="D1024">
        <v>107809</v>
      </c>
      <c r="E1024">
        <v>-308429</v>
      </c>
      <c r="F1024">
        <v>274684</v>
      </c>
      <c r="G1024">
        <v>80221</v>
      </c>
      <c r="H1024">
        <v>201735</v>
      </c>
      <c r="I1024">
        <v>80207</v>
      </c>
      <c r="J1024">
        <v>54485</v>
      </c>
      <c r="K1024">
        <v>-230499</v>
      </c>
      <c r="L1024">
        <v>10847</v>
      </c>
      <c r="M1024">
        <v>6.04</v>
      </c>
      <c r="N1024">
        <f t="shared" si="45"/>
        <v>300365</v>
      </c>
      <c r="O1024">
        <v>18854900</v>
      </c>
      <c r="P1024" s="2">
        <f t="shared" si="46"/>
        <v>1.5930341714885785</v>
      </c>
      <c r="Q1024" s="4">
        <f t="shared" si="47"/>
        <v>11.388359599999999</v>
      </c>
    </row>
    <row r="1025" spans="1:17" x14ac:dyDescent="0.4">
      <c r="A1025">
        <v>20210822</v>
      </c>
      <c r="B1025" s="1">
        <v>0.3125</v>
      </c>
      <c r="C1025">
        <v>-545</v>
      </c>
      <c r="D1025">
        <v>158817</v>
      </c>
      <c r="E1025">
        <v>-506655</v>
      </c>
      <c r="F1025">
        <v>500861</v>
      </c>
      <c r="G1025">
        <v>87093</v>
      </c>
      <c r="H1025">
        <v>121423</v>
      </c>
      <c r="I1025">
        <v>-45428</v>
      </c>
      <c r="J1025">
        <v>84701</v>
      </c>
      <c r="K1025">
        <v>-283120</v>
      </c>
      <c r="L1025">
        <v>17574</v>
      </c>
      <c r="M1025">
        <v>6.02</v>
      </c>
      <c r="N1025">
        <f t="shared" si="45"/>
        <v>134721</v>
      </c>
      <c r="O1025">
        <v>19171250</v>
      </c>
      <c r="P1025" s="2">
        <f t="shared" si="46"/>
        <v>0.70272413118602073</v>
      </c>
      <c r="Q1025" s="4">
        <f t="shared" si="47"/>
        <v>11.541092499999998</v>
      </c>
    </row>
    <row r="1026" spans="1:17" x14ac:dyDescent="0.4">
      <c r="A1026">
        <v>20210822</v>
      </c>
      <c r="B1026" s="1">
        <v>0.33333333333333331</v>
      </c>
      <c r="C1026">
        <v>49415</v>
      </c>
      <c r="D1026">
        <v>215447</v>
      </c>
      <c r="E1026">
        <v>-351747</v>
      </c>
      <c r="F1026">
        <v>425106</v>
      </c>
      <c r="G1026">
        <v>98608</v>
      </c>
      <c r="H1026">
        <v>135094</v>
      </c>
      <c r="I1026">
        <v>-101064</v>
      </c>
      <c r="J1026">
        <v>149960</v>
      </c>
      <c r="K1026">
        <v>-337887</v>
      </c>
      <c r="L1026">
        <v>34569</v>
      </c>
      <c r="M1026">
        <v>6.01</v>
      </c>
      <c r="N1026">
        <f t="shared" si="45"/>
        <v>317501</v>
      </c>
      <c r="O1026">
        <v>19752700</v>
      </c>
      <c r="P1026" s="2">
        <f t="shared" si="46"/>
        <v>1.6073802568762752</v>
      </c>
      <c r="Q1026" s="4">
        <f t="shared" si="47"/>
        <v>11.8713727</v>
      </c>
    </row>
    <row r="1027" spans="1:17" x14ac:dyDescent="0.4">
      <c r="A1027">
        <v>20210822</v>
      </c>
      <c r="B1027" s="1">
        <v>0.35416666666666669</v>
      </c>
      <c r="C1027">
        <v>26405</v>
      </c>
      <c r="D1027">
        <v>189123</v>
      </c>
      <c r="E1027">
        <v>-389765</v>
      </c>
      <c r="F1027">
        <v>325863</v>
      </c>
      <c r="G1027">
        <v>138903</v>
      </c>
      <c r="H1027">
        <v>337502</v>
      </c>
      <c r="I1027">
        <v>-265925</v>
      </c>
      <c r="J1027">
        <v>148712</v>
      </c>
      <c r="K1027">
        <v>-269875</v>
      </c>
      <c r="L1027">
        <v>30122</v>
      </c>
      <c r="M1027">
        <v>6.08</v>
      </c>
      <c r="N1027">
        <f t="shared" ref="N1027:N1090" si="48">C1027+D1027+E1027+F1027+G1027+H1027+I1027+J1027+K1027+L1027</f>
        <v>271065</v>
      </c>
      <c r="O1027">
        <v>20293700</v>
      </c>
      <c r="P1027" s="2">
        <f t="shared" ref="P1027:P1090" si="49">((N1027*100)/O1027)</f>
        <v>1.3357100972222906</v>
      </c>
      <c r="Q1027" s="4">
        <f t="shared" ref="Q1027:Q1090" si="50">(M1027*O1027)/10^7</f>
        <v>12.3385696</v>
      </c>
    </row>
    <row r="1028" spans="1:17" x14ac:dyDescent="0.4">
      <c r="A1028">
        <v>20210822</v>
      </c>
      <c r="B1028" s="1">
        <v>0.375</v>
      </c>
      <c r="C1028">
        <v>71248</v>
      </c>
      <c r="D1028">
        <v>125965</v>
      </c>
      <c r="E1028">
        <v>-476273</v>
      </c>
      <c r="F1028">
        <v>278082</v>
      </c>
      <c r="G1028">
        <v>77504</v>
      </c>
      <c r="H1028">
        <v>283795</v>
      </c>
      <c r="I1028">
        <v>-249510</v>
      </c>
      <c r="J1028">
        <v>76197</v>
      </c>
      <c r="K1028">
        <v>-154673</v>
      </c>
      <c r="L1028">
        <v>31391</v>
      </c>
      <c r="M1028">
        <v>6.03</v>
      </c>
      <c r="N1028">
        <f t="shared" si="48"/>
        <v>63726</v>
      </c>
      <c r="O1028">
        <v>21007300</v>
      </c>
      <c r="P1028" s="2">
        <f t="shared" si="49"/>
        <v>0.30335169203086548</v>
      </c>
      <c r="Q1028" s="4">
        <f t="shared" si="50"/>
        <v>12.6674019</v>
      </c>
    </row>
    <row r="1029" spans="1:17" x14ac:dyDescent="0.4">
      <c r="A1029">
        <v>20210822</v>
      </c>
      <c r="B1029" s="1">
        <v>0.39583333333333331</v>
      </c>
      <c r="C1029">
        <v>49775</v>
      </c>
      <c r="D1029">
        <v>107724</v>
      </c>
      <c r="E1029">
        <v>-537255</v>
      </c>
      <c r="F1029">
        <v>188133</v>
      </c>
      <c r="G1029">
        <v>85799</v>
      </c>
      <c r="H1029">
        <v>328003</v>
      </c>
      <c r="I1029">
        <v>-169485</v>
      </c>
      <c r="J1029">
        <v>68026</v>
      </c>
      <c r="K1029">
        <v>-245405</v>
      </c>
      <c r="L1029">
        <v>20841</v>
      </c>
      <c r="M1029">
        <v>6.04</v>
      </c>
      <c r="N1029">
        <f t="shared" si="48"/>
        <v>-103844</v>
      </c>
      <c r="O1029">
        <v>21401150</v>
      </c>
      <c r="P1029" s="2">
        <f t="shared" si="49"/>
        <v>-0.48522626120558943</v>
      </c>
      <c r="Q1029" s="4">
        <f t="shared" si="50"/>
        <v>12.9262946</v>
      </c>
    </row>
    <row r="1030" spans="1:17" x14ac:dyDescent="0.4">
      <c r="A1030">
        <v>20210822</v>
      </c>
      <c r="B1030" s="1">
        <v>0.41666666666666669</v>
      </c>
      <c r="C1030">
        <v>54609</v>
      </c>
      <c r="D1030">
        <v>66317</v>
      </c>
      <c r="E1030">
        <v>-400777</v>
      </c>
      <c r="F1030">
        <v>269571</v>
      </c>
      <c r="G1030">
        <v>84015</v>
      </c>
      <c r="H1030">
        <v>304473</v>
      </c>
      <c r="I1030">
        <v>-124221</v>
      </c>
      <c r="J1030">
        <v>51020</v>
      </c>
      <c r="K1030">
        <v>-295827</v>
      </c>
      <c r="L1030">
        <v>11200</v>
      </c>
      <c r="M1030">
        <v>5.97</v>
      </c>
      <c r="N1030">
        <f t="shared" si="48"/>
        <v>20380</v>
      </c>
      <c r="O1030">
        <v>21758350</v>
      </c>
      <c r="P1030" s="2">
        <f t="shared" si="49"/>
        <v>9.3665190604986126E-2</v>
      </c>
      <c r="Q1030" s="4">
        <f t="shared" si="50"/>
        <v>12.989734950000001</v>
      </c>
    </row>
    <row r="1031" spans="1:17" x14ac:dyDescent="0.4">
      <c r="A1031">
        <v>20210822</v>
      </c>
      <c r="B1031" s="1">
        <v>0.4375</v>
      </c>
      <c r="C1031">
        <v>59381</v>
      </c>
      <c r="D1031">
        <v>18732</v>
      </c>
      <c r="E1031">
        <v>-465079</v>
      </c>
      <c r="F1031">
        <v>464282</v>
      </c>
      <c r="G1031">
        <v>95425</v>
      </c>
      <c r="H1031">
        <v>368951</v>
      </c>
      <c r="I1031">
        <v>-142964</v>
      </c>
      <c r="J1031">
        <v>65824</v>
      </c>
      <c r="K1031">
        <v>-253636</v>
      </c>
      <c r="L1031">
        <v>11377</v>
      </c>
      <c r="M1031">
        <v>5.97</v>
      </c>
      <c r="N1031">
        <f t="shared" si="48"/>
        <v>222293</v>
      </c>
      <c r="O1031">
        <v>21987400</v>
      </c>
      <c r="P1031" s="2">
        <f t="shared" si="49"/>
        <v>1.0110017555509063</v>
      </c>
      <c r="Q1031" s="4">
        <f t="shared" si="50"/>
        <v>13.1264778</v>
      </c>
    </row>
    <row r="1032" spans="1:17" x14ac:dyDescent="0.4">
      <c r="A1032">
        <v>20210822</v>
      </c>
      <c r="B1032" s="1">
        <v>0.45833333333333331</v>
      </c>
      <c r="C1032">
        <v>21552</v>
      </c>
      <c r="D1032">
        <v>78332</v>
      </c>
      <c r="E1032">
        <v>-113573</v>
      </c>
      <c r="F1032">
        <v>615425</v>
      </c>
      <c r="G1032">
        <v>18543</v>
      </c>
      <c r="H1032">
        <v>225812</v>
      </c>
      <c r="I1032">
        <v>-204193</v>
      </c>
      <c r="J1032">
        <v>-14165</v>
      </c>
      <c r="K1032">
        <v>-215241</v>
      </c>
      <c r="L1032">
        <v>4900</v>
      </c>
      <c r="M1032">
        <v>6.01</v>
      </c>
      <c r="N1032">
        <f t="shared" si="48"/>
        <v>417392</v>
      </c>
      <c r="O1032">
        <v>22273950</v>
      </c>
      <c r="P1032" s="2">
        <f t="shared" si="49"/>
        <v>1.873902024562325</v>
      </c>
      <c r="Q1032" s="4">
        <f t="shared" si="50"/>
        <v>13.38664395</v>
      </c>
    </row>
    <row r="1033" spans="1:17" x14ac:dyDescent="0.4">
      <c r="A1033">
        <v>20210822</v>
      </c>
      <c r="B1033" s="1">
        <v>0.47916666666666669</v>
      </c>
      <c r="C1033">
        <v>76266</v>
      </c>
      <c r="D1033">
        <v>200988</v>
      </c>
      <c r="E1033">
        <v>-568967</v>
      </c>
      <c r="F1033">
        <v>412179</v>
      </c>
      <c r="G1033">
        <v>56423</v>
      </c>
      <c r="H1033">
        <v>33437</v>
      </c>
      <c r="I1033">
        <v>-303068</v>
      </c>
      <c r="J1033">
        <v>-133521</v>
      </c>
      <c r="K1033">
        <v>-159466</v>
      </c>
      <c r="L1033">
        <v>-10635</v>
      </c>
      <c r="M1033">
        <v>5.86</v>
      </c>
      <c r="N1033">
        <f t="shared" si="48"/>
        <v>-396364</v>
      </c>
      <c r="O1033">
        <v>23058100</v>
      </c>
      <c r="P1033" s="2">
        <f t="shared" si="49"/>
        <v>-1.7189794475694007</v>
      </c>
      <c r="Q1033" s="4">
        <f t="shared" si="50"/>
        <v>13.5120466</v>
      </c>
    </row>
    <row r="1034" spans="1:17" x14ac:dyDescent="0.4">
      <c r="A1034">
        <v>20210822</v>
      </c>
      <c r="B1034" s="1">
        <v>0.5</v>
      </c>
      <c r="C1034">
        <v>14763</v>
      </c>
      <c r="D1034">
        <v>375629</v>
      </c>
      <c r="E1034">
        <v>-183880</v>
      </c>
      <c r="F1034">
        <v>80516</v>
      </c>
      <c r="G1034">
        <v>19996</v>
      </c>
      <c r="H1034">
        <v>4162</v>
      </c>
      <c r="I1034">
        <v>-313647</v>
      </c>
      <c r="J1034">
        <v>-198873</v>
      </c>
      <c r="K1034">
        <v>-113956</v>
      </c>
      <c r="L1034">
        <v>-38131</v>
      </c>
      <c r="M1034">
        <v>5.93</v>
      </c>
      <c r="N1034">
        <f t="shared" si="48"/>
        <v>-353421</v>
      </c>
      <c r="O1034">
        <v>23183650</v>
      </c>
      <c r="P1034" s="2">
        <f t="shared" si="49"/>
        <v>-1.5244407157630486</v>
      </c>
      <c r="Q1034" s="4">
        <f t="shared" si="50"/>
        <v>13.74790445</v>
      </c>
    </row>
    <row r="1035" spans="1:17" x14ac:dyDescent="0.4">
      <c r="A1035">
        <v>20210822</v>
      </c>
      <c r="B1035" s="1">
        <v>0.52083333333333337</v>
      </c>
      <c r="C1035">
        <v>16243</v>
      </c>
      <c r="D1035">
        <v>391657</v>
      </c>
      <c r="E1035">
        <v>-353</v>
      </c>
      <c r="F1035">
        <v>-56399</v>
      </c>
      <c r="G1035">
        <v>-39449</v>
      </c>
      <c r="H1035">
        <v>36673</v>
      </c>
      <c r="I1035">
        <v>-260362</v>
      </c>
      <c r="J1035">
        <v>-195575</v>
      </c>
      <c r="K1035">
        <v>-126636</v>
      </c>
      <c r="L1035">
        <v>-37983</v>
      </c>
      <c r="M1035">
        <v>5.94</v>
      </c>
      <c r="N1035">
        <f t="shared" si="48"/>
        <v>-272184</v>
      </c>
      <c r="O1035">
        <v>23134400</v>
      </c>
      <c r="P1035" s="2">
        <f t="shared" si="49"/>
        <v>-1.1765336468635452</v>
      </c>
      <c r="Q1035" s="4">
        <f t="shared" si="50"/>
        <v>13.7418336</v>
      </c>
    </row>
    <row r="1036" spans="1:17" x14ac:dyDescent="0.4">
      <c r="A1036">
        <v>20210822</v>
      </c>
      <c r="B1036" s="1">
        <v>0.54166666666666663</v>
      </c>
      <c r="C1036">
        <v>29504</v>
      </c>
      <c r="D1036">
        <v>557412</v>
      </c>
      <c r="E1036">
        <v>-92590</v>
      </c>
      <c r="F1036">
        <v>20801</v>
      </c>
      <c r="G1036">
        <v>-19635</v>
      </c>
      <c r="H1036">
        <v>-62735</v>
      </c>
      <c r="I1036">
        <v>-332848</v>
      </c>
      <c r="J1036">
        <v>-165448</v>
      </c>
      <c r="K1036">
        <v>-20204</v>
      </c>
      <c r="L1036">
        <v>-35046</v>
      </c>
      <c r="M1036">
        <v>6.32</v>
      </c>
      <c r="N1036">
        <f t="shared" si="48"/>
        <v>-120789</v>
      </c>
      <c r="O1036">
        <v>22627150</v>
      </c>
      <c r="P1036" s="2">
        <f t="shared" si="49"/>
        <v>-0.53382330518867815</v>
      </c>
      <c r="Q1036" s="4">
        <f t="shared" si="50"/>
        <v>14.3003588</v>
      </c>
    </row>
    <row r="1037" spans="1:17" x14ac:dyDescent="0.4">
      <c r="A1037">
        <v>20210822</v>
      </c>
      <c r="B1037" s="1">
        <v>0.5625</v>
      </c>
      <c r="C1037">
        <v>68696</v>
      </c>
      <c r="D1037">
        <v>666883</v>
      </c>
      <c r="E1037">
        <v>-556240</v>
      </c>
      <c r="F1037">
        <v>144525</v>
      </c>
      <c r="G1037">
        <v>-21963</v>
      </c>
      <c r="H1037">
        <v>-219932</v>
      </c>
      <c r="I1037">
        <v>-443446</v>
      </c>
      <c r="J1037">
        <v>-202292</v>
      </c>
      <c r="K1037">
        <v>63459</v>
      </c>
      <c r="L1037">
        <v>-35556</v>
      </c>
      <c r="M1037">
        <v>6.55</v>
      </c>
      <c r="N1037">
        <f t="shared" si="48"/>
        <v>-535866</v>
      </c>
      <c r="O1037">
        <v>22306300</v>
      </c>
      <c r="P1037" s="2">
        <f t="shared" si="49"/>
        <v>-2.4023078681807384</v>
      </c>
      <c r="Q1037" s="4">
        <f t="shared" si="50"/>
        <v>14.6106265</v>
      </c>
    </row>
    <row r="1038" spans="1:17" x14ac:dyDescent="0.4">
      <c r="A1038">
        <v>20210822</v>
      </c>
      <c r="B1038" s="1">
        <v>0.58333333333333337</v>
      </c>
      <c r="C1038">
        <v>16240</v>
      </c>
      <c r="D1038">
        <v>343588</v>
      </c>
      <c r="E1038">
        <v>-344581</v>
      </c>
      <c r="F1038">
        <v>82780</v>
      </c>
      <c r="G1038">
        <v>17436</v>
      </c>
      <c r="H1038">
        <v>-243567</v>
      </c>
      <c r="I1038">
        <v>-490020</v>
      </c>
      <c r="J1038">
        <v>-167565</v>
      </c>
      <c r="K1038">
        <v>-63495</v>
      </c>
      <c r="L1038">
        <v>-45992</v>
      </c>
      <c r="M1038">
        <v>6.85</v>
      </c>
      <c r="N1038">
        <f t="shared" si="48"/>
        <v>-895176</v>
      </c>
      <c r="O1038">
        <v>21969650</v>
      </c>
      <c r="P1038" s="2">
        <f t="shared" si="49"/>
        <v>-4.0746029181165833</v>
      </c>
      <c r="Q1038" s="4">
        <f t="shared" si="50"/>
        <v>15.04921025</v>
      </c>
    </row>
    <row r="1039" spans="1:17" x14ac:dyDescent="0.4">
      <c r="A1039">
        <v>20210822</v>
      </c>
      <c r="B1039" s="1">
        <v>0.60416666666666663</v>
      </c>
      <c r="C1039">
        <v>43113</v>
      </c>
      <c r="D1039">
        <v>319048</v>
      </c>
      <c r="E1039">
        <v>-381617</v>
      </c>
      <c r="F1039">
        <v>-165304</v>
      </c>
      <c r="G1039">
        <v>20987</v>
      </c>
      <c r="H1039">
        <v>-315533</v>
      </c>
      <c r="I1039">
        <v>-426253</v>
      </c>
      <c r="J1039">
        <v>-162124</v>
      </c>
      <c r="K1039">
        <v>-139237</v>
      </c>
      <c r="L1039">
        <v>-48700</v>
      </c>
      <c r="M1039">
        <v>6.86</v>
      </c>
      <c r="N1039">
        <f t="shared" si="48"/>
        <v>-1255620</v>
      </c>
      <c r="O1039">
        <v>21941400</v>
      </c>
      <c r="P1039" s="2">
        <f t="shared" si="49"/>
        <v>-5.7226065793431591</v>
      </c>
      <c r="Q1039" s="4">
        <f t="shared" si="50"/>
        <v>15.051800399999999</v>
      </c>
    </row>
    <row r="1040" spans="1:17" x14ac:dyDescent="0.4">
      <c r="A1040">
        <v>20210822</v>
      </c>
      <c r="B1040" s="1">
        <v>0.625</v>
      </c>
      <c r="C1040">
        <v>52833</v>
      </c>
      <c r="D1040">
        <v>295508</v>
      </c>
      <c r="E1040">
        <v>-615685</v>
      </c>
      <c r="F1040">
        <v>-180699</v>
      </c>
      <c r="G1040">
        <v>11506</v>
      </c>
      <c r="H1040">
        <v>-153768</v>
      </c>
      <c r="I1040">
        <v>-453199</v>
      </c>
      <c r="J1040">
        <v>-194195</v>
      </c>
      <c r="K1040">
        <v>-182684</v>
      </c>
      <c r="L1040">
        <v>-41095</v>
      </c>
      <c r="M1040">
        <v>7.08</v>
      </c>
      <c r="N1040">
        <f t="shared" si="48"/>
        <v>-1461478</v>
      </c>
      <c r="O1040">
        <v>21529100</v>
      </c>
      <c r="P1040" s="2">
        <f t="shared" si="49"/>
        <v>-6.7883840940866085</v>
      </c>
      <c r="Q1040" s="4">
        <f t="shared" si="50"/>
        <v>15.2426028</v>
      </c>
    </row>
    <row r="1041" spans="1:17" x14ac:dyDescent="0.4">
      <c r="A1041">
        <v>20210822</v>
      </c>
      <c r="B1041" s="1">
        <v>0.64583333333333337</v>
      </c>
      <c r="C1041">
        <v>71875</v>
      </c>
      <c r="D1041">
        <v>220668</v>
      </c>
      <c r="E1041">
        <v>-749304</v>
      </c>
      <c r="F1041">
        <v>-421200</v>
      </c>
      <c r="G1041">
        <v>7710</v>
      </c>
      <c r="H1041">
        <v>21554</v>
      </c>
      <c r="I1041">
        <v>-393739</v>
      </c>
      <c r="J1041">
        <v>-252460</v>
      </c>
      <c r="K1041">
        <v>-239374</v>
      </c>
      <c r="L1041">
        <v>-48581</v>
      </c>
      <c r="M1041">
        <v>7.11</v>
      </c>
      <c r="N1041">
        <f t="shared" si="48"/>
        <v>-1782851</v>
      </c>
      <c r="O1041">
        <v>21194300</v>
      </c>
      <c r="P1041" s="2">
        <f t="shared" si="49"/>
        <v>-8.4119362281368097</v>
      </c>
      <c r="Q1041" s="4">
        <f t="shared" si="50"/>
        <v>15.069147299999999</v>
      </c>
    </row>
    <row r="1042" spans="1:17" x14ac:dyDescent="0.4">
      <c r="A1042">
        <v>20210822</v>
      </c>
      <c r="B1042" s="1">
        <v>0.66666666666666663</v>
      </c>
      <c r="C1042">
        <v>46541</v>
      </c>
      <c r="D1042">
        <v>95307</v>
      </c>
      <c r="E1042">
        <v>-472118</v>
      </c>
      <c r="F1042">
        <v>-534946</v>
      </c>
      <c r="G1042">
        <v>15003</v>
      </c>
      <c r="H1042">
        <v>-87288</v>
      </c>
      <c r="I1042">
        <v>-370839</v>
      </c>
      <c r="J1042">
        <v>-236922</v>
      </c>
      <c r="K1042">
        <v>-206647</v>
      </c>
      <c r="L1042">
        <v>-32912</v>
      </c>
      <c r="M1042">
        <v>7.73</v>
      </c>
      <c r="N1042">
        <f t="shared" si="48"/>
        <v>-1784821</v>
      </c>
      <c r="O1042">
        <v>21531850</v>
      </c>
      <c r="P1042" s="2">
        <f t="shared" si="49"/>
        <v>-8.2892134210483537</v>
      </c>
      <c r="Q1042" s="4">
        <f t="shared" si="50"/>
        <v>16.644120050000001</v>
      </c>
    </row>
    <row r="1043" spans="1:17" x14ac:dyDescent="0.4">
      <c r="A1043">
        <v>20210822</v>
      </c>
      <c r="B1043" s="1">
        <v>0.6875</v>
      </c>
      <c r="C1043">
        <v>27723</v>
      </c>
      <c r="D1043">
        <v>24123</v>
      </c>
      <c r="E1043">
        <v>-575972</v>
      </c>
      <c r="F1043">
        <v>-433668</v>
      </c>
      <c r="G1043">
        <v>28509</v>
      </c>
      <c r="H1043">
        <v>-128181</v>
      </c>
      <c r="I1043">
        <v>103990</v>
      </c>
      <c r="J1043">
        <v>-195184</v>
      </c>
      <c r="K1043">
        <v>-271763</v>
      </c>
      <c r="L1043">
        <v>-45223</v>
      </c>
      <c r="M1043">
        <v>8.39</v>
      </c>
      <c r="N1043">
        <f t="shared" si="48"/>
        <v>-1465646</v>
      </c>
      <c r="O1043">
        <v>21245650</v>
      </c>
      <c r="P1043" s="2">
        <f t="shared" si="49"/>
        <v>-6.8985698248817995</v>
      </c>
      <c r="Q1043" s="4">
        <f t="shared" si="50"/>
        <v>17.82510035</v>
      </c>
    </row>
    <row r="1044" spans="1:17" x14ac:dyDescent="0.4">
      <c r="A1044">
        <v>20210822</v>
      </c>
      <c r="B1044" s="1">
        <v>0.70833333333333337</v>
      </c>
      <c r="C1044">
        <v>-37556</v>
      </c>
      <c r="D1044">
        <v>-30458</v>
      </c>
      <c r="E1044">
        <v>-827918</v>
      </c>
      <c r="F1044">
        <v>-365456</v>
      </c>
      <c r="G1044">
        <v>42925</v>
      </c>
      <c r="H1044">
        <v>-87029</v>
      </c>
      <c r="I1044">
        <v>56767</v>
      </c>
      <c r="J1044">
        <v>-191620</v>
      </c>
      <c r="K1044">
        <v>-227316</v>
      </c>
      <c r="L1044">
        <v>-47278</v>
      </c>
      <c r="M1044">
        <v>8.86</v>
      </c>
      <c r="N1044">
        <f t="shared" si="48"/>
        <v>-1714939</v>
      </c>
      <c r="O1044">
        <v>21155350</v>
      </c>
      <c r="P1044" s="2">
        <f t="shared" si="49"/>
        <v>-8.1064080717170839</v>
      </c>
      <c r="Q1044" s="4">
        <f t="shared" si="50"/>
        <v>18.7436401</v>
      </c>
    </row>
    <row r="1045" spans="1:17" x14ac:dyDescent="0.4">
      <c r="A1045">
        <v>20210822</v>
      </c>
      <c r="B1045" s="1">
        <v>0.72916666666666663</v>
      </c>
      <c r="C1045">
        <v>-25021</v>
      </c>
      <c r="D1045">
        <v>-134777</v>
      </c>
      <c r="E1045">
        <v>-810855</v>
      </c>
      <c r="F1045">
        <v>-312451</v>
      </c>
      <c r="G1045">
        <v>63341</v>
      </c>
      <c r="H1045">
        <v>-242843</v>
      </c>
      <c r="I1045">
        <v>58626</v>
      </c>
      <c r="J1045">
        <v>-176202</v>
      </c>
      <c r="K1045">
        <v>-234549</v>
      </c>
      <c r="L1045">
        <v>-53739</v>
      </c>
      <c r="M1045">
        <v>8.86</v>
      </c>
      <c r="N1045">
        <f t="shared" si="48"/>
        <v>-1868470</v>
      </c>
      <c r="O1045">
        <v>20707350</v>
      </c>
      <c r="P1045" s="2">
        <f t="shared" si="49"/>
        <v>-9.0232212233820359</v>
      </c>
      <c r="Q1045" s="4">
        <f t="shared" si="50"/>
        <v>18.346712100000001</v>
      </c>
    </row>
    <row r="1046" spans="1:17" x14ac:dyDescent="0.4">
      <c r="A1046">
        <v>20210822</v>
      </c>
      <c r="B1046" s="1">
        <v>0.75</v>
      </c>
      <c r="C1046">
        <v>2488</v>
      </c>
      <c r="D1046">
        <v>-217801</v>
      </c>
      <c r="E1046">
        <v>-901298</v>
      </c>
      <c r="F1046">
        <v>-134345</v>
      </c>
      <c r="G1046">
        <v>44361</v>
      </c>
      <c r="H1046">
        <v>-56180</v>
      </c>
      <c r="I1046">
        <v>101584</v>
      </c>
      <c r="J1046">
        <v>-140263</v>
      </c>
      <c r="K1046">
        <v>-177628</v>
      </c>
      <c r="L1046">
        <v>-31819</v>
      </c>
      <c r="M1046">
        <v>9.1300000000000008</v>
      </c>
      <c r="N1046">
        <f t="shared" si="48"/>
        <v>-1510901</v>
      </c>
      <c r="O1046">
        <v>20694700</v>
      </c>
      <c r="P1046" s="2">
        <f t="shared" si="49"/>
        <v>-7.3009079619419461</v>
      </c>
      <c r="Q1046" s="4">
        <f t="shared" si="50"/>
        <v>18.894261100000001</v>
      </c>
    </row>
    <row r="1047" spans="1:17" x14ac:dyDescent="0.4">
      <c r="A1047">
        <v>20210822</v>
      </c>
      <c r="B1047" s="1">
        <v>0.77083333333333337</v>
      </c>
      <c r="C1047">
        <v>3194</v>
      </c>
      <c r="D1047">
        <v>-222209</v>
      </c>
      <c r="E1047">
        <v>-920817</v>
      </c>
      <c r="F1047">
        <v>-109214</v>
      </c>
      <c r="G1047">
        <v>31800</v>
      </c>
      <c r="H1047">
        <v>-163273</v>
      </c>
      <c r="I1047">
        <v>81333</v>
      </c>
      <c r="J1047">
        <v>-98835</v>
      </c>
      <c r="K1047">
        <v>-118528</v>
      </c>
      <c r="L1047">
        <v>-31809</v>
      </c>
      <c r="M1047">
        <v>9.41</v>
      </c>
      <c r="N1047">
        <f t="shared" si="48"/>
        <v>-1548358</v>
      </c>
      <c r="O1047">
        <v>20584550</v>
      </c>
      <c r="P1047" s="2">
        <f t="shared" si="49"/>
        <v>-7.5219424276945572</v>
      </c>
      <c r="Q1047" s="4">
        <f t="shared" si="50"/>
        <v>19.370061549999999</v>
      </c>
    </row>
    <row r="1048" spans="1:17" x14ac:dyDescent="0.4">
      <c r="A1048">
        <v>20210822</v>
      </c>
      <c r="B1048" s="1">
        <v>0.79166666666666663</v>
      </c>
      <c r="C1048">
        <v>-10408</v>
      </c>
      <c r="D1048">
        <v>-97178</v>
      </c>
      <c r="E1048">
        <v>-1017688</v>
      </c>
      <c r="F1048">
        <v>-411712</v>
      </c>
      <c r="G1048">
        <v>30864</v>
      </c>
      <c r="H1048">
        <v>-71001</v>
      </c>
      <c r="I1048">
        <v>101407</v>
      </c>
      <c r="J1048">
        <v>-66340</v>
      </c>
      <c r="K1048">
        <v>-123506</v>
      </c>
      <c r="L1048">
        <v>-28447</v>
      </c>
      <c r="M1048">
        <v>9.09</v>
      </c>
      <c r="N1048">
        <f t="shared" si="48"/>
        <v>-1694009</v>
      </c>
      <c r="O1048">
        <v>20426400</v>
      </c>
      <c r="P1048" s="2">
        <f t="shared" si="49"/>
        <v>-8.2932332667528303</v>
      </c>
      <c r="Q1048" s="4">
        <f t="shared" si="50"/>
        <v>18.567597599999999</v>
      </c>
    </row>
    <row r="1049" spans="1:17" x14ac:dyDescent="0.4">
      <c r="A1049">
        <v>20210822</v>
      </c>
      <c r="B1049" s="1">
        <v>0.8125</v>
      </c>
      <c r="C1049">
        <v>17590</v>
      </c>
      <c r="D1049">
        <v>-91825</v>
      </c>
      <c r="E1049">
        <v>-444688</v>
      </c>
      <c r="F1049">
        <v>-349198</v>
      </c>
      <c r="G1049">
        <v>56898</v>
      </c>
      <c r="H1049">
        <v>-46928</v>
      </c>
      <c r="I1049">
        <v>98225</v>
      </c>
      <c r="J1049">
        <v>-40293</v>
      </c>
      <c r="K1049">
        <v>-86570</v>
      </c>
      <c r="L1049">
        <v>-23244</v>
      </c>
      <c r="M1049">
        <v>9.27</v>
      </c>
      <c r="N1049">
        <f t="shared" si="48"/>
        <v>-910033</v>
      </c>
      <c r="O1049">
        <v>19630950</v>
      </c>
      <c r="P1049" s="2">
        <f t="shared" si="49"/>
        <v>-4.6357053530267258</v>
      </c>
      <c r="Q1049" s="4">
        <f t="shared" si="50"/>
        <v>18.197890650000002</v>
      </c>
    </row>
    <row r="1050" spans="1:17" x14ac:dyDescent="0.4">
      <c r="A1050">
        <v>20210822</v>
      </c>
      <c r="B1050" s="1">
        <v>0.83333333333333337</v>
      </c>
      <c r="C1050">
        <v>17128</v>
      </c>
      <c r="D1050">
        <v>17479</v>
      </c>
      <c r="E1050">
        <v>-543840</v>
      </c>
      <c r="F1050">
        <v>-295550</v>
      </c>
      <c r="G1050">
        <v>50882</v>
      </c>
      <c r="H1050">
        <v>130900</v>
      </c>
      <c r="I1050">
        <v>134646</v>
      </c>
      <c r="J1050">
        <v>-29772</v>
      </c>
      <c r="K1050">
        <v>36345</v>
      </c>
      <c r="L1050">
        <v>-32643</v>
      </c>
      <c r="M1050">
        <v>8.86</v>
      </c>
      <c r="N1050">
        <f t="shared" si="48"/>
        <v>-514425</v>
      </c>
      <c r="O1050">
        <v>19145200</v>
      </c>
      <c r="P1050" s="2">
        <f t="shared" si="49"/>
        <v>-2.6869659235735326</v>
      </c>
      <c r="Q1050" s="4">
        <f t="shared" si="50"/>
        <v>16.962647199999999</v>
      </c>
    </row>
    <row r="1051" spans="1:17" x14ac:dyDescent="0.4">
      <c r="A1051">
        <v>20210822</v>
      </c>
      <c r="B1051" s="1">
        <v>0.85416666666666663</v>
      </c>
      <c r="C1051">
        <v>-38068</v>
      </c>
      <c r="D1051">
        <v>44050</v>
      </c>
      <c r="E1051">
        <v>-490528</v>
      </c>
      <c r="F1051">
        <v>-333969</v>
      </c>
      <c r="G1051">
        <v>70480</v>
      </c>
      <c r="H1051">
        <v>53466</v>
      </c>
      <c r="I1051">
        <v>102901</v>
      </c>
      <c r="J1051">
        <v>-21232</v>
      </c>
      <c r="K1051">
        <v>16135</v>
      </c>
      <c r="L1051">
        <v>-30424</v>
      </c>
      <c r="M1051">
        <v>8.14</v>
      </c>
      <c r="N1051">
        <f t="shared" si="48"/>
        <v>-627189</v>
      </c>
      <c r="O1051">
        <v>19150400</v>
      </c>
      <c r="P1051" s="2">
        <f t="shared" si="49"/>
        <v>-3.2750699724287742</v>
      </c>
      <c r="Q1051" s="4">
        <f t="shared" si="50"/>
        <v>15.588425600000001</v>
      </c>
    </row>
    <row r="1052" spans="1:17" x14ac:dyDescent="0.4">
      <c r="A1052">
        <v>20210822</v>
      </c>
      <c r="B1052" s="1">
        <v>0.875</v>
      </c>
      <c r="C1052">
        <v>16842</v>
      </c>
      <c r="D1052">
        <v>54287</v>
      </c>
      <c r="E1052">
        <v>-518276</v>
      </c>
      <c r="F1052">
        <v>-327880</v>
      </c>
      <c r="G1052">
        <v>68521</v>
      </c>
      <c r="H1052">
        <v>78003</v>
      </c>
      <c r="I1052">
        <v>145383</v>
      </c>
      <c r="J1052">
        <v>-23296</v>
      </c>
      <c r="K1052">
        <v>47624</v>
      </c>
      <c r="L1052">
        <v>-39421</v>
      </c>
      <c r="M1052">
        <v>7.64</v>
      </c>
      <c r="N1052">
        <f t="shared" si="48"/>
        <v>-498213</v>
      </c>
      <c r="O1052">
        <v>19145500</v>
      </c>
      <c r="P1052" s="2">
        <f t="shared" si="49"/>
        <v>-2.6022459585803452</v>
      </c>
      <c r="Q1052" s="4">
        <f t="shared" si="50"/>
        <v>14.627162</v>
      </c>
    </row>
    <row r="1053" spans="1:17" x14ac:dyDescent="0.4">
      <c r="A1053">
        <v>20210822</v>
      </c>
      <c r="B1053" s="1">
        <v>0.89583333333333337</v>
      </c>
      <c r="C1053">
        <v>-31395</v>
      </c>
      <c r="D1053">
        <v>47667</v>
      </c>
      <c r="E1053">
        <v>-522132</v>
      </c>
      <c r="F1053">
        <v>-396694</v>
      </c>
      <c r="G1053">
        <v>46315</v>
      </c>
      <c r="H1053">
        <v>17932</v>
      </c>
      <c r="I1053">
        <v>109243</v>
      </c>
      <c r="J1053">
        <v>-18594</v>
      </c>
      <c r="K1053">
        <v>74895</v>
      </c>
      <c r="L1053">
        <v>-34711</v>
      </c>
      <c r="M1053">
        <v>7.35</v>
      </c>
      <c r="N1053">
        <f t="shared" si="48"/>
        <v>-707474</v>
      </c>
      <c r="O1053">
        <v>19375700</v>
      </c>
      <c r="P1053" s="2">
        <f t="shared" si="49"/>
        <v>-3.651346790051456</v>
      </c>
      <c r="Q1053" s="4">
        <f t="shared" si="50"/>
        <v>14.241139499999999</v>
      </c>
    </row>
    <row r="1054" spans="1:17" x14ac:dyDescent="0.4">
      <c r="A1054">
        <v>20210822</v>
      </c>
      <c r="B1054" s="1">
        <v>0.91666666666666663</v>
      </c>
      <c r="C1054">
        <v>-2144</v>
      </c>
      <c r="D1054">
        <v>70772</v>
      </c>
      <c r="E1054">
        <v>-611951</v>
      </c>
      <c r="F1054">
        <v>-16596</v>
      </c>
      <c r="G1054">
        <v>51968</v>
      </c>
      <c r="H1054">
        <v>2034</v>
      </c>
      <c r="I1054">
        <v>68189</v>
      </c>
      <c r="J1054">
        <v>-169</v>
      </c>
      <c r="K1054">
        <v>66532</v>
      </c>
      <c r="L1054">
        <v>-32101</v>
      </c>
      <c r="M1054">
        <v>7.08</v>
      </c>
      <c r="N1054">
        <f t="shared" si="48"/>
        <v>-403466</v>
      </c>
      <c r="O1054">
        <v>19186450</v>
      </c>
      <c r="P1054" s="2">
        <f t="shared" si="49"/>
        <v>-2.1028694729874471</v>
      </c>
      <c r="Q1054" s="4">
        <f t="shared" si="50"/>
        <v>13.5840066</v>
      </c>
    </row>
    <row r="1055" spans="1:17" x14ac:dyDescent="0.4">
      <c r="A1055">
        <v>20210822</v>
      </c>
      <c r="B1055" s="1">
        <v>0.9375</v>
      </c>
      <c r="C1055">
        <v>46996</v>
      </c>
      <c r="D1055">
        <v>67082</v>
      </c>
      <c r="E1055">
        <v>-537049</v>
      </c>
      <c r="F1055">
        <v>66714</v>
      </c>
      <c r="G1055">
        <v>65376</v>
      </c>
      <c r="H1055">
        <v>36965</v>
      </c>
      <c r="I1055">
        <v>56655</v>
      </c>
      <c r="J1055">
        <v>4180</v>
      </c>
      <c r="K1055">
        <v>14336</v>
      </c>
      <c r="L1055">
        <v>-24555</v>
      </c>
      <c r="M1055">
        <v>7.02</v>
      </c>
      <c r="N1055">
        <f t="shared" si="48"/>
        <v>-203300</v>
      </c>
      <c r="O1055">
        <v>18748500</v>
      </c>
      <c r="P1055" s="2">
        <f t="shared" si="49"/>
        <v>-1.0843534149398619</v>
      </c>
      <c r="Q1055" s="4">
        <f t="shared" si="50"/>
        <v>13.161446999999999</v>
      </c>
    </row>
    <row r="1056" spans="1:17" x14ac:dyDescent="0.4">
      <c r="A1056">
        <v>20210822</v>
      </c>
      <c r="B1056" s="1">
        <v>0.95833333333333337</v>
      </c>
      <c r="C1056">
        <v>334</v>
      </c>
      <c r="D1056">
        <v>58347</v>
      </c>
      <c r="E1056">
        <v>-235681</v>
      </c>
      <c r="F1056">
        <v>103271</v>
      </c>
      <c r="G1056">
        <v>50738</v>
      </c>
      <c r="H1056">
        <v>-63117</v>
      </c>
      <c r="I1056">
        <v>-28843</v>
      </c>
      <c r="J1056">
        <v>7727</v>
      </c>
      <c r="K1056">
        <v>2945</v>
      </c>
      <c r="L1056">
        <v>-37688</v>
      </c>
      <c r="M1056">
        <v>6.58</v>
      </c>
      <c r="N1056">
        <f t="shared" si="48"/>
        <v>-141967</v>
      </c>
      <c r="O1056">
        <v>18710000</v>
      </c>
      <c r="P1056" s="2">
        <f t="shared" si="49"/>
        <v>-0.75877605558524852</v>
      </c>
      <c r="Q1056" s="4">
        <f t="shared" si="50"/>
        <v>12.31118</v>
      </c>
    </row>
    <row r="1057" spans="1:17" x14ac:dyDescent="0.4">
      <c r="A1057">
        <v>20210822</v>
      </c>
      <c r="B1057" s="1">
        <v>0.97916666666666663</v>
      </c>
      <c r="C1057">
        <v>42239</v>
      </c>
      <c r="D1057">
        <v>28527</v>
      </c>
      <c r="E1057">
        <v>-147927</v>
      </c>
      <c r="F1057">
        <v>157912</v>
      </c>
      <c r="G1057">
        <v>58971</v>
      </c>
      <c r="H1057">
        <v>73007</v>
      </c>
      <c r="I1057">
        <v>-7052</v>
      </c>
      <c r="J1057">
        <v>9458</v>
      </c>
      <c r="K1057">
        <v>2757</v>
      </c>
      <c r="L1057">
        <v>-29600</v>
      </c>
      <c r="M1057">
        <v>6.36</v>
      </c>
      <c r="N1057">
        <f t="shared" si="48"/>
        <v>188292</v>
      </c>
      <c r="O1057">
        <v>18390200</v>
      </c>
      <c r="P1057" s="2">
        <f t="shared" si="49"/>
        <v>1.0238714097725963</v>
      </c>
      <c r="Q1057" s="4">
        <f t="shared" si="50"/>
        <v>11.6961672</v>
      </c>
    </row>
    <row r="1058" spans="1:17" x14ac:dyDescent="0.4">
      <c r="A1058">
        <v>20210823</v>
      </c>
      <c r="B1058" s="1">
        <v>0</v>
      </c>
      <c r="C1058">
        <v>71934</v>
      </c>
      <c r="D1058">
        <v>109266</v>
      </c>
      <c r="E1058">
        <v>-301936</v>
      </c>
      <c r="F1058">
        <v>99250</v>
      </c>
      <c r="G1058">
        <v>5337</v>
      </c>
      <c r="H1058">
        <v>16010</v>
      </c>
      <c r="I1058">
        <v>17459</v>
      </c>
      <c r="J1058">
        <v>12040</v>
      </c>
      <c r="K1058">
        <v>95682</v>
      </c>
      <c r="L1058">
        <v>-15847</v>
      </c>
      <c r="M1058">
        <v>6.48</v>
      </c>
      <c r="N1058">
        <f t="shared" si="48"/>
        <v>109195</v>
      </c>
      <c r="O1058">
        <v>17648600</v>
      </c>
      <c r="P1058" s="2">
        <f t="shared" si="49"/>
        <v>0.61871763199347252</v>
      </c>
      <c r="Q1058" s="4">
        <f t="shared" si="50"/>
        <v>11.436292800000002</v>
      </c>
    </row>
    <row r="1059" spans="1:17" x14ac:dyDescent="0.4">
      <c r="A1059">
        <v>20210823</v>
      </c>
      <c r="B1059" s="1">
        <v>2.0833333333333332E-2</v>
      </c>
      <c r="C1059">
        <v>80504</v>
      </c>
      <c r="D1059">
        <v>70948</v>
      </c>
      <c r="E1059">
        <v>-271219</v>
      </c>
      <c r="F1059">
        <v>119712</v>
      </c>
      <c r="G1059">
        <v>21990</v>
      </c>
      <c r="H1059">
        <v>97951</v>
      </c>
      <c r="I1059">
        <v>55569</v>
      </c>
      <c r="J1059">
        <v>7768</v>
      </c>
      <c r="K1059">
        <v>46394</v>
      </c>
      <c r="L1059">
        <v>-5959</v>
      </c>
      <c r="M1059">
        <v>6.4</v>
      </c>
      <c r="N1059">
        <f t="shared" si="48"/>
        <v>223658</v>
      </c>
      <c r="O1059">
        <v>18209600</v>
      </c>
      <c r="P1059" s="2">
        <f t="shared" si="49"/>
        <v>1.2282422458483437</v>
      </c>
      <c r="Q1059" s="4">
        <f t="shared" si="50"/>
        <v>11.654144000000001</v>
      </c>
    </row>
    <row r="1060" spans="1:17" x14ac:dyDescent="0.4">
      <c r="A1060">
        <v>20210823</v>
      </c>
      <c r="B1060" s="1">
        <v>4.1666666666666664E-2</v>
      </c>
      <c r="C1060">
        <v>68735</v>
      </c>
      <c r="D1060">
        <v>101534</v>
      </c>
      <c r="E1060">
        <v>-314958</v>
      </c>
      <c r="F1060">
        <v>114972</v>
      </c>
      <c r="G1060">
        <v>4376</v>
      </c>
      <c r="H1060">
        <v>6021</v>
      </c>
      <c r="I1060">
        <v>38742</v>
      </c>
      <c r="J1060">
        <v>14379</v>
      </c>
      <c r="K1060">
        <v>44131</v>
      </c>
      <c r="L1060">
        <v>-10933</v>
      </c>
      <c r="M1060">
        <v>6.38</v>
      </c>
      <c r="N1060">
        <f t="shared" si="48"/>
        <v>66999</v>
      </c>
      <c r="O1060">
        <v>18138950</v>
      </c>
      <c r="P1060" s="2">
        <f t="shared" si="49"/>
        <v>0.36936537120395613</v>
      </c>
      <c r="Q1060" s="4">
        <f t="shared" si="50"/>
        <v>11.572650100000001</v>
      </c>
    </row>
    <row r="1061" spans="1:17" x14ac:dyDescent="0.4">
      <c r="A1061">
        <v>20210823</v>
      </c>
      <c r="B1061" s="1">
        <v>6.25E-2</v>
      </c>
      <c r="C1061">
        <v>62720</v>
      </c>
      <c r="D1061">
        <v>103582</v>
      </c>
      <c r="E1061">
        <v>-241787</v>
      </c>
      <c r="F1061">
        <v>107654</v>
      </c>
      <c r="G1061">
        <v>1836</v>
      </c>
      <c r="H1061">
        <v>-66033</v>
      </c>
      <c r="I1061">
        <v>95217</v>
      </c>
      <c r="J1061">
        <v>8055</v>
      </c>
      <c r="K1061">
        <v>95370</v>
      </c>
      <c r="L1061">
        <v>-6891</v>
      </c>
      <c r="M1061">
        <v>6.38</v>
      </c>
      <c r="N1061">
        <f t="shared" si="48"/>
        <v>159723</v>
      </c>
      <c r="O1061">
        <v>18163150</v>
      </c>
      <c r="P1061" s="2">
        <f t="shared" si="49"/>
        <v>0.8793794028018268</v>
      </c>
      <c r="Q1061" s="4">
        <f t="shared" si="50"/>
        <v>11.588089699999999</v>
      </c>
    </row>
    <row r="1062" spans="1:17" x14ac:dyDescent="0.4">
      <c r="A1062">
        <v>20210823</v>
      </c>
      <c r="B1062" s="1">
        <v>8.3333333333333329E-2</v>
      </c>
      <c r="C1062">
        <v>57947</v>
      </c>
      <c r="D1062">
        <v>95803</v>
      </c>
      <c r="E1062">
        <v>-314996</v>
      </c>
      <c r="F1062">
        <v>84995</v>
      </c>
      <c r="G1062">
        <v>7514</v>
      </c>
      <c r="H1062">
        <v>-158797</v>
      </c>
      <c r="I1062">
        <v>42147</v>
      </c>
      <c r="J1062">
        <v>9709</v>
      </c>
      <c r="K1062">
        <v>47826</v>
      </c>
      <c r="L1062">
        <v>-877</v>
      </c>
      <c r="M1062">
        <v>6.38</v>
      </c>
      <c r="N1062">
        <f t="shared" si="48"/>
        <v>-128729</v>
      </c>
      <c r="O1062">
        <v>18482650</v>
      </c>
      <c r="P1062" s="2">
        <f t="shared" si="49"/>
        <v>-0.69648562300319494</v>
      </c>
      <c r="Q1062" s="4">
        <f t="shared" si="50"/>
        <v>11.7919307</v>
      </c>
    </row>
    <row r="1063" spans="1:17" x14ac:dyDescent="0.4">
      <c r="A1063">
        <v>20210823</v>
      </c>
      <c r="B1063" s="1">
        <v>0.10416666666666667</v>
      </c>
      <c r="C1063">
        <v>12805</v>
      </c>
      <c r="D1063">
        <v>88635</v>
      </c>
      <c r="E1063">
        <v>-281669</v>
      </c>
      <c r="F1063">
        <v>118162</v>
      </c>
      <c r="G1063">
        <v>-20963</v>
      </c>
      <c r="H1063">
        <v>-167848</v>
      </c>
      <c r="I1063">
        <v>67268</v>
      </c>
      <c r="J1063">
        <v>-3208</v>
      </c>
      <c r="K1063">
        <v>46430</v>
      </c>
      <c r="L1063">
        <v>-6052</v>
      </c>
      <c r="M1063">
        <v>6.49</v>
      </c>
      <c r="N1063">
        <f t="shared" si="48"/>
        <v>-146440</v>
      </c>
      <c r="O1063">
        <v>18723250</v>
      </c>
      <c r="P1063" s="2">
        <f t="shared" si="49"/>
        <v>-0.78212917095055612</v>
      </c>
      <c r="Q1063" s="4">
        <f t="shared" si="50"/>
        <v>12.151389249999999</v>
      </c>
    </row>
    <row r="1064" spans="1:17" x14ac:dyDescent="0.4">
      <c r="A1064">
        <v>20210823</v>
      </c>
      <c r="B1064" s="1">
        <v>0.125</v>
      </c>
      <c r="C1064">
        <v>28301</v>
      </c>
      <c r="D1064">
        <v>95511</v>
      </c>
      <c r="E1064">
        <v>-315877</v>
      </c>
      <c r="F1064">
        <v>70840</v>
      </c>
      <c r="G1064">
        <v>-163</v>
      </c>
      <c r="H1064">
        <v>-202141</v>
      </c>
      <c r="I1064">
        <v>68007</v>
      </c>
      <c r="J1064">
        <v>-4771</v>
      </c>
      <c r="K1064">
        <v>46290</v>
      </c>
      <c r="L1064">
        <v>-12938</v>
      </c>
      <c r="M1064">
        <v>6.49</v>
      </c>
      <c r="N1064">
        <f t="shared" si="48"/>
        <v>-226941</v>
      </c>
      <c r="O1064">
        <v>18968000</v>
      </c>
      <c r="P1064" s="2">
        <f t="shared" si="49"/>
        <v>-1.1964413749472795</v>
      </c>
      <c r="Q1064" s="4">
        <f t="shared" si="50"/>
        <v>12.310231999999999</v>
      </c>
    </row>
    <row r="1065" spans="1:17" x14ac:dyDescent="0.4">
      <c r="A1065">
        <v>20210823</v>
      </c>
      <c r="B1065" s="1">
        <v>0.14583333333333334</v>
      </c>
      <c r="C1065">
        <v>-5049</v>
      </c>
      <c r="D1065">
        <v>125692</v>
      </c>
      <c r="E1065">
        <v>-297978</v>
      </c>
      <c r="F1065">
        <v>214666</v>
      </c>
      <c r="G1065">
        <v>-7359</v>
      </c>
      <c r="H1065">
        <v>-172735</v>
      </c>
      <c r="I1065">
        <v>85237</v>
      </c>
      <c r="J1065">
        <v>-12740</v>
      </c>
      <c r="K1065">
        <v>40252</v>
      </c>
      <c r="L1065">
        <v>-9669</v>
      </c>
      <c r="M1065">
        <v>6.49</v>
      </c>
      <c r="N1065">
        <f t="shared" si="48"/>
        <v>-39683</v>
      </c>
      <c r="O1065">
        <v>19073850</v>
      </c>
      <c r="P1065" s="2">
        <f t="shared" si="49"/>
        <v>-0.20804924019010321</v>
      </c>
      <c r="Q1065" s="4">
        <f t="shared" si="50"/>
        <v>12.378928650000001</v>
      </c>
    </row>
    <row r="1066" spans="1:17" x14ac:dyDescent="0.4">
      <c r="A1066">
        <v>20210823</v>
      </c>
      <c r="B1066" s="1">
        <v>0.16666666666666666</v>
      </c>
      <c r="C1066">
        <v>-30453</v>
      </c>
      <c r="D1066">
        <v>72779</v>
      </c>
      <c r="E1066">
        <v>-102001</v>
      </c>
      <c r="F1066">
        <v>232751</v>
      </c>
      <c r="G1066">
        <v>-9756</v>
      </c>
      <c r="H1066">
        <v>-201661</v>
      </c>
      <c r="I1066">
        <v>100190</v>
      </c>
      <c r="J1066">
        <v>-6929</v>
      </c>
      <c r="K1066">
        <v>53765</v>
      </c>
      <c r="L1066">
        <v>-5899</v>
      </c>
      <c r="M1066">
        <v>6.49</v>
      </c>
      <c r="N1066">
        <f t="shared" si="48"/>
        <v>102786</v>
      </c>
      <c r="O1066">
        <v>19134600</v>
      </c>
      <c r="P1066" s="2">
        <f t="shared" si="49"/>
        <v>0.53717349722492236</v>
      </c>
      <c r="Q1066" s="4">
        <f t="shared" si="50"/>
        <v>12.418355399999999</v>
      </c>
    </row>
    <row r="1067" spans="1:17" x14ac:dyDescent="0.4">
      <c r="A1067">
        <v>20210823</v>
      </c>
      <c r="B1067" s="1">
        <v>0.1875</v>
      </c>
      <c r="C1067">
        <v>16542</v>
      </c>
      <c r="D1067">
        <v>109925</v>
      </c>
      <c r="E1067">
        <v>-103805</v>
      </c>
      <c r="F1067">
        <v>166869</v>
      </c>
      <c r="G1067">
        <v>-15870</v>
      </c>
      <c r="H1067">
        <v>-264068</v>
      </c>
      <c r="I1067">
        <v>113628</v>
      </c>
      <c r="J1067">
        <v>-12677</v>
      </c>
      <c r="K1067">
        <v>-2674</v>
      </c>
      <c r="L1067">
        <v>-8288</v>
      </c>
      <c r="M1067">
        <v>6.38</v>
      </c>
      <c r="N1067">
        <f t="shared" si="48"/>
        <v>-418</v>
      </c>
      <c r="O1067">
        <v>19203450</v>
      </c>
      <c r="P1067" s="2">
        <f t="shared" si="49"/>
        <v>-2.1766922089520371E-3</v>
      </c>
      <c r="Q1067" s="4">
        <f t="shared" si="50"/>
        <v>12.2518011</v>
      </c>
    </row>
    <row r="1068" spans="1:17" x14ac:dyDescent="0.4">
      <c r="A1068">
        <v>20210823</v>
      </c>
      <c r="B1068" s="1">
        <v>0.20833333333333334</v>
      </c>
      <c r="C1068">
        <v>-13946</v>
      </c>
      <c r="D1068">
        <v>104783</v>
      </c>
      <c r="E1068">
        <v>-196692</v>
      </c>
      <c r="F1068">
        <v>147655</v>
      </c>
      <c r="G1068">
        <v>-21727</v>
      </c>
      <c r="H1068">
        <v>-210703</v>
      </c>
      <c r="I1068">
        <v>38331</v>
      </c>
      <c r="J1068">
        <v>7590</v>
      </c>
      <c r="K1068">
        <v>-18080</v>
      </c>
      <c r="L1068">
        <v>-13969</v>
      </c>
      <c r="M1068">
        <v>6.38</v>
      </c>
      <c r="N1068">
        <f t="shared" si="48"/>
        <v>-176758</v>
      </c>
      <c r="O1068">
        <v>19375150</v>
      </c>
      <c r="P1068" s="2">
        <f t="shared" si="49"/>
        <v>-0.9122922919306431</v>
      </c>
      <c r="Q1068" s="4">
        <f t="shared" si="50"/>
        <v>12.361345699999999</v>
      </c>
    </row>
    <row r="1069" spans="1:17" x14ac:dyDescent="0.4">
      <c r="A1069">
        <v>20210823</v>
      </c>
      <c r="B1069" s="1">
        <v>0.22916666666666666</v>
      </c>
      <c r="C1069">
        <v>13205</v>
      </c>
      <c r="D1069">
        <v>142055</v>
      </c>
      <c r="E1069">
        <v>-73487</v>
      </c>
      <c r="F1069">
        <v>-20278</v>
      </c>
      <c r="G1069">
        <v>-40286</v>
      </c>
      <c r="H1069">
        <v>-57598</v>
      </c>
      <c r="I1069">
        <v>86024</v>
      </c>
      <c r="J1069">
        <v>-12180</v>
      </c>
      <c r="K1069">
        <v>-4024</v>
      </c>
      <c r="L1069">
        <v>-14970</v>
      </c>
      <c r="M1069">
        <v>6.35</v>
      </c>
      <c r="N1069">
        <f t="shared" si="48"/>
        <v>18461</v>
      </c>
      <c r="O1069">
        <v>19433150</v>
      </c>
      <c r="P1069" s="2">
        <f t="shared" si="49"/>
        <v>9.4997465670773912E-2</v>
      </c>
      <c r="Q1069" s="4">
        <f t="shared" si="50"/>
        <v>12.340050250000001</v>
      </c>
    </row>
    <row r="1070" spans="1:17" x14ac:dyDescent="0.4">
      <c r="A1070">
        <v>20210823</v>
      </c>
      <c r="B1070" s="1">
        <v>0.25</v>
      </c>
      <c r="C1070">
        <v>-14252</v>
      </c>
      <c r="D1070">
        <v>130236</v>
      </c>
      <c r="E1070">
        <v>-92217</v>
      </c>
      <c r="F1070">
        <v>-64134</v>
      </c>
      <c r="G1070">
        <v>-18120</v>
      </c>
      <c r="H1070">
        <v>-40178</v>
      </c>
      <c r="I1070">
        <v>75773</v>
      </c>
      <c r="J1070">
        <v>-38351</v>
      </c>
      <c r="K1070">
        <v>-61324</v>
      </c>
      <c r="L1070">
        <v>-18708</v>
      </c>
      <c r="M1070">
        <v>6.28</v>
      </c>
      <c r="N1070">
        <f t="shared" si="48"/>
        <v>-141275</v>
      </c>
      <c r="O1070">
        <v>19930150</v>
      </c>
      <c r="P1070" s="2">
        <f t="shared" si="49"/>
        <v>-0.70885066093330962</v>
      </c>
      <c r="Q1070" s="4">
        <f t="shared" si="50"/>
        <v>12.5161342</v>
      </c>
    </row>
    <row r="1071" spans="1:17" x14ac:dyDescent="0.4">
      <c r="A1071">
        <v>20210823</v>
      </c>
      <c r="B1071" s="1">
        <v>0.27083333333333331</v>
      </c>
      <c r="C1071">
        <v>17813</v>
      </c>
      <c r="D1071">
        <v>25974</v>
      </c>
      <c r="E1071">
        <v>-261954</v>
      </c>
      <c r="F1071">
        <v>63187</v>
      </c>
      <c r="G1071">
        <v>-24275</v>
      </c>
      <c r="H1071">
        <v>-208645</v>
      </c>
      <c r="I1071">
        <v>40707</v>
      </c>
      <c r="J1071">
        <v>-72783</v>
      </c>
      <c r="K1071">
        <v>53178</v>
      </c>
      <c r="L1071">
        <v>-24325</v>
      </c>
      <c r="M1071">
        <v>6.38</v>
      </c>
      <c r="N1071">
        <f t="shared" si="48"/>
        <v>-391123</v>
      </c>
      <c r="O1071">
        <v>20440500</v>
      </c>
      <c r="P1071" s="2">
        <f t="shared" si="49"/>
        <v>-1.9134708055086715</v>
      </c>
      <c r="Q1071" s="4">
        <f t="shared" si="50"/>
        <v>13.041039</v>
      </c>
    </row>
    <row r="1072" spans="1:17" x14ac:dyDescent="0.4">
      <c r="A1072">
        <v>20210823</v>
      </c>
      <c r="B1072" s="1">
        <v>0.29166666666666669</v>
      </c>
      <c r="C1072">
        <v>-6664</v>
      </c>
      <c r="D1072">
        <v>197072</v>
      </c>
      <c r="E1072">
        <v>-277798</v>
      </c>
      <c r="F1072">
        <v>-186850</v>
      </c>
      <c r="G1072">
        <v>-2531</v>
      </c>
      <c r="H1072">
        <v>-346163</v>
      </c>
      <c r="I1072">
        <v>42551</v>
      </c>
      <c r="J1072">
        <v>-82715</v>
      </c>
      <c r="K1072">
        <v>-3529</v>
      </c>
      <c r="L1072">
        <v>-30665</v>
      </c>
      <c r="M1072">
        <v>6.48</v>
      </c>
      <c r="N1072">
        <f t="shared" si="48"/>
        <v>-697292</v>
      </c>
      <c r="O1072">
        <v>21101950</v>
      </c>
      <c r="P1072" s="2">
        <f t="shared" si="49"/>
        <v>-3.3043960392286023</v>
      </c>
      <c r="Q1072" s="4">
        <f t="shared" si="50"/>
        <v>13.6740636</v>
      </c>
    </row>
    <row r="1073" spans="1:17" x14ac:dyDescent="0.4">
      <c r="A1073">
        <v>20210823</v>
      </c>
      <c r="B1073" s="1">
        <v>0.3125</v>
      </c>
      <c r="C1073">
        <v>-6597</v>
      </c>
      <c r="D1073">
        <v>302655</v>
      </c>
      <c r="E1073">
        <v>-412554</v>
      </c>
      <c r="F1073">
        <v>12779</v>
      </c>
      <c r="G1073">
        <v>-11200</v>
      </c>
      <c r="H1073">
        <v>-459903</v>
      </c>
      <c r="I1073">
        <v>114944</v>
      </c>
      <c r="J1073">
        <v>-41775</v>
      </c>
      <c r="K1073">
        <v>180643</v>
      </c>
      <c r="L1073">
        <v>-44646</v>
      </c>
      <c r="M1073">
        <v>6.92</v>
      </c>
      <c r="N1073">
        <f t="shared" si="48"/>
        <v>-365654</v>
      </c>
      <c r="O1073">
        <v>21311850</v>
      </c>
      <c r="P1073" s="2">
        <f t="shared" si="49"/>
        <v>-1.7157309196526815</v>
      </c>
      <c r="Q1073" s="4">
        <f t="shared" si="50"/>
        <v>14.7478002</v>
      </c>
    </row>
    <row r="1074" spans="1:17" x14ac:dyDescent="0.4">
      <c r="A1074">
        <v>20210823</v>
      </c>
      <c r="B1074" s="1">
        <v>0.33333333333333331</v>
      </c>
      <c r="C1074">
        <v>-29596</v>
      </c>
      <c r="D1074">
        <v>126435</v>
      </c>
      <c r="E1074">
        <v>-92027</v>
      </c>
      <c r="F1074">
        <v>-193801</v>
      </c>
      <c r="G1074">
        <v>-18386</v>
      </c>
      <c r="H1074">
        <v>-394313</v>
      </c>
      <c r="I1074">
        <v>110040</v>
      </c>
      <c r="J1074">
        <v>-21833</v>
      </c>
      <c r="K1074">
        <v>391516</v>
      </c>
      <c r="L1074">
        <v>-59990</v>
      </c>
      <c r="M1074">
        <v>6.92</v>
      </c>
      <c r="N1074">
        <f t="shared" si="48"/>
        <v>-181955</v>
      </c>
      <c r="O1074">
        <v>22616750</v>
      </c>
      <c r="P1074" s="2">
        <f t="shared" si="49"/>
        <v>-0.80451435330009835</v>
      </c>
      <c r="Q1074" s="4">
        <f t="shared" si="50"/>
        <v>15.650791</v>
      </c>
    </row>
    <row r="1075" spans="1:17" x14ac:dyDescent="0.4">
      <c r="A1075">
        <v>20210823</v>
      </c>
      <c r="B1075" s="1">
        <v>0.35416666666666669</v>
      </c>
      <c r="C1075">
        <v>-41600</v>
      </c>
      <c r="D1075">
        <v>308197</v>
      </c>
      <c r="E1075">
        <v>194491</v>
      </c>
      <c r="F1075">
        <v>74118</v>
      </c>
      <c r="G1075">
        <v>6286</v>
      </c>
      <c r="H1075">
        <v>-364733</v>
      </c>
      <c r="I1075">
        <v>98828</v>
      </c>
      <c r="J1075">
        <v>57756</v>
      </c>
      <c r="K1075">
        <v>376194</v>
      </c>
      <c r="L1075">
        <v>-74340</v>
      </c>
      <c r="M1075">
        <v>7.21</v>
      </c>
      <c r="N1075">
        <f t="shared" si="48"/>
        <v>635197</v>
      </c>
      <c r="O1075">
        <v>22457600</v>
      </c>
      <c r="P1075" s="2">
        <f t="shared" si="49"/>
        <v>2.8284277928184669</v>
      </c>
      <c r="Q1075" s="4">
        <f t="shared" si="50"/>
        <v>16.191929600000002</v>
      </c>
    </row>
    <row r="1076" spans="1:17" x14ac:dyDescent="0.4">
      <c r="A1076">
        <v>20210823</v>
      </c>
      <c r="B1076" s="1">
        <v>0.375</v>
      </c>
      <c r="C1076">
        <v>-34669</v>
      </c>
      <c r="D1076">
        <v>294405</v>
      </c>
      <c r="E1076">
        <v>732238</v>
      </c>
      <c r="F1076">
        <v>362355</v>
      </c>
      <c r="G1076">
        <v>11019</v>
      </c>
      <c r="H1076">
        <v>-320172</v>
      </c>
      <c r="I1076">
        <v>140018</v>
      </c>
      <c r="J1076">
        <v>67494</v>
      </c>
      <c r="K1076">
        <v>232708</v>
      </c>
      <c r="L1076">
        <v>-55756</v>
      </c>
      <c r="M1076">
        <v>8.86</v>
      </c>
      <c r="N1076">
        <f t="shared" si="48"/>
        <v>1429640</v>
      </c>
      <c r="O1076">
        <v>23413800</v>
      </c>
      <c r="P1076" s="2">
        <f t="shared" si="49"/>
        <v>6.1059716919081906</v>
      </c>
      <c r="Q1076" s="4">
        <f t="shared" si="50"/>
        <v>20.744626799999999</v>
      </c>
    </row>
    <row r="1077" spans="1:17" x14ac:dyDescent="0.4">
      <c r="A1077">
        <v>20210823</v>
      </c>
      <c r="B1077" s="1">
        <v>0.39583333333333331</v>
      </c>
      <c r="C1077">
        <v>-63600</v>
      </c>
      <c r="D1077">
        <v>88747</v>
      </c>
      <c r="E1077">
        <v>995445</v>
      </c>
      <c r="F1077">
        <v>724515</v>
      </c>
      <c r="G1077">
        <v>14797</v>
      </c>
      <c r="H1077">
        <v>-179437</v>
      </c>
      <c r="I1077">
        <v>141744</v>
      </c>
      <c r="J1077">
        <v>35942</v>
      </c>
      <c r="K1077">
        <v>173231</v>
      </c>
      <c r="L1077">
        <v>-58371</v>
      </c>
      <c r="M1077">
        <v>8.86</v>
      </c>
      <c r="N1077">
        <f t="shared" si="48"/>
        <v>1873013</v>
      </c>
      <c r="O1077">
        <v>23431950</v>
      </c>
      <c r="P1077" s="2">
        <f t="shared" si="49"/>
        <v>7.993414973999176</v>
      </c>
      <c r="Q1077" s="4">
        <f t="shared" si="50"/>
        <v>20.760707700000001</v>
      </c>
    </row>
    <row r="1078" spans="1:17" x14ac:dyDescent="0.4">
      <c r="A1078">
        <v>20210823</v>
      </c>
      <c r="B1078" s="1">
        <v>0.41666666666666669</v>
      </c>
      <c r="C1078">
        <v>-24464</v>
      </c>
      <c r="D1078">
        <v>121618</v>
      </c>
      <c r="E1078">
        <v>1435599</v>
      </c>
      <c r="F1078">
        <v>845187</v>
      </c>
      <c r="G1078">
        <v>-925</v>
      </c>
      <c r="H1078">
        <v>-120564</v>
      </c>
      <c r="I1078">
        <v>164046</v>
      </c>
      <c r="J1078">
        <v>78243</v>
      </c>
      <c r="K1078">
        <v>106290</v>
      </c>
      <c r="L1078">
        <v>-66963</v>
      </c>
      <c r="M1078">
        <v>8.86</v>
      </c>
      <c r="N1078">
        <f t="shared" si="48"/>
        <v>2538067</v>
      </c>
      <c r="O1078">
        <v>23755950</v>
      </c>
      <c r="P1078" s="2">
        <f t="shared" si="49"/>
        <v>10.683921291297549</v>
      </c>
      <c r="Q1078" s="4">
        <f t="shared" si="50"/>
        <v>21.047771699999998</v>
      </c>
    </row>
    <row r="1079" spans="1:17" x14ac:dyDescent="0.4">
      <c r="A1079">
        <v>20210823</v>
      </c>
      <c r="B1079" s="1">
        <v>0.4375</v>
      </c>
      <c r="C1079">
        <v>-18356</v>
      </c>
      <c r="D1079">
        <v>93725</v>
      </c>
      <c r="E1079">
        <v>1938002</v>
      </c>
      <c r="F1079">
        <v>917005</v>
      </c>
      <c r="G1079">
        <v>14944</v>
      </c>
      <c r="H1079">
        <v>-157830</v>
      </c>
      <c r="I1079">
        <v>33030</v>
      </c>
      <c r="J1079">
        <v>45496</v>
      </c>
      <c r="K1079">
        <v>258709</v>
      </c>
      <c r="L1079">
        <v>-70798</v>
      </c>
      <c r="M1079">
        <v>8.86</v>
      </c>
      <c r="N1079">
        <f t="shared" si="48"/>
        <v>3053927</v>
      </c>
      <c r="O1079">
        <v>23945100</v>
      </c>
      <c r="P1079" s="2">
        <f t="shared" si="49"/>
        <v>12.753870311671282</v>
      </c>
      <c r="Q1079" s="4">
        <f t="shared" si="50"/>
        <v>21.215358599999998</v>
      </c>
    </row>
    <row r="1080" spans="1:17" x14ac:dyDescent="0.4">
      <c r="A1080">
        <v>20210823</v>
      </c>
      <c r="B1080" s="1">
        <v>0.45833333333333331</v>
      </c>
      <c r="C1080">
        <v>5378</v>
      </c>
      <c r="D1080">
        <v>318613</v>
      </c>
      <c r="E1080">
        <v>2190842</v>
      </c>
      <c r="F1080">
        <v>977751</v>
      </c>
      <c r="G1080">
        <v>88513</v>
      </c>
      <c r="H1080">
        <v>-231264</v>
      </c>
      <c r="I1080">
        <v>58865</v>
      </c>
      <c r="J1080">
        <v>36994</v>
      </c>
      <c r="K1080">
        <v>261107</v>
      </c>
      <c r="L1080">
        <v>-64453</v>
      </c>
      <c r="M1080">
        <v>8.86</v>
      </c>
      <c r="N1080">
        <f t="shared" si="48"/>
        <v>3642346</v>
      </c>
      <c r="O1080">
        <v>24399450</v>
      </c>
      <c r="P1080" s="2">
        <f t="shared" si="49"/>
        <v>14.927984032426961</v>
      </c>
      <c r="Q1080" s="4">
        <f t="shared" si="50"/>
        <v>21.617912700000002</v>
      </c>
    </row>
    <row r="1081" spans="1:17" x14ac:dyDescent="0.4">
      <c r="A1081">
        <v>20210823</v>
      </c>
      <c r="B1081" s="1">
        <v>0.47916666666666669</v>
      </c>
      <c r="C1081">
        <v>44880</v>
      </c>
      <c r="D1081">
        <v>272266</v>
      </c>
      <c r="E1081">
        <v>2540706</v>
      </c>
      <c r="F1081">
        <v>1026344</v>
      </c>
      <c r="G1081">
        <v>107568</v>
      </c>
      <c r="H1081">
        <v>-278810</v>
      </c>
      <c r="I1081">
        <v>-4717</v>
      </c>
      <c r="J1081">
        <v>-33088</v>
      </c>
      <c r="K1081">
        <v>211072</v>
      </c>
      <c r="L1081">
        <v>-63126</v>
      </c>
      <c r="M1081">
        <v>8.86</v>
      </c>
      <c r="N1081">
        <f t="shared" si="48"/>
        <v>3823095</v>
      </c>
      <c r="O1081">
        <v>24642550</v>
      </c>
      <c r="P1081" s="2">
        <f t="shared" si="49"/>
        <v>15.514202061069167</v>
      </c>
      <c r="Q1081" s="4">
        <f t="shared" si="50"/>
        <v>21.8332993</v>
      </c>
    </row>
    <row r="1082" spans="1:17" x14ac:dyDescent="0.4">
      <c r="A1082">
        <v>20210823</v>
      </c>
      <c r="B1082" s="1">
        <v>0.5</v>
      </c>
      <c r="C1082">
        <v>9343</v>
      </c>
      <c r="D1082">
        <v>153724</v>
      </c>
      <c r="E1082">
        <v>2348157</v>
      </c>
      <c r="F1082">
        <v>870736</v>
      </c>
      <c r="G1082">
        <v>85407</v>
      </c>
      <c r="H1082">
        <v>-243290</v>
      </c>
      <c r="I1082">
        <v>236040</v>
      </c>
      <c r="J1082">
        <v>-104343</v>
      </c>
      <c r="K1082">
        <v>68915</v>
      </c>
      <c r="L1082">
        <v>-40271</v>
      </c>
      <c r="M1082">
        <v>8.39</v>
      </c>
      <c r="N1082">
        <f t="shared" si="48"/>
        <v>3384418</v>
      </c>
      <c r="O1082">
        <v>24737600</v>
      </c>
      <c r="P1082" s="2">
        <f t="shared" si="49"/>
        <v>13.681270616389625</v>
      </c>
      <c r="Q1082" s="4">
        <f t="shared" si="50"/>
        <v>20.754846400000002</v>
      </c>
    </row>
    <row r="1083" spans="1:17" x14ac:dyDescent="0.4">
      <c r="A1083">
        <v>20210823</v>
      </c>
      <c r="B1083" s="1">
        <v>0.52083333333333337</v>
      </c>
      <c r="C1083">
        <v>-17578</v>
      </c>
      <c r="D1083">
        <v>135563</v>
      </c>
      <c r="E1083">
        <v>2379210</v>
      </c>
      <c r="F1083">
        <v>579964</v>
      </c>
      <c r="G1083">
        <v>71537</v>
      </c>
      <c r="H1083">
        <v>-436484</v>
      </c>
      <c r="I1083">
        <v>487332</v>
      </c>
      <c r="J1083">
        <v>-90900</v>
      </c>
      <c r="K1083">
        <v>172758</v>
      </c>
      <c r="L1083">
        <v>-41954</v>
      </c>
      <c r="M1083">
        <v>8.39</v>
      </c>
      <c r="N1083">
        <f t="shared" si="48"/>
        <v>3239448</v>
      </c>
      <c r="O1083">
        <v>24985450</v>
      </c>
      <c r="P1083" s="2">
        <f t="shared" si="49"/>
        <v>12.965337826615089</v>
      </c>
      <c r="Q1083" s="4">
        <f t="shared" si="50"/>
        <v>20.96279255</v>
      </c>
    </row>
    <row r="1084" spans="1:17" x14ac:dyDescent="0.4">
      <c r="A1084">
        <v>20210823</v>
      </c>
      <c r="B1084" s="1">
        <v>0.54166666666666663</v>
      </c>
      <c r="C1084">
        <v>-28103</v>
      </c>
      <c r="D1084">
        <v>238270</v>
      </c>
      <c r="E1084">
        <v>2194053</v>
      </c>
      <c r="F1084">
        <v>268816</v>
      </c>
      <c r="G1084">
        <v>127980</v>
      </c>
      <c r="H1084">
        <v>-348283</v>
      </c>
      <c r="I1084">
        <v>543514</v>
      </c>
      <c r="J1084">
        <v>-5185</v>
      </c>
      <c r="K1084">
        <v>224542</v>
      </c>
      <c r="L1084">
        <v>-47651</v>
      </c>
      <c r="M1084">
        <v>8.86</v>
      </c>
      <c r="N1084">
        <f t="shared" si="48"/>
        <v>3167953</v>
      </c>
      <c r="O1084">
        <v>24150250</v>
      </c>
      <c r="P1084" s="2">
        <f t="shared" si="49"/>
        <v>13.117682011573379</v>
      </c>
      <c r="Q1084" s="4">
        <f t="shared" si="50"/>
        <v>21.397121500000001</v>
      </c>
    </row>
    <row r="1085" spans="1:17" x14ac:dyDescent="0.4">
      <c r="A1085">
        <v>20210823</v>
      </c>
      <c r="B1085" s="1">
        <v>0.5625</v>
      </c>
      <c r="C1085">
        <v>-30637</v>
      </c>
      <c r="D1085">
        <v>176643</v>
      </c>
      <c r="E1085">
        <v>1203346</v>
      </c>
      <c r="F1085">
        <v>169198</v>
      </c>
      <c r="G1085">
        <v>159081</v>
      </c>
      <c r="H1085">
        <v>-209786</v>
      </c>
      <c r="I1085">
        <v>602424</v>
      </c>
      <c r="J1085">
        <v>59046</v>
      </c>
      <c r="K1085">
        <v>199116</v>
      </c>
      <c r="L1085">
        <v>-45483</v>
      </c>
      <c r="M1085">
        <v>8.86</v>
      </c>
      <c r="N1085">
        <f t="shared" si="48"/>
        <v>2282948</v>
      </c>
      <c r="O1085">
        <v>23939300</v>
      </c>
      <c r="P1085" s="2">
        <f t="shared" si="49"/>
        <v>9.5364024846173443</v>
      </c>
      <c r="Q1085" s="4">
        <f t="shared" si="50"/>
        <v>21.210219800000001</v>
      </c>
    </row>
    <row r="1086" spans="1:17" x14ac:dyDescent="0.4">
      <c r="A1086">
        <v>20210823</v>
      </c>
      <c r="B1086" s="1">
        <v>0.58333333333333337</v>
      </c>
      <c r="C1086">
        <v>-26894</v>
      </c>
      <c r="D1086">
        <v>314435</v>
      </c>
      <c r="E1086">
        <v>1241020</v>
      </c>
      <c r="F1086">
        <v>39345</v>
      </c>
      <c r="G1086">
        <v>137219</v>
      </c>
      <c r="H1086">
        <v>-20124</v>
      </c>
      <c r="I1086">
        <v>624529</v>
      </c>
      <c r="J1086">
        <v>98340</v>
      </c>
      <c r="K1086">
        <v>189387</v>
      </c>
      <c r="L1086">
        <v>-51190</v>
      </c>
      <c r="M1086">
        <v>9.6</v>
      </c>
      <c r="N1086">
        <f t="shared" si="48"/>
        <v>2546067</v>
      </c>
      <c r="O1086">
        <v>23861400</v>
      </c>
      <c r="P1086" s="2">
        <f t="shared" si="49"/>
        <v>10.670233096130152</v>
      </c>
      <c r="Q1086" s="4">
        <f t="shared" si="50"/>
        <v>22.906943999999999</v>
      </c>
    </row>
    <row r="1087" spans="1:17" x14ac:dyDescent="0.4">
      <c r="A1087">
        <v>20210823</v>
      </c>
      <c r="B1087" s="1">
        <v>0.60416666666666663</v>
      </c>
      <c r="C1087">
        <v>-47939</v>
      </c>
      <c r="D1087">
        <v>470237</v>
      </c>
      <c r="E1087">
        <v>1170212</v>
      </c>
      <c r="F1087">
        <v>83828</v>
      </c>
      <c r="G1087">
        <v>130706</v>
      </c>
      <c r="H1087">
        <v>31342</v>
      </c>
      <c r="I1087">
        <v>549280</v>
      </c>
      <c r="J1087">
        <v>127226</v>
      </c>
      <c r="K1087">
        <v>153387</v>
      </c>
      <c r="L1087">
        <v>-58766</v>
      </c>
      <c r="M1087">
        <v>9.66</v>
      </c>
      <c r="N1087">
        <f t="shared" si="48"/>
        <v>2609513</v>
      </c>
      <c r="O1087">
        <v>23558550</v>
      </c>
      <c r="P1087" s="2">
        <f t="shared" si="49"/>
        <v>11.076713125383353</v>
      </c>
      <c r="Q1087" s="4">
        <f t="shared" si="50"/>
        <v>22.7575593</v>
      </c>
    </row>
    <row r="1088" spans="1:17" x14ac:dyDescent="0.4">
      <c r="A1088">
        <v>20210823</v>
      </c>
      <c r="B1088" s="1">
        <v>0.625</v>
      </c>
      <c r="C1088">
        <v>-70410</v>
      </c>
      <c r="D1088">
        <v>367388</v>
      </c>
      <c r="E1088">
        <v>1436817</v>
      </c>
      <c r="F1088">
        <v>271646</v>
      </c>
      <c r="G1088">
        <v>42099</v>
      </c>
      <c r="H1088">
        <v>6355</v>
      </c>
      <c r="I1088">
        <v>298893</v>
      </c>
      <c r="J1088">
        <v>57347</v>
      </c>
      <c r="K1088">
        <v>208109</v>
      </c>
      <c r="L1088">
        <v>-61502</v>
      </c>
      <c r="M1088">
        <v>9.6300000000000008</v>
      </c>
      <c r="N1088">
        <f t="shared" si="48"/>
        <v>2556742</v>
      </c>
      <c r="O1088">
        <v>23263300</v>
      </c>
      <c r="P1088" s="2">
        <f t="shared" si="49"/>
        <v>10.99045277325229</v>
      </c>
      <c r="Q1088" s="4">
        <f t="shared" si="50"/>
        <v>22.402557900000001</v>
      </c>
    </row>
    <row r="1089" spans="1:17" x14ac:dyDescent="0.4">
      <c r="A1089">
        <v>20210823</v>
      </c>
      <c r="B1089" s="1">
        <v>0.64583333333333337</v>
      </c>
      <c r="C1089">
        <v>-41727</v>
      </c>
      <c r="D1089">
        <v>304099</v>
      </c>
      <c r="E1089">
        <v>1107196</v>
      </c>
      <c r="F1089">
        <v>173188</v>
      </c>
      <c r="G1089">
        <v>25597</v>
      </c>
      <c r="H1089">
        <v>-112765</v>
      </c>
      <c r="I1089">
        <v>148583</v>
      </c>
      <c r="J1089">
        <v>-17891</v>
      </c>
      <c r="K1089">
        <v>36056</v>
      </c>
      <c r="L1089">
        <v>-71190</v>
      </c>
      <c r="M1089">
        <v>9.92</v>
      </c>
      <c r="N1089">
        <f t="shared" si="48"/>
        <v>1551146</v>
      </c>
      <c r="O1089">
        <v>22859250</v>
      </c>
      <c r="P1089" s="2">
        <f t="shared" si="49"/>
        <v>6.7856381989785319</v>
      </c>
      <c r="Q1089" s="4">
        <f t="shared" si="50"/>
        <v>22.676376000000001</v>
      </c>
    </row>
    <row r="1090" spans="1:17" x14ac:dyDescent="0.4">
      <c r="A1090">
        <v>20210823</v>
      </c>
      <c r="B1090" s="1">
        <v>0.66666666666666663</v>
      </c>
      <c r="C1090">
        <v>-95711</v>
      </c>
      <c r="D1090">
        <v>213922</v>
      </c>
      <c r="E1090">
        <v>511832</v>
      </c>
      <c r="F1090">
        <v>75841</v>
      </c>
      <c r="G1090">
        <v>-16008</v>
      </c>
      <c r="H1090">
        <v>-194969</v>
      </c>
      <c r="I1090">
        <v>27140</v>
      </c>
      <c r="J1090">
        <v>-58356</v>
      </c>
      <c r="K1090">
        <v>19464</v>
      </c>
      <c r="L1090">
        <v>-38221</v>
      </c>
      <c r="M1090">
        <v>10.26</v>
      </c>
      <c r="N1090">
        <f t="shared" si="48"/>
        <v>444934</v>
      </c>
      <c r="O1090">
        <v>23533550</v>
      </c>
      <c r="P1090" s="2">
        <f t="shared" si="49"/>
        <v>1.8906369842204003</v>
      </c>
      <c r="Q1090" s="4">
        <f t="shared" si="50"/>
        <v>24.1454223</v>
      </c>
    </row>
    <row r="1091" spans="1:17" x14ac:dyDescent="0.4">
      <c r="A1091">
        <v>20210823</v>
      </c>
      <c r="B1091" s="1">
        <v>0.6875</v>
      </c>
      <c r="C1091">
        <v>-62624</v>
      </c>
      <c r="D1091">
        <v>169351</v>
      </c>
      <c r="E1091">
        <v>158304</v>
      </c>
      <c r="F1091">
        <v>-50683</v>
      </c>
      <c r="G1091">
        <v>-18131</v>
      </c>
      <c r="H1091">
        <v>-221172</v>
      </c>
      <c r="I1091">
        <v>-15973</v>
      </c>
      <c r="J1091">
        <v>-67575</v>
      </c>
      <c r="K1091">
        <v>-133814</v>
      </c>
      <c r="L1091">
        <v>-42267</v>
      </c>
      <c r="M1091">
        <v>10.26</v>
      </c>
      <c r="N1091">
        <f t="shared" ref="N1091:N1154" si="51">C1091+D1091+E1091+F1091+G1091+H1091+I1091+J1091+K1091+L1091</f>
        <v>-284584</v>
      </c>
      <c r="O1091">
        <v>23280000</v>
      </c>
      <c r="P1091" s="2">
        <f t="shared" ref="P1091:P1154" si="52">((N1091*100)/O1091)</f>
        <v>-1.2224398625429553</v>
      </c>
      <c r="Q1091" s="4">
        <f t="shared" ref="Q1091:Q1154" si="53">(M1091*O1091)/10^7</f>
        <v>23.885280000000002</v>
      </c>
    </row>
    <row r="1092" spans="1:17" x14ac:dyDescent="0.4">
      <c r="A1092">
        <v>20210823</v>
      </c>
      <c r="B1092" s="1">
        <v>0.70833333333333337</v>
      </c>
      <c r="C1092">
        <v>-13383</v>
      </c>
      <c r="D1092">
        <v>214757</v>
      </c>
      <c r="E1092">
        <v>-109259</v>
      </c>
      <c r="F1092">
        <v>-108865</v>
      </c>
      <c r="G1092">
        <v>15135</v>
      </c>
      <c r="H1092">
        <v>-238460</v>
      </c>
      <c r="I1092">
        <v>26218</v>
      </c>
      <c r="J1092">
        <v>-47877</v>
      </c>
      <c r="K1092">
        <v>-137251</v>
      </c>
      <c r="L1092">
        <v>-41714</v>
      </c>
      <c r="M1092">
        <v>10.26</v>
      </c>
      <c r="N1092">
        <f t="shared" si="51"/>
        <v>-440699</v>
      </c>
      <c r="O1092">
        <v>23035450</v>
      </c>
      <c r="P1092" s="2">
        <f t="shared" si="52"/>
        <v>-1.9131338871174646</v>
      </c>
      <c r="Q1092" s="4">
        <f t="shared" si="53"/>
        <v>23.634371699999999</v>
      </c>
    </row>
    <row r="1093" spans="1:17" x14ac:dyDescent="0.4">
      <c r="A1093">
        <v>20210823</v>
      </c>
      <c r="B1093" s="1">
        <v>0.72916666666666663</v>
      </c>
      <c r="C1093">
        <v>-3707</v>
      </c>
      <c r="D1093">
        <v>103644</v>
      </c>
      <c r="E1093">
        <v>-173962</v>
      </c>
      <c r="F1093">
        <v>-140987</v>
      </c>
      <c r="G1093">
        <v>-5554</v>
      </c>
      <c r="H1093">
        <v>-366088</v>
      </c>
      <c r="I1093">
        <v>-15420</v>
      </c>
      <c r="J1093">
        <v>-24071</v>
      </c>
      <c r="K1093">
        <v>-166093</v>
      </c>
      <c r="L1093">
        <v>-38847</v>
      </c>
      <c r="M1093">
        <v>10.26</v>
      </c>
      <c r="N1093">
        <f t="shared" si="51"/>
        <v>-831085</v>
      </c>
      <c r="O1093">
        <v>22722600</v>
      </c>
      <c r="P1093" s="2">
        <f t="shared" si="52"/>
        <v>-3.6575259873429977</v>
      </c>
      <c r="Q1093" s="4">
        <f t="shared" si="53"/>
        <v>23.313387599999999</v>
      </c>
    </row>
    <row r="1094" spans="1:17" x14ac:dyDescent="0.4">
      <c r="A1094">
        <v>20210823</v>
      </c>
      <c r="B1094" s="1">
        <v>0.75</v>
      </c>
      <c r="C1094">
        <v>-11495</v>
      </c>
      <c r="D1094">
        <v>16886</v>
      </c>
      <c r="E1094">
        <v>-234406</v>
      </c>
      <c r="F1094">
        <v>-218081</v>
      </c>
      <c r="G1094">
        <v>-12309</v>
      </c>
      <c r="H1094">
        <v>-251276</v>
      </c>
      <c r="I1094">
        <v>-17453</v>
      </c>
      <c r="J1094">
        <v>-24435</v>
      </c>
      <c r="K1094">
        <v>-136344</v>
      </c>
      <c r="L1094">
        <v>-28479</v>
      </c>
      <c r="M1094">
        <v>10.26</v>
      </c>
      <c r="N1094">
        <f t="shared" si="51"/>
        <v>-917392</v>
      </c>
      <c r="O1094">
        <v>22286500</v>
      </c>
      <c r="P1094" s="2">
        <f t="shared" si="52"/>
        <v>-4.1163574361160347</v>
      </c>
      <c r="Q1094" s="4">
        <f t="shared" si="53"/>
        <v>22.865949000000001</v>
      </c>
    </row>
    <row r="1095" spans="1:17" x14ac:dyDescent="0.4">
      <c r="A1095">
        <v>20210823</v>
      </c>
      <c r="B1095" s="1">
        <v>0.77083333333333337</v>
      </c>
      <c r="C1095">
        <v>10806</v>
      </c>
      <c r="D1095">
        <v>58935</v>
      </c>
      <c r="E1095">
        <v>-201154</v>
      </c>
      <c r="F1095">
        <v>-244476</v>
      </c>
      <c r="G1095">
        <v>-22247</v>
      </c>
      <c r="H1095">
        <v>-297459</v>
      </c>
      <c r="I1095">
        <v>-64937</v>
      </c>
      <c r="J1095">
        <v>-22552</v>
      </c>
      <c r="K1095">
        <v>-107442</v>
      </c>
      <c r="L1095">
        <v>-31763</v>
      </c>
      <c r="M1095">
        <v>10.26</v>
      </c>
      <c r="N1095">
        <f t="shared" si="51"/>
        <v>-922289</v>
      </c>
      <c r="O1095">
        <v>22244750</v>
      </c>
      <c r="P1095" s="2">
        <f t="shared" si="52"/>
        <v>-4.1460973937670689</v>
      </c>
      <c r="Q1095" s="4">
        <f t="shared" si="53"/>
        <v>22.823113500000002</v>
      </c>
    </row>
    <row r="1096" spans="1:17" x14ac:dyDescent="0.4">
      <c r="A1096">
        <v>20210823</v>
      </c>
      <c r="B1096" s="1">
        <v>0.79166666666666663</v>
      </c>
      <c r="C1096">
        <v>-2030</v>
      </c>
      <c r="D1096">
        <v>11016</v>
      </c>
      <c r="E1096">
        <v>-155249</v>
      </c>
      <c r="F1096">
        <v>-83109</v>
      </c>
      <c r="G1096">
        <v>-28844</v>
      </c>
      <c r="H1096">
        <v>-165375</v>
      </c>
      <c r="I1096">
        <v>-32548</v>
      </c>
      <c r="J1096">
        <v>-745</v>
      </c>
      <c r="K1096">
        <v>-74696</v>
      </c>
      <c r="L1096">
        <v>-32390</v>
      </c>
      <c r="M1096">
        <v>9.9700000000000006</v>
      </c>
      <c r="N1096">
        <f t="shared" si="51"/>
        <v>-563970</v>
      </c>
      <c r="O1096">
        <v>22213550</v>
      </c>
      <c r="P1096" s="2">
        <f t="shared" si="52"/>
        <v>-2.5388557884714511</v>
      </c>
      <c r="Q1096" s="4">
        <f t="shared" si="53"/>
        <v>22.146909350000001</v>
      </c>
    </row>
    <row r="1097" spans="1:17" x14ac:dyDescent="0.4">
      <c r="A1097">
        <v>20210823</v>
      </c>
      <c r="B1097" s="1">
        <v>0.8125</v>
      </c>
      <c r="C1097">
        <v>5653</v>
      </c>
      <c r="D1097">
        <v>21393</v>
      </c>
      <c r="E1097">
        <v>-120440</v>
      </c>
      <c r="F1097">
        <v>-48305</v>
      </c>
      <c r="G1097">
        <v>-41695</v>
      </c>
      <c r="H1097">
        <v>-99742</v>
      </c>
      <c r="I1097">
        <v>-28954</v>
      </c>
      <c r="J1097">
        <v>-9660</v>
      </c>
      <c r="K1097">
        <v>6781</v>
      </c>
      <c r="L1097">
        <v>-25692</v>
      </c>
      <c r="M1097">
        <v>9.61</v>
      </c>
      <c r="N1097">
        <f t="shared" si="51"/>
        <v>-340661</v>
      </c>
      <c r="O1097">
        <v>22238100</v>
      </c>
      <c r="P1097" s="2">
        <f t="shared" si="52"/>
        <v>-1.5318799717601774</v>
      </c>
      <c r="Q1097" s="4">
        <f t="shared" si="53"/>
        <v>21.3708141</v>
      </c>
    </row>
    <row r="1098" spans="1:17" x14ac:dyDescent="0.4">
      <c r="A1098">
        <v>20210823</v>
      </c>
      <c r="B1098" s="1">
        <v>0.83333333333333337</v>
      </c>
      <c r="C1098">
        <v>24948</v>
      </c>
      <c r="D1098">
        <v>13084</v>
      </c>
      <c r="E1098">
        <v>-283061</v>
      </c>
      <c r="F1098">
        <v>57941</v>
      </c>
      <c r="G1098">
        <v>-30974</v>
      </c>
      <c r="H1098">
        <v>-19273</v>
      </c>
      <c r="I1098">
        <v>39741</v>
      </c>
      <c r="J1098">
        <v>6396</v>
      </c>
      <c r="K1098">
        <v>35124</v>
      </c>
      <c r="L1098">
        <v>-25599</v>
      </c>
      <c r="M1098">
        <v>8.86</v>
      </c>
      <c r="N1098">
        <f t="shared" si="51"/>
        <v>-181673</v>
      </c>
      <c r="O1098">
        <v>21652700</v>
      </c>
      <c r="P1098" s="2">
        <f t="shared" si="52"/>
        <v>-0.83903162192243919</v>
      </c>
      <c r="Q1098" s="4">
        <f t="shared" si="53"/>
        <v>19.184292200000002</v>
      </c>
    </row>
    <row r="1099" spans="1:17" x14ac:dyDescent="0.4">
      <c r="A1099">
        <v>20210823</v>
      </c>
      <c r="B1099" s="1">
        <v>0.85416666666666663</v>
      </c>
      <c r="C1099">
        <v>16835</v>
      </c>
      <c r="D1099">
        <v>42526</v>
      </c>
      <c r="E1099">
        <v>-53208</v>
      </c>
      <c r="F1099">
        <v>103865</v>
      </c>
      <c r="G1099">
        <v>-33191</v>
      </c>
      <c r="H1099">
        <v>334</v>
      </c>
      <c r="I1099">
        <v>25246</v>
      </c>
      <c r="J1099">
        <v>3773</v>
      </c>
      <c r="K1099">
        <v>30909</v>
      </c>
      <c r="L1099">
        <v>-16048</v>
      </c>
      <c r="M1099">
        <v>8.86</v>
      </c>
      <c r="N1099">
        <f t="shared" si="51"/>
        <v>121041</v>
      </c>
      <c r="O1099">
        <v>21660000</v>
      </c>
      <c r="P1099" s="2">
        <f t="shared" si="52"/>
        <v>0.5588227146814404</v>
      </c>
      <c r="Q1099" s="4">
        <f t="shared" si="53"/>
        <v>19.190760000000001</v>
      </c>
    </row>
    <row r="1100" spans="1:17" x14ac:dyDescent="0.4">
      <c r="A1100">
        <v>20210823</v>
      </c>
      <c r="B1100" s="1">
        <v>0.875</v>
      </c>
      <c r="C1100">
        <v>30854</v>
      </c>
      <c r="D1100">
        <v>32601</v>
      </c>
      <c r="E1100">
        <v>-228940</v>
      </c>
      <c r="F1100">
        <v>77462</v>
      </c>
      <c r="G1100">
        <v>-22239</v>
      </c>
      <c r="H1100">
        <v>52775</v>
      </c>
      <c r="I1100">
        <v>7957</v>
      </c>
      <c r="J1100">
        <v>17281</v>
      </c>
      <c r="K1100">
        <v>82925</v>
      </c>
      <c r="L1100">
        <v>-24903</v>
      </c>
      <c r="M1100">
        <v>8.39</v>
      </c>
      <c r="N1100">
        <f t="shared" si="51"/>
        <v>25773</v>
      </c>
      <c r="O1100">
        <v>21015800</v>
      </c>
      <c r="P1100" s="2">
        <f t="shared" si="52"/>
        <v>0.12263630221071765</v>
      </c>
      <c r="Q1100" s="4">
        <f t="shared" si="53"/>
        <v>17.6322562</v>
      </c>
    </row>
    <row r="1101" spans="1:17" x14ac:dyDescent="0.4">
      <c r="A1101">
        <v>20210823</v>
      </c>
      <c r="B1101" s="1">
        <v>0.89583333333333337</v>
      </c>
      <c r="C1101">
        <v>3543</v>
      </c>
      <c r="D1101">
        <v>9098</v>
      </c>
      <c r="E1101">
        <v>-64285</v>
      </c>
      <c r="F1101">
        <v>109705</v>
      </c>
      <c r="G1101">
        <v>-15284</v>
      </c>
      <c r="H1101">
        <v>128930</v>
      </c>
      <c r="I1101">
        <v>-33004</v>
      </c>
      <c r="J1101">
        <v>47234</v>
      </c>
      <c r="K1101">
        <v>46609</v>
      </c>
      <c r="L1101">
        <v>-15497</v>
      </c>
      <c r="M1101">
        <v>8.15</v>
      </c>
      <c r="N1101">
        <f t="shared" si="51"/>
        <v>217049</v>
      </c>
      <c r="O1101">
        <v>20944450</v>
      </c>
      <c r="P1101" s="2">
        <f t="shared" si="52"/>
        <v>1.0363079479289263</v>
      </c>
      <c r="Q1101" s="4">
        <f t="shared" si="53"/>
        <v>17.069726750000001</v>
      </c>
    </row>
    <row r="1102" spans="1:17" x14ac:dyDescent="0.4">
      <c r="A1102">
        <v>20210823</v>
      </c>
      <c r="B1102" s="1">
        <v>0.91666666666666663</v>
      </c>
      <c r="C1102">
        <v>22427</v>
      </c>
      <c r="D1102">
        <v>-5058</v>
      </c>
      <c r="E1102">
        <v>-56986</v>
      </c>
      <c r="F1102">
        <v>74443</v>
      </c>
      <c r="G1102">
        <v>-2551</v>
      </c>
      <c r="H1102">
        <v>5856</v>
      </c>
      <c r="I1102">
        <v>14812</v>
      </c>
      <c r="J1102">
        <v>36095</v>
      </c>
      <c r="K1102">
        <v>7106</v>
      </c>
      <c r="L1102">
        <v>-9366</v>
      </c>
      <c r="M1102">
        <v>7.4</v>
      </c>
      <c r="N1102">
        <f t="shared" si="51"/>
        <v>86778</v>
      </c>
      <c r="O1102">
        <v>20748900</v>
      </c>
      <c r="P1102" s="2">
        <f t="shared" si="52"/>
        <v>0.41822940011277704</v>
      </c>
      <c r="Q1102" s="4">
        <f t="shared" si="53"/>
        <v>15.354186</v>
      </c>
    </row>
    <row r="1103" spans="1:17" x14ac:dyDescent="0.4">
      <c r="A1103">
        <v>20210823</v>
      </c>
      <c r="B1103" s="1">
        <v>0.9375</v>
      </c>
      <c r="C1103">
        <v>32675</v>
      </c>
      <c r="D1103">
        <v>349</v>
      </c>
      <c r="E1103">
        <v>-133970</v>
      </c>
      <c r="F1103">
        <v>48924</v>
      </c>
      <c r="G1103">
        <v>11054</v>
      </c>
      <c r="H1103">
        <v>41604</v>
      </c>
      <c r="I1103">
        <v>26074</v>
      </c>
      <c r="J1103">
        <v>50548</v>
      </c>
      <c r="K1103">
        <v>-22</v>
      </c>
      <c r="L1103">
        <v>2586</v>
      </c>
      <c r="M1103">
        <v>7.37</v>
      </c>
      <c r="N1103">
        <f t="shared" si="51"/>
        <v>79822</v>
      </c>
      <c r="O1103">
        <v>20705050</v>
      </c>
      <c r="P1103" s="2">
        <f t="shared" si="52"/>
        <v>0.38551947471752063</v>
      </c>
      <c r="Q1103" s="4">
        <f t="shared" si="53"/>
        <v>15.25962185</v>
      </c>
    </row>
    <row r="1104" spans="1:17" x14ac:dyDescent="0.4">
      <c r="A1104">
        <v>20210823</v>
      </c>
      <c r="B1104" s="1">
        <v>0.95833333333333337</v>
      </c>
      <c r="C1104">
        <v>14260</v>
      </c>
      <c r="D1104">
        <v>9350</v>
      </c>
      <c r="E1104">
        <v>-209858</v>
      </c>
      <c r="F1104">
        <v>149419</v>
      </c>
      <c r="G1104">
        <v>-20018</v>
      </c>
      <c r="H1104">
        <v>-34261</v>
      </c>
      <c r="I1104">
        <v>37076</v>
      </c>
      <c r="J1104">
        <v>46434</v>
      </c>
      <c r="K1104">
        <v>8305</v>
      </c>
      <c r="L1104">
        <v>-14564</v>
      </c>
      <c r="M1104">
        <v>6.92</v>
      </c>
      <c r="N1104">
        <f t="shared" si="51"/>
        <v>-13857</v>
      </c>
      <c r="O1104">
        <v>20263150</v>
      </c>
      <c r="P1104" s="2">
        <f t="shared" si="52"/>
        <v>-6.8385221448787573E-2</v>
      </c>
      <c r="Q1104" s="4">
        <f t="shared" si="53"/>
        <v>14.022099799999999</v>
      </c>
    </row>
    <row r="1105" spans="1:17" x14ac:dyDescent="0.4">
      <c r="A1105">
        <v>20210823</v>
      </c>
      <c r="B1105" s="1">
        <v>0.97916666666666663</v>
      </c>
      <c r="C1105">
        <v>68717</v>
      </c>
      <c r="D1105">
        <v>-72965</v>
      </c>
      <c r="E1105">
        <v>-221759</v>
      </c>
      <c r="F1105">
        <v>113717</v>
      </c>
      <c r="G1105">
        <v>-5966</v>
      </c>
      <c r="H1105">
        <v>-35194</v>
      </c>
      <c r="I1105">
        <v>58160</v>
      </c>
      <c r="J1105">
        <v>49626</v>
      </c>
      <c r="K1105">
        <v>-36612</v>
      </c>
      <c r="L1105">
        <v>-6955</v>
      </c>
      <c r="M1105">
        <v>6.56</v>
      </c>
      <c r="N1105">
        <f t="shared" si="51"/>
        <v>-89231</v>
      </c>
      <c r="O1105">
        <v>19653650</v>
      </c>
      <c r="P1105" s="2">
        <f t="shared" si="52"/>
        <v>-0.4540174471408619</v>
      </c>
      <c r="Q1105" s="4">
        <f t="shared" si="53"/>
        <v>12.892794399999998</v>
      </c>
    </row>
    <row r="1106" spans="1:17" x14ac:dyDescent="0.4">
      <c r="A1106">
        <v>20210824</v>
      </c>
      <c r="B1106" s="1">
        <v>0</v>
      </c>
      <c r="C1106">
        <v>-1161</v>
      </c>
      <c r="D1106">
        <v>36845</v>
      </c>
      <c r="E1106">
        <v>-214018</v>
      </c>
      <c r="F1106">
        <v>58169</v>
      </c>
      <c r="G1106">
        <v>-13562</v>
      </c>
      <c r="H1106">
        <v>134946</v>
      </c>
      <c r="I1106">
        <v>-38586</v>
      </c>
      <c r="J1106">
        <v>13004</v>
      </c>
      <c r="K1106">
        <v>3148</v>
      </c>
      <c r="L1106">
        <v>-4008</v>
      </c>
      <c r="M1106">
        <v>6.76</v>
      </c>
      <c r="N1106">
        <f t="shared" si="51"/>
        <v>-25223</v>
      </c>
      <c r="O1106">
        <v>19023050</v>
      </c>
      <c r="P1106" s="2">
        <f t="shared" si="52"/>
        <v>-0.13259177681812329</v>
      </c>
      <c r="Q1106" s="4">
        <f t="shared" si="53"/>
        <v>12.859581800000001</v>
      </c>
    </row>
    <row r="1107" spans="1:17" x14ac:dyDescent="0.4">
      <c r="A1107">
        <v>20210824</v>
      </c>
      <c r="B1107" s="1">
        <v>2.0833333333333332E-2</v>
      </c>
      <c r="C1107">
        <v>29471</v>
      </c>
      <c r="D1107">
        <v>-42859</v>
      </c>
      <c r="E1107">
        <v>-187868</v>
      </c>
      <c r="F1107">
        <v>53559</v>
      </c>
      <c r="G1107">
        <v>10475</v>
      </c>
      <c r="H1107">
        <v>110870</v>
      </c>
      <c r="I1107">
        <v>54374</v>
      </c>
      <c r="J1107">
        <v>13510</v>
      </c>
      <c r="K1107">
        <v>-5598</v>
      </c>
      <c r="L1107">
        <v>5397</v>
      </c>
      <c r="M1107">
        <v>6.76</v>
      </c>
      <c r="N1107">
        <f t="shared" si="51"/>
        <v>41331</v>
      </c>
      <c r="O1107">
        <v>20290150</v>
      </c>
      <c r="P1107" s="2">
        <f t="shared" si="52"/>
        <v>0.20369982479183249</v>
      </c>
      <c r="Q1107" s="4">
        <f t="shared" si="53"/>
        <v>13.7161414</v>
      </c>
    </row>
    <row r="1108" spans="1:17" x14ac:dyDescent="0.4">
      <c r="A1108">
        <v>20210824</v>
      </c>
      <c r="B1108" s="1">
        <v>4.1666666666666664E-2</v>
      </c>
      <c r="C1108">
        <v>10557</v>
      </c>
      <c r="D1108">
        <v>-56796</v>
      </c>
      <c r="E1108">
        <v>-143125</v>
      </c>
      <c r="F1108">
        <v>15341</v>
      </c>
      <c r="G1108">
        <v>-10252</v>
      </c>
      <c r="H1108">
        <v>34532</v>
      </c>
      <c r="I1108">
        <v>55353</v>
      </c>
      <c r="J1108">
        <v>7786</v>
      </c>
      <c r="K1108">
        <v>22506</v>
      </c>
      <c r="L1108">
        <v>-3175</v>
      </c>
      <c r="M1108">
        <v>6.63</v>
      </c>
      <c r="N1108">
        <f t="shared" si="51"/>
        <v>-67273</v>
      </c>
      <c r="O1108">
        <v>20316450</v>
      </c>
      <c r="P1108" s="2">
        <f t="shared" si="52"/>
        <v>-0.33112576262093035</v>
      </c>
      <c r="Q1108" s="4">
        <f t="shared" si="53"/>
        <v>13.469806350000001</v>
      </c>
    </row>
    <row r="1109" spans="1:17" x14ac:dyDescent="0.4">
      <c r="A1109">
        <v>20210824</v>
      </c>
      <c r="B1109" s="1">
        <v>6.25E-2</v>
      </c>
      <c r="C1109">
        <v>-15263</v>
      </c>
      <c r="D1109">
        <v>-61163</v>
      </c>
      <c r="E1109">
        <v>-101877</v>
      </c>
      <c r="F1109">
        <v>154462</v>
      </c>
      <c r="G1109">
        <v>-4011</v>
      </c>
      <c r="H1109">
        <v>67117</v>
      </c>
      <c r="I1109">
        <v>72803</v>
      </c>
      <c r="J1109">
        <v>-2861</v>
      </c>
      <c r="K1109">
        <v>54496</v>
      </c>
      <c r="L1109">
        <v>1473</v>
      </c>
      <c r="M1109">
        <v>6.74</v>
      </c>
      <c r="N1109">
        <f t="shared" si="51"/>
        <v>165176</v>
      </c>
      <c r="O1109">
        <v>20334100</v>
      </c>
      <c r="P1109" s="2">
        <f t="shared" si="52"/>
        <v>0.81231035551118569</v>
      </c>
      <c r="Q1109" s="4">
        <f t="shared" si="53"/>
        <v>13.705183399999999</v>
      </c>
    </row>
    <row r="1110" spans="1:17" x14ac:dyDescent="0.4">
      <c r="A1110">
        <v>20210824</v>
      </c>
      <c r="B1110" s="1">
        <v>8.3333333333333329E-2</v>
      </c>
      <c r="C1110">
        <v>2013</v>
      </c>
      <c r="D1110">
        <v>-21228</v>
      </c>
      <c r="E1110">
        <v>-178227</v>
      </c>
      <c r="F1110">
        <v>64419</v>
      </c>
      <c r="G1110">
        <v>-4018</v>
      </c>
      <c r="H1110">
        <v>57255</v>
      </c>
      <c r="I1110">
        <v>57856</v>
      </c>
      <c r="J1110">
        <v>11557</v>
      </c>
      <c r="K1110">
        <v>16760</v>
      </c>
      <c r="L1110">
        <v>7875</v>
      </c>
      <c r="M1110">
        <v>6.74</v>
      </c>
      <c r="N1110">
        <f t="shared" si="51"/>
        <v>14262</v>
      </c>
      <c r="O1110">
        <v>20464300</v>
      </c>
      <c r="P1110" s="2">
        <f t="shared" si="52"/>
        <v>6.9692097946179449E-2</v>
      </c>
      <c r="Q1110" s="4">
        <f t="shared" si="53"/>
        <v>13.7929382</v>
      </c>
    </row>
    <row r="1111" spans="1:17" x14ac:dyDescent="0.4">
      <c r="A1111">
        <v>20210824</v>
      </c>
      <c r="B1111" s="1">
        <v>0.10416666666666667</v>
      </c>
      <c r="C1111">
        <v>13154</v>
      </c>
      <c r="D1111">
        <v>-29740</v>
      </c>
      <c r="E1111">
        <v>-208820</v>
      </c>
      <c r="F1111">
        <v>205980</v>
      </c>
      <c r="G1111">
        <v>-13773</v>
      </c>
      <c r="H1111">
        <v>-11902</v>
      </c>
      <c r="I1111">
        <v>50882</v>
      </c>
      <c r="J1111">
        <v>3500</v>
      </c>
      <c r="K1111">
        <v>-19860</v>
      </c>
      <c r="L1111">
        <v>3402</v>
      </c>
      <c r="M1111">
        <v>6.74</v>
      </c>
      <c r="N1111">
        <f t="shared" si="51"/>
        <v>-7177</v>
      </c>
      <c r="O1111">
        <v>20690750</v>
      </c>
      <c r="P1111" s="2">
        <f t="shared" si="52"/>
        <v>-3.4686997813032396E-2</v>
      </c>
      <c r="Q1111" s="4">
        <f t="shared" si="53"/>
        <v>13.945565500000001</v>
      </c>
    </row>
    <row r="1112" spans="1:17" x14ac:dyDescent="0.4">
      <c r="A1112">
        <v>20210824</v>
      </c>
      <c r="B1112" s="1">
        <v>0.125</v>
      </c>
      <c r="C1112">
        <v>7767</v>
      </c>
      <c r="D1112">
        <v>-24877</v>
      </c>
      <c r="E1112">
        <v>-204731</v>
      </c>
      <c r="F1112">
        <v>29903</v>
      </c>
      <c r="G1112">
        <v>-30136</v>
      </c>
      <c r="H1112">
        <v>-35624</v>
      </c>
      <c r="I1112">
        <v>99682</v>
      </c>
      <c r="J1112">
        <v>14370</v>
      </c>
      <c r="K1112">
        <v>9075</v>
      </c>
      <c r="L1112">
        <v>4509</v>
      </c>
      <c r="M1112">
        <v>6.74</v>
      </c>
      <c r="N1112">
        <f t="shared" si="51"/>
        <v>-130062</v>
      </c>
      <c r="O1112">
        <v>20792250</v>
      </c>
      <c r="P1112" s="2">
        <f t="shared" si="52"/>
        <v>-0.62553114742271765</v>
      </c>
      <c r="Q1112" s="4">
        <f t="shared" si="53"/>
        <v>14.0139765</v>
      </c>
    </row>
    <row r="1113" spans="1:17" x14ac:dyDescent="0.4">
      <c r="A1113">
        <v>20210824</v>
      </c>
      <c r="B1113" s="1">
        <v>0.14583333333333334</v>
      </c>
      <c r="C1113">
        <v>19696</v>
      </c>
      <c r="D1113">
        <v>-19030</v>
      </c>
      <c r="E1113">
        <v>-167204</v>
      </c>
      <c r="F1113">
        <v>168209</v>
      </c>
      <c r="G1113">
        <v>-39269</v>
      </c>
      <c r="H1113">
        <v>-33532</v>
      </c>
      <c r="I1113">
        <v>56773</v>
      </c>
      <c r="J1113">
        <v>10758</v>
      </c>
      <c r="K1113">
        <v>231</v>
      </c>
      <c r="L1113">
        <v>8786</v>
      </c>
      <c r="M1113">
        <v>6.74</v>
      </c>
      <c r="N1113">
        <f t="shared" si="51"/>
        <v>5418</v>
      </c>
      <c r="O1113">
        <v>20799950</v>
      </c>
      <c r="P1113" s="2">
        <f t="shared" si="52"/>
        <v>2.6048139538796967E-2</v>
      </c>
      <c r="Q1113" s="4">
        <f t="shared" si="53"/>
        <v>14.0191663</v>
      </c>
    </row>
    <row r="1114" spans="1:17" x14ac:dyDescent="0.4">
      <c r="A1114">
        <v>20210824</v>
      </c>
      <c r="B1114" s="1">
        <v>0.16666666666666666</v>
      </c>
      <c r="C1114">
        <v>9220</v>
      </c>
      <c r="D1114">
        <v>-29556</v>
      </c>
      <c r="E1114">
        <v>-127945</v>
      </c>
      <c r="F1114">
        <v>81990</v>
      </c>
      <c r="G1114">
        <v>-30627</v>
      </c>
      <c r="H1114">
        <v>82346</v>
      </c>
      <c r="I1114">
        <v>100457</v>
      </c>
      <c r="J1114">
        <v>17462</v>
      </c>
      <c r="K1114">
        <v>-40253</v>
      </c>
      <c r="L1114">
        <v>9399</v>
      </c>
      <c r="M1114">
        <v>6.74</v>
      </c>
      <c r="N1114">
        <f t="shared" si="51"/>
        <v>72493</v>
      </c>
      <c r="O1114">
        <v>20710600</v>
      </c>
      <c r="P1114" s="2">
        <f t="shared" si="52"/>
        <v>0.3500284878274893</v>
      </c>
      <c r="Q1114" s="4">
        <f t="shared" si="53"/>
        <v>13.9589444</v>
      </c>
    </row>
    <row r="1115" spans="1:17" x14ac:dyDescent="0.4">
      <c r="A1115">
        <v>20210824</v>
      </c>
      <c r="B1115" s="1">
        <v>0.1875</v>
      </c>
      <c r="C1115">
        <v>34695</v>
      </c>
      <c r="D1115">
        <v>-54387</v>
      </c>
      <c r="E1115">
        <v>-158276</v>
      </c>
      <c r="F1115">
        <v>189112</v>
      </c>
      <c r="G1115">
        <v>-38996</v>
      </c>
      <c r="H1115">
        <v>34665</v>
      </c>
      <c r="I1115">
        <v>56376</v>
      </c>
      <c r="J1115">
        <v>6004</v>
      </c>
      <c r="K1115">
        <v>-43196</v>
      </c>
      <c r="L1115">
        <v>8015</v>
      </c>
      <c r="M1115">
        <v>6.63</v>
      </c>
      <c r="N1115">
        <f t="shared" si="51"/>
        <v>34012</v>
      </c>
      <c r="O1115">
        <v>20677450</v>
      </c>
      <c r="P1115" s="2">
        <f t="shared" si="52"/>
        <v>0.16448836776294951</v>
      </c>
      <c r="Q1115" s="4">
        <f t="shared" si="53"/>
        <v>13.709149350000001</v>
      </c>
    </row>
    <row r="1116" spans="1:17" x14ac:dyDescent="0.4">
      <c r="A1116">
        <v>20210824</v>
      </c>
      <c r="B1116" s="1">
        <v>0.20833333333333334</v>
      </c>
      <c r="C1116">
        <v>10532</v>
      </c>
      <c r="D1116">
        <v>-70550</v>
      </c>
      <c r="E1116">
        <v>-86884</v>
      </c>
      <c r="F1116">
        <v>-2786</v>
      </c>
      <c r="G1116">
        <v>-17950</v>
      </c>
      <c r="H1116">
        <v>-26957</v>
      </c>
      <c r="I1116">
        <v>66227</v>
      </c>
      <c r="J1116">
        <v>17714</v>
      </c>
      <c r="K1116">
        <v>-104727</v>
      </c>
      <c r="L1116">
        <v>11146</v>
      </c>
      <c r="M1116">
        <v>6.63</v>
      </c>
      <c r="N1116">
        <f t="shared" si="51"/>
        <v>-204235</v>
      </c>
      <c r="O1116">
        <v>20683250</v>
      </c>
      <c r="P1116" s="2">
        <f t="shared" si="52"/>
        <v>-0.98744152877328273</v>
      </c>
      <c r="Q1116" s="4">
        <f t="shared" si="53"/>
        <v>13.71299475</v>
      </c>
    </row>
    <row r="1117" spans="1:17" x14ac:dyDescent="0.4">
      <c r="A1117">
        <v>20210824</v>
      </c>
      <c r="B1117" s="1">
        <v>0.22916666666666666</v>
      </c>
      <c r="C1117">
        <v>2976</v>
      </c>
      <c r="D1117">
        <v>-58261</v>
      </c>
      <c r="E1117">
        <v>-53678</v>
      </c>
      <c r="F1117">
        <v>215460</v>
      </c>
      <c r="G1117">
        <v>-16755</v>
      </c>
      <c r="H1117">
        <v>51516</v>
      </c>
      <c r="I1117">
        <v>84707</v>
      </c>
      <c r="J1117">
        <v>25648</v>
      </c>
      <c r="K1117">
        <v>-94313</v>
      </c>
      <c r="L1117">
        <v>13442</v>
      </c>
      <c r="M1117">
        <v>6.74</v>
      </c>
      <c r="N1117">
        <f t="shared" si="51"/>
        <v>170742</v>
      </c>
      <c r="O1117">
        <v>20828700</v>
      </c>
      <c r="P1117" s="2">
        <f t="shared" si="52"/>
        <v>0.81974391104581656</v>
      </c>
      <c r="Q1117" s="4">
        <f t="shared" si="53"/>
        <v>14.038543799999999</v>
      </c>
    </row>
    <row r="1118" spans="1:17" x14ac:dyDescent="0.4">
      <c r="A1118">
        <v>20210824</v>
      </c>
      <c r="B1118" s="1">
        <v>0.25</v>
      </c>
      <c r="C1118">
        <v>-8214</v>
      </c>
      <c r="D1118">
        <v>-31765</v>
      </c>
      <c r="E1118">
        <v>124306</v>
      </c>
      <c r="F1118">
        <v>78284</v>
      </c>
      <c r="G1118">
        <v>-24344</v>
      </c>
      <c r="H1118">
        <v>27631</v>
      </c>
      <c r="I1118">
        <v>-11006</v>
      </c>
      <c r="J1118">
        <v>22480</v>
      </c>
      <c r="K1118">
        <v>-178503</v>
      </c>
      <c r="L1118">
        <v>8887</v>
      </c>
      <c r="M1118">
        <v>6.63</v>
      </c>
      <c r="N1118">
        <f t="shared" si="51"/>
        <v>7756</v>
      </c>
      <c r="O1118">
        <v>21187000</v>
      </c>
      <c r="P1118" s="2">
        <f t="shared" si="52"/>
        <v>3.6607353565865863E-2</v>
      </c>
      <c r="Q1118" s="4">
        <f t="shared" si="53"/>
        <v>14.046981000000001</v>
      </c>
    </row>
    <row r="1119" spans="1:17" x14ac:dyDescent="0.4">
      <c r="A1119">
        <v>20210824</v>
      </c>
      <c r="B1119" s="1">
        <v>0.27083333333333331</v>
      </c>
      <c r="C1119">
        <v>-11508</v>
      </c>
      <c r="D1119">
        <v>9314</v>
      </c>
      <c r="E1119">
        <v>140174</v>
      </c>
      <c r="F1119">
        <v>130258</v>
      </c>
      <c r="G1119">
        <v>-36043</v>
      </c>
      <c r="H1119">
        <v>-31715</v>
      </c>
      <c r="I1119">
        <v>-133265</v>
      </c>
      <c r="J1119">
        <v>-11178</v>
      </c>
      <c r="K1119">
        <v>-310541</v>
      </c>
      <c r="L1119">
        <v>4820</v>
      </c>
      <c r="M1119">
        <v>6.61</v>
      </c>
      <c r="N1119">
        <f t="shared" si="51"/>
        <v>-249684</v>
      </c>
      <c r="O1119">
        <v>21557150</v>
      </c>
      <c r="P1119" s="2">
        <f t="shared" si="52"/>
        <v>-1.1582421609535583</v>
      </c>
      <c r="Q1119" s="4">
        <f t="shared" si="53"/>
        <v>14.24927615</v>
      </c>
    </row>
    <row r="1120" spans="1:17" x14ac:dyDescent="0.4">
      <c r="A1120">
        <v>20210824</v>
      </c>
      <c r="B1120" s="1">
        <v>0.29166666666666669</v>
      </c>
      <c r="C1120">
        <v>7985</v>
      </c>
      <c r="D1120">
        <v>172809</v>
      </c>
      <c r="E1120">
        <v>242276</v>
      </c>
      <c r="F1120">
        <v>176965</v>
      </c>
      <c r="G1120">
        <v>-32422</v>
      </c>
      <c r="H1120">
        <v>-175148</v>
      </c>
      <c r="I1120">
        <v>-217258</v>
      </c>
      <c r="J1120">
        <v>467</v>
      </c>
      <c r="K1120">
        <v>-354280</v>
      </c>
      <c r="L1120">
        <v>13220</v>
      </c>
      <c r="M1120">
        <v>6.71</v>
      </c>
      <c r="N1120">
        <f t="shared" si="51"/>
        <v>-165386</v>
      </c>
      <c r="O1120">
        <v>22094200</v>
      </c>
      <c r="P1120" s="2">
        <f t="shared" si="52"/>
        <v>-0.74854939305338053</v>
      </c>
      <c r="Q1120" s="4">
        <f t="shared" si="53"/>
        <v>14.825208200000001</v>
      </c>
    </row>
    <row r="1121" spans="1:17" x14ac:dyDescent="0.4">
      <c r="A1121">
        <v>20210824</v>
      </c>
      <c r="B1121" s="1">
        <v>0.3125</v>
      </c>
      <c r="C1121">
        <v>-1904</v>
      </c>
      <c r="D1121">
        <v>160444</v>
      </c>
      <c r="E1121">
        <v>289160</v>
      </c>
      <c r="F1121">
        <v>65220</v>
      </c>
      <c r="G1121">
        <v>-37011</v>
      </c>
      <c r="H1121">
        <v>-295893</v>
      </c>
      <c r="I1121">
        <v>-192239</v>
      </c>
      <c r="J1121">
        <v>4249</v>
      </c>
      <c r="K1121">
        <v>-297797</v>
      </c>
      <c r="L1121">
        <v>1065</v>
      </c>
      <c r="M1121">
        <v>6.86</v>
      </c>
      <c r="N1121">
        <f t="shared" si="51"/>
        <v>-304706</v>
      </c>
      <c r="O1121">
        <v>22481000</v>
      </c>
      <c r="P1121" s="2">
        <f t="shared" si="52"/>
        <v>-1.3553934433521639</v>
      </c>
      <c r="Q1121" s="4">
        <f t="shared" si="53"/>
        <v>15.421965999999999</v>
      </c>
    </row>
    <row r="1122" spans="1:17" x14ac:dyDescent="0.4">
      <c r="A1122">
        <v>20210824</v>
      </c>
      <c r="B1122" s="1">
        <v>0.33333333333333331</v>
      </c>
      <c r="C1122">
        <v>-39719</v>
      </c>
      <c r="D1122">
        <v>210971</v>
      </c>
      <c r="E1122">
        <v>644910</v>
      </c>
      <c r="F1122">
        <v>-52702</v>
      </c>
      <c r="G1122">
        <v>-13945</v>
      </c>
      <c r="H1122">
        <v>-261294</v>
      </c>
      <c r="I1122">
        <v>-222389</v>
      </c>
      <c r="J1122">
        <v>27535</v>
      </c>
      <c r="K1122">
        <v>-263593</v>
      </c>
      <c r="L1122">
        <v>4571</v>
      </c>
      <c r="M1122">
        <v>7.17</v>
      </c>
      <c r="N1122">
        <f t="shared" si="51"/>
        <v>34345</v>
      </c>
      <c r="O1122">
        <v>23105550</v>
      </c>
      <c r="P1122" s="2">
        <f t="shared" si="52"/>
        <v>0.14864394052511193</v>
      </c>
      <c r="Q1122" s="4">
        <f t="shared" si="53"/>
        <v>16.566679350000001</v>
      </c>
    </row>
    <row r="1123" spans="1:17" x14ac:dyDescent="0.4">
      <c r="A1123">
        <v>20210824</v>
      </c>
      <c r="B1123" s="1">
        <v>0.35416666666666669</v>
      </c>
      <c r="C1123">
        <v>24967</v>
      </c>
      <c r="D1123">
        <v>177632</v>
      </c>
      <c r="E1123">
        <v>106920</v>
      </c>
      <c r="F1123">
        <v>-59692</v>
      </c>
      <c r="G1123">
        <v>-17952</v>
      </c>
      <c r="H1123">
        <v>-252906</v>
      </c>
      <c r="I1123">
        <v>-320838</v>
      </c>
      <c r="J1123">
        <v>35483</v>
      </c>
      <c r="K1123">
        <v>-155036</v>
      </c>
      <c r="L1123">
        <v>-15008</v>
      </c>
      <c r="M1123">
        <v>7.38</v>
      </c>
      <c r="N1123">
        <f t="shared" si="51"/>
        <v>-476430</v>
      </c>
      <c r="O1123">
        <v>23788950</v>
      </c>
      <c r="P1123" s="2">
        <f t="shared" si="52"/>
        <v>-2.0027365646655273</v>
      </c>
      <c r="Q1123" s="4">
        <f t="shared" si="53"/>
        <v>17.556245100000002</v>
      </c>
    </row>
    <row r="1124" spans="1:17" x14ac:dyDescent="0.4">
      <c r="A1124">
        <v>20210824</v>
      </c>
      <c r="B1124" s="1">
        <v>0.375</v>
      </c>
      <c r="C1124">
        <v>-58957</v>
      </c>
      <c r="D1124">
        <v>134846</v>
      </c>
      <c r="E1124">
        <v>237689</v>
      </c>
      <c r="F1124">
        <v>-204</v>
      </c>
      <c r="G1124">
        <v>-35757</v>
      </c>
      <c r="H1124">
        <v>-216609</v>
      </c>
      <c r="I1124">
        <v>-431043</v>
      </c>
      <c r="J1124">
        <v>5002</v>
      </c>
      <c r="K1124">
        <v>84823</v>
      </c>
      <c r="L1124">
        <v>323</v>
      </c>
      <c r="M1124">
        <v>8.86</v>
      </c>
      <c r="N1124">
        <f t="shared" si="51"/>
        <v>-279887</v>
      </c>
      <c r="O1124">
        <v>24108600</v>
      </c>
      <c r="P1124" s="2">
        <f t="shared" si="52"/>
        <v>-1.1609425682121732</v>
      </c>
      <c r="Q1124" s="4">
        <f t="shared" si="53"/>
        <v>21.360219600000001</v>
      </c>
    </row>
    <row r="1125" spans="1:17" x14ac:dyDescent="0.4">
      <c r="A1125">
        <v>20210824</v>
      </c>
      <c r="B1125" s="1">
        <v>0.39583333333333331</v>
      </c>
      <c r="C1125">
        <v>-55353</v>
      </c>
      <c r="D1125">
        <v>74010</v>
      </c>
      <c r="E1125">
        <v>339753</v>
      </c>
      <c r="F1125">
        <v>52761</v>
      </c>
      <c r="G1125">
        <v>-11332</v>
      </c>
      <c r="H1125">
        <v>-153253</v>
      </c>
      <c r="I1125">
        <v>-366408</v>
      </c>
      <c r="J1125">
        <v>-25417</v>
      </c>
      <c r="K1125">
        <v>230189</v>
      </c>
      <c r="L1125">
        <v>2547</v>
      </c>
      <c r="M1125">
        <v>8.86</v>
      </c>
      <c r="N1125">
        <f t="shared" si="51"/>
        <v>87497</v>
      </c>
      <c r="O1125">
        <v>24193500</v>
      </c>
      <c r="P1125" s="2">
        <f t="shared" si="52"/>
        <v>0.36165498997664663</v>
      </c>
      <c r="Q1125" s="4">
        <f t="shared" si="53"/>
        <v>21.435441000000001</v>
      </c>
    </row>
    <row r="1126" spans="1:17" x14ac:dyDescent="0.4">
      <c r="A1126">
        <v>20210824</v>
      </c>
      <c r="B1126" s="1">
        <v>0.41666666666666669</v>
      </c>
      <c r="C1126">
        <v>-13473</v>
      </c>
      <c r="D1126">
        <v>7712</v>
      </c>
      <c r="E1126">
        <v>203746</v>
      </c>
      <c r="F1126">
        <v>97243</v>
      </c>
      <c r="G1126">
        <v>15515</v>
      </c>
      <c r="H1126">
        <v>-122121</v>
      </c>
      <c r="I1126">
        <v>-368908</v>
      </c>
      <c r="J1126">
        <v>-50046</v>
      </c>
      <c r="K1126">
        <v>315876</v>
      </c>
      <c r="L1126">
        <v>-2484</v>
      </c>
      <c r="M1126">
        <v>8.86</v>
      </c>
      <c r="N1126">
        <f t="shared" si="51"/>
        <v>83060</v>
      </c>
      <c r="O1126">
        <v>24468750</v>
      </c>
      <c r="P1126" s="2">
        <f t="shared" si="52"/>
        <v>0.33945338441890166</v>
      </c>
      <c r="Q1126" s="4">
        <f t="shared" si="53"/>
        <v>21.679312500000002</v>
      </c>
    </row>
    <row r="1127" spans="1:17" x14ac:dyDescent="0.4">
      <c r="A1127">
        <v>20210824</v>
      </c>
      <c r="B1127" s="1">
        <v>0.4375</v>
      </c>
      <c r="C1127">
        <v>-95681</v>
      </c>
      <c r="D1127">
        <v>34987</v>
      </c>
      <c r="E1127">
        <v>32228</v>
      </c>
      <c r="F1127">
        <v>169436</v>
      </c>
      <c r="G1127">
        <v>5713</v>
      </c>
      <c r="H1127">
        <v>-185616</v>
      </c>
      <c r="I1127">
        <v>-311518</v>
      </c>
      <c r="J1127">
        <v>-63570</v>
      </c>
      <c r="K1127">
        <v>535465</v>
      </c>
      <c r="L1127">
        <v>-2741</v>
      </c>
      <c r="M1127">
        <v>8.86</v>
      </c>
      <c r="N1127">
        <f t="shared" si="51"/>
        <v>118703</v>
      </c>
      <c r="O1127">
        <v>24601450</v>
      </c>
      <c r="P1127" s="2">
        <f t="shared" si="52"/>
        <v>0.48250408004406242</v>
      </c>
      <c r="Q1127" s="4">
        <f t="shared" si="53"/>
        <v>21.7968847</v>
      </c>
    </row>
    <row r="1128" spans="1:17" x14ac:dyDescent="0.4">
      <c r="A1128">
        <v>20210824</v>
      </c>
      <c r="B1128" s="1">
        <v>0.45833333333333331</v>
      </c>
      <c r="C1128">
        <v>-3374</v>
      </c>
      <c r="D1128">
        <v>-12404</v>
      </c>
      <c r="E1128">
        <v>-282270</v>
      </c>
      <c r="F1128">
        <v>168140</v>
      </c>
      <c r="G1128">
        <v>19956</v>
      </c>
      <c r="H1128">
        <v>-181707</v>
      </c>
      <c r="I1128">
        <v>-242558</v>
      </c>
      <c r="J1128">
        <v>-63568</v>
      </c>
      <c r="K1128">
        <v>519146</v>
      </c>
      <c r="L1128">
        <v>-11070</v>
      </c>
      <c r="M1128">
        <v>8.86</v>
      </c>
      <c r="N1128">
        <f t="shared" si="51"/>
        <v>-89709</v>
      </c>
      <c r="O1128">
        <v>24971550</v>
      </c>
      <c r="P1128" s="2">
        <f t="shared" si="52"/>
        <v>-0.35924482060584945</v>
      </c>
      <c r="Q1128" s="4">
        <f t="shared" si="53"/>
        <v>22.1247933</v>
      </c>
    </row>
    <row r="1129" spans="1:17" x14ac:dyDescent="0.4">
      <c r="A1129">
        <v>20210824</v>
      </c>
      <c r="B1129" s="1">
        <v>0.47916666666666669</v>
      </c>
      <c r="C1129">
        <v>-35014</v>
      </c>
      <c r="D1129">
        <v>-48620</v>
      </c>
      <c r="E1129">
        <v>-501178</v>
      </c>
      <c r="F1129">
        <v>215953</v>
      </c>
      <c r="G1129">
        <v>23141</v>
      </c>
      <c r="H1129">
        <v>-82680</v>
      </c>
      <c r="I1129">
        <v>-178343</v>
      </c>
      <c r="J1129">
        <v>-119470</v>
      </c>
      <c r="K1129">
        <v>474316</v>
      </c>
      <c r="L1129">
        <v>-14225</v>
      </c>
      <c r="M1129">
        <v>8.86</v>
      </c>
      <c r="N1129">
        <f t="shared" si="51"/>
        <v>-266120</v>
      </c>
      <c r="O1129">
        <v>24901700</v>
      </c>
      <c r="P1129" s="2">
        <f t="shared" si="52"/>
        <v>-1.068682057851472</v>
      </c>
      <c r="Q1129" s="4">
        <f t="shared" si="53"/>
        <v>22.0629062</v>
      </c>
    </row>
    <row r="1130" spans="1:17" x14ac:dyDescent="0.4">
      <c r="A1130">
        <v>20210824</v>
      </c>
      <c r="B1130" s="1">
        <v>0.5</v>
      </c>
      <c r="C1130">
        <v>18116</v>
      </c>
      <c r="D1130">
        <v>32874</v>
      </c>
      <c r="E1130">
        <v>-801318</v>
      </c>
      <c r="F1130">
        <v>595313</v>
      </c>
      <c r="G1130">
        <v>-32001</v>
      </c>
      <c r="H1130">
        <v>6378</v>
      </c>
      <c r="I1130">
        <v>-147478</v>
      </c>
      <c r="J1130">
        <v>-195189</v>
      </c>
      <c r="K1130">
        <v>565893</v>
      </c>
      <c r="L1130">
        <v>14245</v>
      </c>
      <c r="M1130">
        <v>8.67</v>
      </c>
      <c r="N1130">
        <f t="shared" si="51"/>
        <v>56833</v>
      </c>
      <c r="O1130">
        <v>24974300</v>
      </c>
      <c r="P1130" s="2">
        <f t="shared" si="52"/>
        <v>0.22756593778404199</v>
      </c>
      <c r="Q1130" s="4">
        <f t="shared" si="53"/>
        <v>21.652718100000001</v>
      </c>
    </row>
    <row r="1131" spans="1:17" x14ac:dyDescent="0.4">
      <c r="A1131">
        <v>20210824</v>
      </c>
      <c r="B1131" s="1">
        <v>0.52083333333333337</v>
      </c>
      <c r="C1131">
        <v>4682</v>
      </c>
      <c r="D1131">
        <v>3219</v>
      </c>
      <c r="E1131">
        <v>-1278782</v>
      </c>
      <c r="F1131">
        <v>600000</v>
      </c>
      <c r="G1131">
        <v>-25361</v>
      </c>
      <c r="H1131">
        <v>-142269</v>
      </c>
      <c r="I1131">
        <v>-20158</v>
      </c>
      <c r="J1131">
        <v>-164237</v>
      </c>
      <c r="K1131">
        <v>472953</v>
      </c>
      <c r="L1131">
        <v>25675</v>
      </c>
      <c r="M1131">
        <v>8.86</v>
      </c>
      <c r="N1131">
        <f t="shared" si="51"/>
        <v>-524278</v>
      </c>
      <c r="O1131">
        <v>24971750</v>
      </c>
      <c r="P1131" s="2">
        <f t="shared" si="52"/>
        <v>-2.0994844173916527</v>
      </c>
      <c r="Q1131" s="4">
        <f t="shared" si="53"/>
        <v>22.1249705</v>
      </c>
    </row>
    <row r="1132" spans="1:17" x14ac:dyDescent="0.4">
      <c r="A1132">
        <v>20210824</v>
      </c>
      <c r="B1132" s="1">
        <v>0.54166666666666663</v>
      </c>
      <c r="C1132">
        <v>15378</v>
      </c>
      <c r="D1132">
        <v>47418</v>
      </c>
      <c r="E1132">
        <v>-780877</v>
      </c>
      <c r="F1132">
        <v>535430</v>
      </c>
      <c r="G1132">
        <v>-30067</v>
      </c>
      <c r="H1132">
        <v>-205207</v>
      </c>
      <c r="I1132">
        <v>-182319</v>
      </c>
      <c r="J1132">
        <v>-192192</v>
      </c>
      <c r="K1132">
        <v>634146</v>
      </c>
      <c r="L1132">
        <v>14869</v>
      </c>
      <c r="M1132">
        <v>9.5399999999999991</v>
      </c>
      <c r="N1132">
        <f t="shared" si="51"/>
        <v>-143421</v>
      </c>
      <c r="O1132">
        <v>24062700</v>
      </c>
      <c r="P1132" s="2">
        <f t="shared" si="52"/>
        <v>-0.59603037065665943</v>
      </c>
      <c r="Q1132" s="4">
        <f t="shared" si="53"/>
        <v>22.955815799999996</v>
      </c>
    </row>
    <row r="1133" spans="1:17" x14ac:dyDescent="0.4">
      <c r="A1133">
        <v>20210824</v>
      </c>
      <c r="B1133" s="1">
        <v>0.5625</v>
      </c>
      <c r="C1133">
        <v>90060</v>
      </c>
      <c r="D1133">
        <v>66060</v>
      </c>
      <c r="E1133">
        <v>-1905546</v>
      </c>
      <c r="F1133">
        <v>475240</v>
      </c>
      <c r="G1133">
        <v>-24963</v>
      </c>
      <c r="H1133">
        <v>-91497</v>
      </c>
      <c r="I1133">
        <v>-159713</v>
      </c>
      <c r="J1133">
        <v>-129207</v>
      </c>
      <c r="K1133">
        <v>734758</v>
      </c>
      <c r="L1133">
        <v>12632</v>
      </c>
      <c r="M1133">
        <v>9.83</v>
      </c>
      <c r="N1133">
        <f t="shared" si="51"/>
        <v>-932176</v>
      </c>
      <c r="O1133">
        <v>23782850</v>
      </c>
      <c r="P1133" s="2">
        <f t="shared" si="52"/>
        <v>-3.9195302497387825</v>
      </c>
      <c r="Q1133" s="4">
        <f t="shared" si="53"/>
        <v>23.378541550000001</v>
      </c>
    </row>
    <row r="1134" spans="1:17" x14ac:dyDescent="0.4">
      <c r="A1134">
        <v>20210824</v>
      </c>
      <c r="B1134" s="1">
        <v>0.58333333333333337</v>
      </c>
      <c r="C1134">
        <v>90823</v>
      </c>
      <c r="D1134">
        <v>58106</v>
      </c>
      <c r="E1134">
        <v>-635297</v>
      </c>
      <c r="F1134">
        <v>317444</v>
      </c>
      <c r="G1134">
        <v>-7146</v>
      </c>
      <c r="H1134">
        <v>53483</v>
      </c>
      <c r="I1134">
        <v>-111719</v>
      </c>
      <c r="J1134">
        <v>-98538</v>
      </c>
      <c r="K1134">
        <v>654497</v>
      </c>
      <c r="L1134">
        <v>23918</v>
      </c>
      <c r="M1134">
        <v>10.32</v>
      </c>
      <c r="N1134">
        <f t="shared" si="51"/>
        <v>345571</v>
      </c>
      <c r="O1134">
        <v>23535700</v>
      </c>
      <c r="P1134" s="2">
        <f t="shared" si="52"/>
        <v>1.4682843510071932</v>
      </c>
      <c r="Q1134" s="4">
        <f t="shared" si="53"/>
        <v>24.2888424</v>
      </c>
    </row>
    <row r="1135" spans="1:17" x14ac:dyDescent="0.4">
      <c r="A1135">
        <v>20210824</v>
      </c>
      <c r="B1135" s="1">
        <v>0.60416666666666663</v>
      </c>
      <c r="C1135">
        <v>133640</v>
      </c>
      <c r="D1135">
        <v>212725</v>
      </c>
      <c r="E1135">
        <v>-246583</v>
      </c>
      <c r="F1135">
        <v>333011</v>
      </c>
      <c r="G1135">
        <v>-8701</v>
      </c>
      <c r="H1135">
        <v>131309</v>
      </c>
      <c r="I1135">
        <v>-72516</v>
      </c>
      <c r="J1135">
        <v>-96540</v>
      </c>
      <c r="K1135">
        <v>588235</v>
      </c>
      <c r="L1135">
        <v>23774</v>
      </c>
      <c r="M1135">
        <v>10.32</v>
      </c>
      <c r="N1135">
        <f t="shared" si="51"/>
        <v>998354</v>
      </c>
      <c r="O1135">
        <v>23281200</v>
      </c>
      <c r="P1135" s="2">
        <f t="shared" si="52"/>
        <v>4.28824115595416</v>
      </c>
      <c r="Q1135" s="4">
        <f t="shared" si="53"/>
        <v>24.026198399999998</v>
      </c>
    </row>
    <row r="1136" spans="1:17" x14ac:dyDescent="0.4">
      <c r="A1136">
        <v>20210824</v>
      </c>
      <c r="B1136" s="1">
        <v>0.625</v>
      </c>
      <c r="C1136">
        <v>97684</v>
      </c>
      <c r="D1136">
        <v>97837</v>
      </c>
      <c r="E1136">
        <v>-282466</v>
      </c>
      <c r="F1136">
        <v>390286</v>
      </c>
      <c r="G1136">
        <v>8027</v>
      </c>
      <c r="H1136">
        <v>144300</v>
      </c>
      <c r="I1136">
        <v>-110846</v>
      </c>
      <c r="J1136">
        <v>-58885</v>
      </c>
      <c r="K1136">
        <v>406839</v>
      </c>
      <c r="L1136">
        <v>16506</v>
      </c>
      <c r="M1136">
        <v>10.32</v>
      </c>
      <c r="N1136">
        <f t="shared" si="51"/>
        <v>709282</v>
      </c>
      <c r="O1136">
        <v>22973550</v>
      </c>
      <c r="P1136" s="2">
        <f t="shared" si="52"/>
        <v>3.0873852756757225</v>
      </c>
      <c r="Q1136" s="4">
        <f t="shared" si="53"/>
        <v>23.7087036</v>
      </c>
    </row>
    <row r="1137" spans="1:17" x14ac:dyDescent="0.4">
      <c r="A1137">
        <v>20210824</v>
      </c>
      <c r="B1137" s="1">
        <v>0.64583333333333337</v>
      </c>
      <c r="C1137">
        <v>68181</v>
      </c>
      <c r="D1137">
        <v>-13685</v>
      </c>
      <c r="E1137">
        <v>-247759</v>
      </c>
      <c r="F1137">
        <v>306633</v>
      </c>
      <c r="G1137">
        <v>3486</v>
      </c>
      <c r="H1137">
        <v>253687</v>
      </c>
      <c r="I1137">
        <v>-120429</v>
      </c>
      <c r="J1137">
        <v>-73915</v>
      </c>
      <c r="K1137">
        <v>277422</v>
      </c>
      <c r="L1137">
        <v>7791</v>
      </c>
      <c r="M1137">
        <v>10.32</v>
      </c>
      <c r="N1137">
        <f t="shared" si="51"/>
        <v>461412</v>
      </c>
      <c r="O1137">
        <v>22818100</v>
      </c>
      <c r="P1137" s="2">
        <f t="shared" si="52"/>
        <v>2.0221315534597535</v>
      </c>
      <c r="Q1137" s="4">
        <f t="shared" si="53"/>
        <v>23.5482792</v>
      </c>
    </row>
    <row r="1138" spans="1:17" x14ac:dyDescent="0.4">
      <c r="A1138">
        <v>20210824</v>
      </c>
      <c r="B1138" s="1">
        <v>0.66666666666666663</v>
      </c>
      <c r="C1138">
        <v>97562</v>
      </c>
      <c r="D1138">
        <v>-97198</v>
      </c>
      <c r="E1138">
        <v>-397453</v>
      </c>
      <c r="F1138">
        <v>197746</v>
      </c>
      <c r="G1138">
        <v>23568</v>
      </c>
      <c r="H1138">
        <v>347782</v>
      </c>
      <c r="I1138">
        <v>-68511</v>
      </c>
      <c r="J1138">
        <v>-81227</v>
      </c>
      <c r="K1138">
        <v>157725</v>
      </c>
      <c r="L1138">
        <v>-4709</v>
      </c>
      <c r="M1138">
        <v>10.26</v>
      </c>
      <c r="N1138">
        <f t="shared" si="51"/>
        <v>175285</v>
      </c>
      <c r="O1138">
        <v>23330600</v>
      </c>
      <c r="P1138" s="2">
        <f t="shared" si="52"/>
        <v>0.75130943910572379</v>
      </c>
      <c r="Q1138" s="4">
        <f t="shared" si="53"/>
        <v>23.937195599999999</v>
      </c>
    </row>
    <row r="1139" spans="1:17" x14ac:dyDescent="0.4">
      <c r="A1139">
        <v>20210824</v>
      </c>
      <c r="B1139" s="1">
        <v>0.6875</v>
      </c>
      <c r="C1139">
        <v>75850</v>
      </c>
      <c r="D1139">
        <v>52</v>
      </c>
      <c r="E1139">
        <v>-423369</v>
      </c>
      <c r="F1139">
        <v>124808</v>
      </c>
      <c r="G1139">
        <v>53992</v>
      </c>
      <c r="H1139">
        <v>444025</v>
      </c>
      <c r="I1139">
        <v>-55316</v>
      </c>
      <c r="J1139">
        <v>-84860</v>
      </c>
      <c r="K1139">
        <v>67242</v>
      </c>
      <c r="L1139">
        <v>-13251</v>
      </c>
      <c r="M1139">
        <v>10.26</v>
      </c>
      <c r="N1139">
        <f t="shared" si="51"/>
        <v>189173</v>
      </c>
      <c r="O1139">
        <v>23158450</v>
      </c>
      <c r="P1139" s="2">
        <f t="shared" si="52"/>
        <v>0.81686382292424575</v>
      </c>
      <c r="Q1139" s="4">
        <f t="shared" si="53"/>
        <v>23.760569700000001</v>
      </c>
    </row>
    <row r="1140" spans="1:17" x14ac:dyDescent="0.4">
      <c r="A1140">
        <v>20210824</v>
      </c>
      <c r="B1140" s="1">
        <v>0.70833333333333337</v>
      </c>
      <c r="C1140">
        <v>33435</v>
      </c>
      <c r="D1140">
        <v>58809</v>
      </c>
      <c r="E1140">
        <v>-296800</v>
      </c>
      <c r="F1140">
        <v>145094</v>
      </c>
      <c r="G1140">
        <v>101879</v>
      </c>
      <c r="H1140">
        <v>384059</v>
      </c>
      <c r="I1140">
        <v>-15957</v>
      </c>
      <c r="J1140">
        <v>-96161</v>
      </c>
      <c r="K1140">
        <v>40340</v>
      </c>
      <c r="L1140">
        <v>1945</v>
      </c>
      <c r="M1140">
        <v>10.32</v>
      </c>
      <c r="N1140">
        <f t="shared" si="51"/>
        <v>356643</v>
      </c>
      <c r="O1140">
        <v>22824850</v>
      </c>
      <c r="P1140" s="2">
        <f t="shared" si="52"/>
        <v>1.5625206737393673</v>
      </c>
      <c r="Q1140" s="4">
        <f t="shared" si="53"/>
        <v>23.555245200000002</v>
      </c>
    </row>
    <row r="1141" spans="1:17" x14ac:dyDescent="0.4">
      <c r="A1141">
        <v>20210824</v>
      </c>
      <c r="B1141" s="1">
        <v>0.72916666666666663</v>
      </c>
      <c r="C1141">
        <v>46620</v>
      </c>
      <c r="D1141">
        <v>-50521</v>
      </c>
      <c r="E1141">
        <v>-146475</v>
      </c>
      <c r="F1141">
        <v>87131</v>
      </c>
      <c r="G1141">
        <v>105429</v>
      </c>
      <c r="H1141">
        <v>310008</v>
      </c>
      <c r="I1141">
        <v>-59060</v>
      </c>
      <c r="J1141">
        <v>-82466</v>
      </c>
      <c r="K1141">
        <v>-87215</v>
      </c>
      <c r="L1141">
        <v>-770</v>
      </c>
      <c r="M1141">
        <v>10.32</v>
      </c>
      <c r="N1141">
        <f t="shared" si="51"/>
        <v>122681</v>
      </c>
      <c r="O1141">
        <v>22682600</v>
      </c>
      <c r="P1141" s="2">
        <f t="shared" si="52"/>
        <v>0.54085951345965633</v>
      </c>
      <c r="Q1141" s="4">
        <f t="shared" si="53"/>
        <v>23.408443200000001</v>
      </c>
    </row>
    <row r="1142" spans="1:17" x14ac:dyDescent="0.4">
      <c r="A1142">
        <v>20210824</v>
      </c>
      <c r="B1142" s="1">
        <v>0.75</v>
      </c>
      <c r="C1142">
        <v>61183</v>
      </c>
      <c r="D1142">
        <v>-18219</v>
      </c>
      <c r="E1142">
        <v>-258181</v>
      </c>
      <c r="F1142">
        <v>97887</v>
      </c>
      <c r="G1142">
        <v>73633</v>
      </c>
      <c r="H1142">
        <v>380569</v>
      </c>
      <c r="I1142">
        <v>24195</v>
      </c>
      <c r="J1142">
        <v>-61664</v>
      </c>
      <c r="K1142">
        <v>176857</v>
      </c>
      <c r="L1142">
        <v>-949</v>
      </c>
      <c r="M1142">
        <v>10.32</v>
      </c>
      <c r="N1142">
        <f t="shared" si="51"/>
        <v>475311</v>
      </c>
      <c r="O1142">
        <v>22442050</v>
      </c>
      <c r="P1142" s="2">
        <f t="shared" si="52"/>
        <v>2.1179482266548733</v>
      </c>
      <c r="Q1142" s="4">
        <f t="shared" si="53"/>
        <v>23.160195600000002</v>
      </c>
    </row>
    <row r="1143" spans="1:17" x14ac:dyDescent="0.4">
      <c r="A1143">
        <v>20210824</v>
      </c>
      <c r="B1143" s="1">
        <v>0.77083333333333337</v>
      </c>
      <c r="C1143">
        <v>38095</v>
      </c>
      <c r="D1143">
        <v>-15279</v>
      </c>
      <c r="E1143">
        <v>-338891</v>
      </c>
      <c r="F1143">
        <v>98670</v>
      </c>
      <c r="G1143">
        <v>70097</v>
      </c>
      <c r="H1143">
        <v>288022</v>
      </c>
      <c r="I1143">
        <v>-5336</v>
      </c>
      <c r="J1143">
        <v>-29166</v>
      </c>
      <c r="K1143">
        <v>64437</v>
      </c>
      <c r="L1143">
        <v>-3041</v>
      </c>
      <c r="M1143">
        <v>10.32</v>
      </c>
      <c r="N1143">
        <f t="shared" si="51"/>
        <v>167608</v>
      </c>
      <c r="O1143">
        <v>22449100</v>
      </c>
      <c r="P1143" s="2">
        <f t="shared" si="52"/>
        <v>0.74661344998240464</v>
      </c>
      <c r="Q1143" s="4">
        <f t="shared" si="53"/>
        <v>23.167471200000001</v>
      </c>
    </row>
    <row r="1144" spans="1:17" x14ac:dyDescent="0.4">
      <c r="A1144">
        <v>20210824</v>
      </c>
      <c r="B1144" s="1">
        <v>0.79166666666666663</v>
      </c>
      <c r="C1144">
        <v>44389</v>
      </c>
      <c r="D1144">
        <v>135502</v>
      </c>
      <c r="E1144">
        <v>-212390</v>
      </c>
      <c r="F1144">
        <v>123048</v>
      </c>
      <c r="G1144">
        <v>24144</v>
      </c>
      <c r="H1144">
        <v>312111</v>
      </c>
      <c r="I1144">
        <v>14683</v>
      </c>
      <c r="J1144">
        <v>-9323</v>
      </c>
      <c r="K1144">
        <v>122297</v>
      </c>
      <c r="L1144">
        <v>-14057</v>
      </c>
      <c r="M1144">
        <v>9.85</v>
      </c>
      <c r="N1144">
        <f t="shared" si="51"/>
        <v>540404</v>
      </c>
      <c r="O1144">
        <v>22304300</v>
      </c>
      <c r="P1144" s="2">
        <f t="shared" si="52"/>
        <v>2.4228691328577896</v>
      </c>
      <c r="Q1144" s="4">
        <f t="shared" si="53"/>
        <v>21.969735499999999</v>
      </c>
    </row>
    <row r="1145" spans="1:17" x14ac:dyDescent="0.4">
      <c r="A1145">
        <v>20210824</v>
      </c>
      <c r="B1145" s="1">
        <v>0.8125</v>
      </c>
      <c r="C1145">
        <v>49333</v>
      </c>
      <c r="D1145">
        <v>81763</v>
      </c>
      <c r="E1145">
        <v>-169166</v>
      </c>
      <c r="F1145">
        <v>77280</v>
      </c>
      <c r="G1145">
        <v>-2233</v>
      </c>
      <c r="H1145">
        <v>270802</v>
      </c>
      <c r="I1145">
        <v>69449</v>
      </c>
      <c r="J1145">
        <v>-6556</v>
      </c>
      <c r="K1145">
        <v>205785</v>
      </c>
      <c r="L1145">
        <v>-9417</v>
      </c>
      <c r="M1145">
        <v>9.64</v>
      </c>
      <c r="N1145">
        <f t="shared" si="51"/>
        <v>567040</v>
      </c>
      <c r="O1145">
        <v>22070900</v>
      </c>
      <c r="P1145" s="2">
        <f t="shared" si="52"/>
        <v>2.5691747957718083</v>
      </c>
      <c r="Q1145" s="4">
        <f t="shared" si="53"/>
        <v>21.276347600000001</v>
      </c>
    </row>
    <row r="1146" spans="1:17" x14ac:dyDescent="0.4">
      <c r="A1146">
        <v>20210824</v>
      </c>
      <c r="B1146" s="1">
        <v>0.83333333333333337</v>
      </c>
      <c r="C1146">
        <v>72108</v>
      </c>
      <c r="D1146">
        <v>96101</v>
      </c>
      <c r="E1146">
        <v>-230956</v>
      </c>
      <c r="F1146">
        <v>25201</v>
      </c>
      <c r="G1146">
        <v>15195</v>
      </c>
      <c r="H1146">
        <v>281235</v>
      </c>
      <c r="I1146">
        <v>73171</v>
      </c>
      <c r="J1146">
        <v>-4319</v>
      </c>
      <c r="K1146">
        <v>225852</v>
      </c>
      <c r="L1146">
        <v>-11565</v>
      </c>
      <c r="M1146">
        <v>8.99</v>
      </c>
      <c r="N1146">
        <f t="shared" si="51"/>
        <v>542023</v>
      </c>
      <c r="O1146">
        <v>21516100</v>
      </c>
      <c r="P1146" s="2">
        <f t="shared" si="52"/>
        <v>2.519150775465814</v>
      </c>
      <c r="Q1146" s="4">
        <f t="shared" si="53"/>
        <v>19.3429739</v>
      </c>
    </row>
    <row r="1147" spans="1:17" x14ac:dyDescent="0.4">
      <c r="A1147">
        <v>20210824</v>
      </c>
      <c r="B1147" s="1">
        <v>0.85416666666666663</v>
      </c>
      <c r="C1147">
        <v>16063</v>
      </c>
      <c r="D1147">
        <v>139313</v>
      </c>
      <c r="E1147">
        <v>-138730</v>
      </c>
      <c r="F1147">
        <v>9435</v>
      </c>
      <c r="G1147">
        <v>12943</v>
      </c>
      <c r="H1147">
        <v>184753</v>
      </c>
      <c r="I1147">
        <v>74853</v>
      </c>
      <c r="J1147">
        <v>-2176</v>
      </c>
      <c r="K1147">
        <v>307409</v>
      </c>
      <c r="L1147">
        <v>-2959</v>
      </c>
      <c r="M1147">
        <v>8.86</v>
      </c>
      <c r="N1147">
        <f t="shared" si="51"/>
        <v>600904</v>
      </c>
      <c r="O1147">
        <v>21597050</v>
      </c>
      <c r="P1147" s="2">
        <f t="shared" si="52"/>
        <v>2.782342958876328</v>
      </c>
      <c r="Q1147" s="4">
        <f t="shared" si="53"/>
        <v>19.134986300000001</v>
      </c>
    </row>
    <row r="1148" spans="1:17" x14ac:dyDescent="0.4">
      <c r="A1148">
        <v>20210824</v>
      </c>
      <c r="B1148" s="1">
        <v>0.875</v>
      </c>
      <c r="C1148">
        <v>59313</v>
      </c>
      <c r="D1148">
        <v>115928</v>
      </c>
      <c r="E1148">
        <v>-225318</v>
      </c>
      <c r="F1148">
        <v>-20677</v>
      </c>
      <c r="G1148">
        <v>4594</v>
      </c>
      <c r="H1148">
        <v>173408</v>
      </c>
      <c r="I1148">
        <v>149758</v>
      </c>
      <c r="J1148">
        <v>-11517</v>
      </c>
      <c r="K1148">
        <v>220561</v>
      </c>
      <c r="L1148">
        <v>-3608</v>
      </c>
      <c r="M1148">
        <v>8.86</v>
      </c>
      <c r="N1148">
        <f t="shared" si="51"/>
        <v>462442</v>
      </c>
      <c r="O1148">
        <v>21200800</v>
      </c>
      <c r="P1148" s="2">
        <f t="shared" si="52"/>
        <v>2.1812478774385871</v>
      </c>
      <c r="Q1148" s="4">
        <f t="shared" si="53"/>
        <v>18.783908799999999</v>
      </c>
    </row>
    <row r="1149" spans="1:17" x14ac:dyDescent="0.4">
      <c r="A1149">
        <v>20210824</v>
      </c>
      <c r="B1149" s="1">
        <v>0.89583333333333337</v>
      </c>
      <c r="C1149">
        <v>10177</v>
      </c>
      <c r="D1149">
        <v>120410</v>
      </c>
      <c r="E1149">
        <v>-74183</v>
      </c>
      <c r="F1149">
        <v>6195</v>
      </c>
      <c r="G1149">
        <v>-194</v>
      </c>
      <c r="H1149">
        <v>202515</v>
      </c>
      <c r="I1149">
        <v>147151</v>
      </c>
      <c r="J1149">
        <v>-6946</v>
      </c>
      <c r="K1149">
        <v>174017</v>
      </c>
      <c r="L1149">
        <v>6842</v>
      </c>
      <c r="M1149">
        <v>8.39</v>
      </c>
      <c r="N1149">
        <f t="shared" si="51"/>
        <v>585984</v>
      </c>
      <c r="O1149">
        <v>21164300</v>
      </c>
      <c r="P1149" s="2">
        <f t="shared" si="52"/>
        <v>2.7687379218778791</v>
      </c>
      <c r="Q1149" s="4">
        <f t="shared" si="53"/>
        <v>17.756847700000002</v>
      </c>
    </row>
    <row r="1150" spans="1:17" x14ac:dyDescent="0.4">
      <c r="A1150">
        <v>20210824</v>
      </c>
      <c r="B1150" s="1">
        <v>0.91666666666666663</v>
      </c>
      <c r="C1150">
        <v>31600</v>
      </c>
      <c r="D1150">
        <v>77058</v>
      </c>
      <c r="E1150">
        <v>-133440</v>
      </c>
      <c r="F1150">
        <v>-59345</v>
      </c>
      <c r="G1150">
        <v>-5452</v>
      </c>
      <c r="H1150">
        <v>146027</v>
      </c>
      <c r="I1150">
        <v>77541</v>
      </c>
      <c r="J1150">
        <v>-4730</v>
      </c>
      <c r="K1150">
        <v>79493</v>
      </c>
      <c r="L1150">
        <v>6050</v>
      </c>
      <c r="M1150">
        <v>7.57</v>
      </c>
      <c r="N1150">
        <f t="shared" si="51"/>
        <v>214802</v>
      </c>
      <c r="O1150">
        <v>21060900</v>
      </c>
      <c r="P1150" s="2">
        <f t="shared" si="52"/>
        <v>1.0199089307674412</v>
      </c>
      <c r="Q1150" s="4">
        <f t="shared" si="53"/>
        <v>15.9431013</v>
      </c>
    </row>
    <row r="1151" spans="1:17" x14ac:dyDescent="0.4">
      <c r="A1151">
        <v>20210824</v>
      </c>
      <c r="B1151" s="1">
        <v>0.9375</v>
      </c>
      <c r="C1151">
        <v>17544</v>
      </c>
      <c r="D1151">
        <v>42054</v>
      </c>
      <c r="E1151">
        <v>-163250</v>
      </c>
      <c r="F1151">
        <v>-99668</v>
      </c>
      <c r="G1151">
        <v>1821</v>
      </c>
      <c r="H1151">
        <v>49551</v>
      </c>
      <c r="I1151">
        <v>26872</v>
      </c>
      <c r="J1151">
        <v>-9223</v>
      </c>
      <c r="K1151">
        <v>52082</v>
      </c>
      <c r="L1151">
        <v>22424</v>
      </c>
      <c r="M1151">
        <v>7.13</v>
      </c>
      <c r="N1151">
        <f t="shared" si="51"/>
        <v>-59793</v>
      </c>
      <c r="O1151">
        <v>21126400</v>
      </c>
      <c r="P1151" s="2">
        <f t="shared" si="52"/>
        <v>-0.28302503029385034</v>
      </c>
      <c r="Q1151" s="4">
        <f t="shared" si="53"/>
        <v>15.0631232</v>
      </c>
    </row>
    <row r="1152" spans="1:17" x14ac:dyDescent="0.4">
      <c r="A1152">
        <v>20210824</v>
      </c>
      <c r="B1152" s="1">
        <v>0.95833333333333337</v>
      </c>
      <c r="C1152">
        <v>-5904</v>
      </c>
      <c r="D1152">
        <v>122266</v>
      </c>
      <c r="E1152">
        <v>-222859</v>
      </c>
      <c r="F1152">
        <v>-44098</v>
      </c>
      <c r="G1152">
        <v>-6941</v>
      </c>
      <c r="H1152">
        <v>-31888</v>
      </c>
      <c r="I1152">
        <v>54727</v>
      </c>
      <c r="J1152">
        <v>-18317</v>
      </c>
      <c r="K1152">
        <v>-8529</v>
      </c>
      <c r="L1152">
        <v>3493</v>
      </c>
      <c r="M1152">
        <v>6.9</v>
      </c>
      <c r="N1152">
        <f t="shared" si="51"/>
        <v>-158050</v>
      </c>
      <c r="O1152">
        <v>20738050</v>
      </c>
      <c r="P1152" s="2">
        <f t="shared" si="52"/>
        <v>-0.76212565790901265</v>
      </c>
      <c r="Q1152" s="4">
        <f t="shared" si="53"/>
        <v>14.3092545</v>
      </c>
    </row>
    <row r="1153" spans="1:17" x14ac:dyDescent="0.4">
      <c r="A1153">
        <v>20210824</v>
      </c>
      <c r="B1153" s="1">
        <v>0.97916666666666663</v>
      </c>
      <c r="C1153">
        <v>14893</v>
      </c>
      <c r="D1153">
        <v>140738</v>
      </c>
      <c r="E1153">
        <v>-44742</v>
      </c>
      <c r="F1153">
        <v>-93195</v>
      </c>
      <c r="G1153">
        <v>5896</v>
      </c>
      <c r="H1153">
        <v>30340</v>
      </c>
      <c r="I1153">
        <v>63351</v>
      </c>
      <c r="J1153">
        <v>-21917</v>
      </c>
      <c r="K1153">
        <v>5674</v>
      </c>
      <c r="L1153">
        <v>9881</v>
      </c>
      <c r="M1153">
        <v>6.78</v>
      </c>
      <c r="N1153">
        <f t="shared" si="51"/>
        <v>110919</v>
      </c>
      <c r="O1153">
        <v>19815750</v>
      </c>
      <c r="P1153" s="2">
        <f t="shared" si="52"/>
        <v>0.55975171265281409</v>
      </c>
      <c r="Q1153" s="4">
        <f t="shared" si="53"/>
        <v>13.435078499999999</v>
      </c>
    </row>
    <row r="1154" spans="1:17" x14ac:dyDescent="0.4">
      <c r="A1154">
        <v>20210825</v>
      </c>
      <c r="B1154" s="1">
        <v>0</v>
      </c>
      <c r="C1154">
        <v>1860</v>
      </c>
      <c r="D1154">
        <v>274135</v>
      </c>
      <c r="E1154">
        <v>-53434</v>
      </c>
      <c r="F1154">
        <v>-24401</v>
      </c>
      <c r="G1154">
        <v>22955</v>
      </c>
      <c r="H1154">
        <v>54261</v>
      </c>
      <c r="I1154">
        <v>91131</v>
      </c>
      <c r="J1154">
        <v>-16514</v>
      </c>
      <c r="K1154">
        <v>-29630</v>
      </c>
      <c r="L1154">
        <v>200</v>
      </c>
      <c r="M1154">
        <v>6.91</v>
      </c>
      <c r="N1154">
        <f t="shared" si="51"/>
        <v>320563</v>
      </c>
      <c r="O1154">
        <v>18980550</v>
      </c>
      <c r="P1154" s="2">
        <f t="shared" si="52"/>
        <v>1.6889025871220802</v>
      </c>
      <c r="Q1154" s="4">
        <f t="shared" si="53"/>
        <v>13.115560049999999</v>
      </c>
    </row>
    <row r="1155" spans="1:17" x14ac:dyDescent="0.4">
      <c r="A1155">
        <v>20210825</v>
      </c>
      <c r="B1155" s="1">
        <v>2.0833333333333332E-2</v>
      </c>
      <c r="C1155">
        <v>31658</v>
      </c>
      <c r="D1155">
        <v>198912</v>
      </c>
      <c r="E1155">
        <v>3472</v>
      </c>
      <c r="F1155">
        <v>-55771</v>
      </c>
      <c r="G1155">
        <v>7354</v>
      </c>
      <c r="H1155">
        <v>93761</v>
      </c>
      <c r="I1155">
        <v>97407</v>
      </c>
      <c r="J1155">
        <v>-27203</v>
      </c>
      <c r="K1155">
        <v>13144</v>
      </c>
      <c r="L1155">
        <v>9153</v>
      </c>
      <c r="M1155">
        <v>6.81</v>
      </c>
      <c r="N1155">
        <f t="shared" ref="N1155:N1218" si="54">C1155+D1155+E1155+F1155+G1155+H1155+I1155+J1155+K1155+L1155</f>
        <v>371887</v>
      </c>
      <c r="O1155">
        <v>20393000</v>
      </c>
      <c r="P1155" s="2">
        <f t="shared" ref="P1155:P1218" si="55">((N1155*100)/O1155)</f>
        <v>1.8236012357181386</v>
      </c>
      <c r="Q1155" s="4">
        <f t="shared" ref="Q1155:Q1218" si="56">(M1155*O1155)/10^7</f>
        <v>13.887632999999999</v>
      </c>
    </row>
    <row r="1156" spans="1:17" x14ac:dyDescent="0.4">
      <c r="A1156">
        <v>20210825</v>
      </c>
      <c r="B1156" s="1">
        <v>4.1666666666666664E-2</v>
      </c>
      <c r="C1156">
        <v>21372</v>
      </c>
      <c r="D1156">
        <v>209157</v>
      </c>
      <c r="E1156">
        <v>-66947</v>
      </c>
      <c r="F1156">
        <v>-24144</v>
      </c>
      <c r="G1156">
        <v>32023</v>
      </c>
      <c r="H1156">
        <v>43288</v>
      </c>
      <c r="I1156">
        <v>105487</v>
      </c>
      <c r="J1156">
        <v>-21966</v>
      </c>
      <c r="K1156">
        <v>71265</v>
      </c>
      <c r="L1156">
        <v>2248</v>
      </c>
      <c r="M1156">
        <v>6.59</v>
      </c>
      <c r="N1156">
        <f t="shared" si="54"/>
        <v>371783</v>
      </c>
      <c r="O1156">
        <v>20382950</v>
      </c>
      <c r="P1156" s="2">
        <f t="shared" si="55"/>
        <v>1.8239901486291239</v>
      </c>
      <c r="Q1156" s="4">
        <f t="shared" si="56"/>
        <v>13.43236405</v>
      </c>
    </row>
    <row r="1157" spans="1:17" x14ac:dyDescent="0.4">
      <c r="A1157">
        <v>20210825</v>
      </c>
      <c r="B1157" s="1">
        <v>6.25E-2</v>
      </c>
      <c r="C1157">
        <v>21118</v>
      </c>
      <c r="D1157">
        <v>236888</v>
      </c>
      <c r="E1157">
        <v>-56277</v>
      </c>
      <c r="F1157">
        <v>-63034</v>
      </c>
      <c r="G1157">
        <v>16092</v>
      </c>
      <c r="H1157">
        <v>37684</v>
      </c>
      <c r="I1157">
        <v>53001</v>
      </c>
      <c r="J1157">
        <v>-16930</v>
      </c>
      <c r="K1157">
        <v>47771</v>
      </c>
      <c r="L1157">
        <v>8113</v>
      </c>
      <c r="M1157">
        <v>6.59</v>
      </c>
      <c r="N1157">
        <f t="shared" si="54"/>
        <v>284426</v>
      </c>
      <c r="O1157">
        <v>20333700</v>
      </c>
      <c r="P1157" s="2">
        <f t="shared" si="55"/>
        <v>1.3987911693395694</v>
      </c>
      <c r="Q1157" s="4">
        <f t="shared" si="56"/>
        <v>13.3999083</v>
      </c>
    </row>
    <row r="1158" spans="1:17" x14ac:dyDescent="0.4">
      <c r="A1158">
        <v>20210825</v>
      </c>
      <c r="B1158" s="1">
        <v>8.3333333333333329E-2</v>
      </c>
      <c r="C1158">
        <v>43650</v>
      </c>
      <c r="D1158">
        <v>292261</v>
      </c>
      <c r="E1158">
        <v>-116511</v>
      </c>
      <c r="F1158">
        <v>-1741</v>
      </c>
      <c r="G1158">
        <v>12794</v>
      </c>
      <c r="H1158">
        <v>-1970</v>
      </c>
      <c r="I1158">
        <v>70125</v>
      </c>
      <c r="J1158">
        <v>-10328</v>
      </c>
      <c r="K1158">
        <v>89311</v>
      </c>
      <c r="L1158">
        <v>9705</v>
      </c>
      <c r="M1158">
        <v>6.59</v>
      </c>
      <c r="N1158">
        <f t="shared" si="54"/>
        <v>387296</v>
      </c>
      <c r="O1158">
        <v>20522300</v>
      </c>
      <c r="P1158" s="2">
        <f t="shared" si="55"/>
        <v>1.8871958796041379</v>
      </c>
      <c r="Q1158" s="4">
        <f t="shared" si="56"/>
        <v>13.5241957</v>
      </c>
    </row>
    <row r="1159" spans="1:17" x14ac:dyDescent="0.4">
      <c r="A1159">
        <v>20210825</v>
      </c>
      <c r="B1159" s="1">
        <v>0.10416666666666667</v>
      </c>
      <c r="C1159">
        <v>44810</v>
      </c>
      <c r="D1159">
        <v>316871</v>
      </c>
      <c r="E1159">
        <v>-154418</v>
      </c>
      <c r="F1159">
        <v>-99956</v>
      </c>
      <c r="G1159">
        <v>16632</v>
      </c>
      <c r="H1159">
        <v>-16659</v>
      </c>
      <c r="I1159">
        <v>75118</v>
      </c>
      <c r="J1159">
        <v>-8272</v>
      </c>
      <c r="K1159">
        <v>39110</v>
      </c>
      <c r="L1159">
        <v>3925</v>
      </c>
      <c r="M1159">
        <v>6.59</v>
      </c>
      <c r="N1159">
        <f t="shared" si="54"/>
        <v>217161</v>
      </c>
      <c r="O1159">
        <v>20894900</v>
      </c>
      <c r="P1159" s="2">
        <f t="shared" si="55"/>
        <v>1.0393014563362351</v>
      </c>
      <c r="Q1159" s="4">
        <f t="shared" si="56"/>
        <v>13.769739100000001</v>
      </c>
    </row>
    <row r="1160" spans="1:17" x14ac:dyDescent="0.4">
      <c r="A1160">
        <v>20210825</v>
      </c>
      <c r="B1160" s="1">
        <v>0.125</v>
      </c>
      <c r="C1160">
        <v>27739</v>
      </c>
      <c r="D1160">
        <v>337378</v>
      </c>
      <c r="E1160">
        <v>-170292</v>
      </c>
      <c r="F1160">
        <v>-100609</v>
      </c>
      <c r="G1160">
        <v>-5803</v>
      </c>
      <c r="H1160">
        <v>-7328</v>
      </c>
      <c r="I1160">
        <v>74306</v>
      </c>
      <c r="J1160">
        <v>-9660</v>
      </c>
      <c r="K1160">
        <v>63697</v>
      </c>
      <c r="L1160">
        <v>11614</v>
      </c>
      <c r="M1160">
        <v>6.63</v>
      </c>
      <c r="N1160">
        <f t="shared" si="54"/>
        <v>221042</v>
      </c>
      <c r="O1160">
        <v>21308500</v>
      </c>
      <c r="P1160" s="2">
        <f t="shared" si="55"/>
        <v>1.0373419058122346</v>
      </c>
      <c r="Q1160" s="4">
        <f t="shared" si="56"/>
        <v>14.1275355</v>
      </c>
    </row>
    <row r="1161" spans="1:17" x14ac:dyDescent="0.4">
      <c r="A1161">
        <v>20210825</v>
      </c>
      <c r="B1161" s="1">
        <v>0.14583333333333334</v>
      </c>
      <c r="C1161">
        <v>34360</v>
      </c>
      <c r="D1161">
        <v>363372</v>
      </c>
      <c r="E1161">
        <v>-153688</v>
      </c>
      <c r="F1161">
        <v>-177698</v>
      </c>
      <c r="G1161">
        <v>4899</v>
      </c>
      <c r="H1161">
        <v>-57630</v>
      </c>
      <c r="I1161">
        <v>54768</v>
      </c>
      <c r="J1161">
        <v>-9811</v>
      </c>
      <c r="K1161">
        <v>96069</v>
      </c>
      <c r="L1161">
        <v>15397</v>
      </c>
      <c r="M1161">
        <v>6.59</v>
      </c>
      <c r="N1161">
        <f t="shared" si="54"/>
        <v>170038</v>
      </c>
      <c r="O1161">
        <v>21349850</v>
      </c>
      <c r="P1161" s="2">
        <f t="shared" si="55"/>
        <v>0.79643650892160833</v>
      </c>
      <c r="Q1161" s="4">
        <f t="shared" si="56"/>
        <v>14.069551150000001</v>
      </c>
    </row>
    <row r="1162" spans="1:17" x14ac:dyDescent="0.4">
      <c r="A1162">
        <v>20210825</v>
      </c>
      <c r="B1162" s="1">
        <v>0.16666666666666666</v>
      </c>
      <c r="C1162">
        <v>21602</v>
      </c>
      <c r="D1162">
        <v>361863</v>
      </c>
      <c r="E1162">
        <v>-276672</v>
      </c>
      <c r="F1162">
        <v>-149981</v>
      </c>
      <c r="G1162">
        <v>20175</v>
      </c>
      <c r="H1162">
        <v>-67804</v>
      </c>
      <c r="I1162">
        <v>8355</v>
      </c>
      <c r="J1162">
        <v>-6403</v>
      </c>
      <c r="K1162">
        <v>96464</v>
      </c>
      <c r="L1162">
        <v>8222</v>
      </c>
      <c r="M1162">
        <v>6.59</v>
      </c>
      <c r="N1162">
        <f t="shared" si="54"/>
        <v>15821</v>
      </c>
      <c r="O1162">
        <v>21459100</v>
      </c>
      <c r="P1162" s="2">
        <f t="shared" si="55"/>
        <v>7.3726297934209734E-2</v>
      </c>
      <c r="Q1162" s="4">
        <f t="shared" si="56"/>
        <v>14.1415469</v>
      </c>
    </row>
    <row r="1163" spans="1:17" x14ac:dyDescent="0.4">
      <c r="A1163">
        <v>20210825</v>
      </c>
      <c r="B1163" s="1">
        <v>0.1875</v>
      </c>
      <c r="C1163">
        <v>55552</v>
      </c>
      <c r="D1163">
        <v>356881</v>
      </c>
      <c r="E1163">
        <v>-310619</v>
      </c>
      <c r="F1163">
        <v>-182174</v>
      </c>
      <c r="G1163">
        <v>22287</v>
      </c>
      <c r="H1163">
        <v>-33983</v>
      </c>
      <c r="I1163">
        <v>30030</v>
      </c>
      <c r="J1163">
        <v>-4264</v>
      </c>
      <c r="K1163">
        <v>71182</v>
      </c>
      <c r="L1163">
        <v>5126</v>
      </c>
      <c r="M1163">
        <v>6.59</v>
      </c>
      <c r="N1163">
        <f t="shared" si="54"/>
        <v>10018</v>
      </c>
      <c r="O1163">
        <v>21387150</v>
      </c>
      <c r="P1163" s="2">
        <f t="shared" si="55"/>
        <v>4.684121072700196E-2</v>
      </c>
      <c r="Q1163" s="4">
        <f t="shared" si="56"/>
        <v>14.09413185</v>
      </c>
    </row>
    <row r="1164" spans="1:17" x14ac:dyDescent="0.4">
      <c r="A1164">
        <v>20210825</v>
      </c>
      <c r="B1164" s="1">
        <v>0.20833333333333334</v>
      </c>
      <c r="C1164">
        <v>-3324</v>
      </c>
      <c r="D1164">
        <v>316431</v>
      </c>
      <c r="E1164">
        <v>-287991</v>
      </c>
      <c r="F1164">
        <v>-136945</v>
      </c>
      <c r="G1164">
        <v>29155</v>
      </c>
      <c r="H1164">
        <v>-136031</v>
      </c>
      <c r="I1164">
        <v>-40640</v>
      </c>
      <c r="J1164">
        <v>-6861</v>
      </c>
      <c r="K1164">
        <v>86653</v>
      </c>
      <c r="L1164">
        <v>5125</v>
      </c>
      <c r="M1164">
        <v>6.79</v>
      </c>
      <c r="N1164">
        <f t="shared" si="54"/>
        <v>-174428</v>
      </c>
      <c r="O1164">
        <v>21303050</v>
      </c>
      <c r="P1164" s="2">
        <f t="shared" si="55"/>
        <v>-0.8187935530358329</v>
      </c>
      <c r="Q1164" s="4">
        <f t="shared" si="56"/>
        <v>14.46477095</v>
      </c>
    </row>
    <row r="1165" spans="1:17" x14ac:dyDescent="0.4">
      <c r="A1165">
        <v>20210825</v>
      </c>
      <c r="B1165" s="1">
        <v>0.22916666666666666</v>
      </c>
      <c r="C1165">
        <v>43738</v>
      </c>
      <c r="D1165">
        <v>357156</v>
      </c>
      <c r="E1165">
        <v>-469799</v>
      </c>
      <c r="F1165">
        <v>-186909</v>
      </c>
      <c r="G1165">
        <v>27880</v>
      </c>
      <c r="H1165">
        <v>-192470</v>
      </c>
      <c r="I1165">
        <v>-14743</v>
      </c>
      <c r="J1165">
        <v>13271</v>
      </c>
      <c r="K1165">
        <v>146989</v>
      </c>
      <c r="L1165">
        <v>7073</v>
      </c>
      <c r="M1165">
        <v>6.79</v>
      </c>
      <c r="N1165">
        <f t="shared" si="54"/>
        <v>-267814</v>
      </c>
      <c r="O1165">
        <v>21474500</v>
      </c>
      <c r="P1165" s="2">
        <f t="shared" si="55"/>
        <v>-1.2471256606673031</v>
      </c>
      <c r="Q1165" s="4">
        <f t="shared" si="56"/>
        <v>14.5811855</v>
      </c>
    </row>
    <row r="1166" spans="1:17" x14ac:dyDescent="0.4">
      <c r="A1166">
        <v>20210825</v>
      </c>
      <c r="B1166" s="1">
        <v>0.25</v>
      </c>
      <c r="C1166">
        <v>-28673</v>
      </c>
      <c r="D1166">
        <v>156129</v>
      </c>
      <c r="E1166">
        <v>-457217</v>
      </c>
      <c r="F1166">
        <v>-216376</v>
      </c>
      <c r="G1166">
        <v>-2203</v>
      </c>
      <c r="H1166">
        <v>-260834</v>
      </c>
      <c r="I1166">
        <v>-42406</v>
      </c>
      <c r="J1166">
        <v>33534</v>
      </c>
      <c r="K1166">
        <v>76317</v>
      </c>
      <c r="L1166">
        <v>16113</v>
      </c>
      <c r="M1166">
        <v>6.79</v>
      </c>
      <c r="N1166">
        <f t="shared" si="54"/>
        <v>-725616</v>
      </c>
      <c r="O1166">
        <v>21906700</v>
      </c>
      <c r="P1166" s="2">
        <f t="shared" si="55"/>
        <v>-3.3123017159133963</v>
      </c>
      <c r="Q1166" s="4">
        <f t="shared" si="56"/>
        <v>14.8746493</v>
      </c>
    </row>
    <row r="1167" spans="1:17" x14ac:dyDescent="0.4">
      <c r="A1167">
        <v>20210825</v>
      </c>
      <c r="B1167" s="1">
        <v>0.27083333333333331</v>
      </c>
      <c r="C1167">
        <v>-18334</v>
      </c>
      <c r="D1167">
        <v>138045</v>
      </c>
      <c r="E1167">
        <v>-767063</v>
      </c>
      <c r="F1167">
        <v>-291002</v>
      </c>
      <c r="G1167">
        <v>-34414</v>
      </c>
      <c r="H1167">
        <v>-224144</v>
      </c>
      <c r="I1167">
        <v>-116675</v>
      </c>
      <c r="J1167">
        <v>-7222</v>
      </c>
      <c r="K1167">
        <v>-124830</v>
      </c>
      <c r="L1167">
        <v>12796</v>
      </c>
      <c r="M1167">
        <v>6.67</v>
      </c>
      <c r="N1167">
        <f t="shared" si="54"/>
        <v>-1432843</v>
      </c>
      <c r="O1167">
        <v>22511300</v>
      </c>
      <c r="P1167" s="2">
        <f t="shared" si="55"/>
        <v>-6.3649944694442349</v>
      </c>
      <c r="Q1167" s="4">
        <f t="shared" si="56"/>
        <v>15.015037100000001</v>
      </c>
    </row>
    <row r="1168" spans="1:17" x14ac:dyDescent="0.4">
      <c r="A1168">
        <v>20210825</v>
      </c>
      <c r="B1168" s="1">
        <v>0.29166666666666669</v>
      </c>
      <c r="C1168">
        <v>-25113</v>
      </c>
      <c r="D1168">
        <v>59833</v>
      </c>
      <c r="E1168">
        <v>-695923</v>
      </c>
      <c r="F1168">
        <v>-296418</v>
      </c>
      <c r="G1168">
        <v>-39085</v>
      </c>
      <c r="H1168">
        <v>-238394</v>
      </c>
      <c r="I1168">
        <v>-151501</v>
      </c>
      <c r="J1168">
        <v>50327</v>
      </c>
      <c r="K1168">
        <v>-182743</v>
      </c>
      <c r="L1168">
        <v>25410</v>
      </c>
      <c r="M1168">
        <v>6.6</v>
      </c>
      <c r="N1168">
        <f t="shared" si="54"/>
        <v>-1493607</v>
      </c>
      <c r="O1168">
        <v>23195400</v>
      </c>
      <c r="P1168" s="2">
        <f t="shared" si="55"/>
        <v>-6.439237952352622</v>
      </c>
      <c r="Q1168" s="4">
        <f t="shared" si="56"/>
        <v>15.308964</v>
      </c>
    </row>
    <row r="1169" spans="1:17" x14ac:dyDescent="0.4">
      <c r="A1169">
        <v>20210825</v>
      </c>
      <c r="B1169" s="1">
        <v>0.3125</v>
      </c>
      <c r="C1169">
        <v>-30775</v>
      </c>
      <c r="D1169">
        <v>181783</v>
      </c>
      <c r="E1169">
        <v>-712272</v>
      </c>
      <c r="F1169">
        <v>-42503</v>
      </c>
      <c r="G1169">
        <v>-59781</v>
      </c>
      <c r="H1169">
        <v>-251155</v>
      </c>
      <c r="I1169">
        <v>-49342</v>
      </c>
      <c r="J1169">
        <v>59896</v>
      </c>
      <c r="K1169">
        <v>-107990</v>
      </c>
      <c r="L1169">
        <v>20120</v>
      </c>
      <c r="M1169">
        <v>6.89</v>
      </c>
      <c r="N1169">
        <f t="shared" si="54"/>
        <v>-992019</v>
      </c>
      <c r="O1169">
        <v>23453150</v>
      </c>
      <c r="P1169" s="2">
        <f t="shared" si="55"/>
        <v>-4.2297900282051666</v>
      </c>
      <c r="Q1169" s="4">
        <f t="shared" si="56"/>
        <v>16.159220349999998</v>
      </c>
    </row>
    <row r="1170" spans="1:17" x14ac:dyDescent="0.4">
      <c r="A1170">
        <v>20210825</v>
      </c>
      <c r="B1170" s="1">
        <v>0.33333333333333331</v>
      </c>
      <c r="C1170">
        <v>-83896</v>
      </c>
      <c r="D1170">
        <v>131317</v>
      </c>
      <c r="E1170">
        <v>-868664</v>
      </c>
      <c r="F1170">
        <v>42662</v>
      </c>
      <c r="G1170">
        <v>-97311</v>
      </c>
      <c r="H1170">
        <v>-210219</v>
      </c>
      <c r="I1170">
        <v>-52350</v>
      </c>
      <c r="J1170">
        <v>49185</v>
      </c>
      <c r="K1170">
        <v>-99916</v>
      </c>
      <c r="L1170">
        <v>38334</v>
      </c>
      <c r="M1170">
        <v>6.92</v>
      </c>
      <c r="N1170">
        <f t="shared" si="54"/>
        <v>-1150858</v>
      </c>
      <c r="O1170">
        <v>24406500</v>
      </c>
      <c r="P1170" s="2">
        <f t="shared" si="55"/>
        <v>-4.7153750025607932</v>
      </c>
      <c r="Q1170" s="4">
        <f t="shared" si="56"/>
        <v>16.889298</v>
      </c>
    </row>
    <row r="1171" spans="1:17" x14ac:dyDescent="0.4">
      <c r="A1171">
        <v>20210825</v>
      </c>
      <c r="B1171" s="1">
        <v>0.35416666666666669</v>
      </c>
      <c r="C1171">
        <v>-56018</v>
      </c>
      <c r="D1171">
        <v>371157</v>
      </c>
      <c r="E1171">
        <v>-1353589</v>
      </c>
      <c r="F1171">
        <v>-495394</v>
      </c>
      <c r="G1171">
        <v>-96589</v>
      </c>
      <c r="H1171">
        <v>-385268</v>
      </c>
      <c r="I1171">
        <v>-196235</v>
      </c>
      <c r="J1171">
        <v>24646</v>
      </c>
      <c r="K1171">
        <v>-94722</v>
      </c>
      <c r="L1171">
        <v>19133</v>
      </c>
      <c r="M1171">
        <v>7.1</v>
      </c>
      <c r="N1171">
        <f t="shared" si="54"/>
        <v>-2262879</v>
      </c>
      <c r="O1171">
        <v>24554200</v>
      </c>
      <c r="P1171" s="2">
        <f t="shared" si="55"/>
        <v>-9.2158530923426536</v>
      </c>
      <c r="Q1171" s="4">
        <f t="shared" si="56"/>
        <v>17.433482000000001</v>
      </c>
    </row>
    <row r="1172" spans="1:17" x14ac:dyDescent="0.4">
      <c r="A1172">
        <v>20210825</v>
      </c>
      <c r="B1172" s="1">
        <v>0.375</v>
      </c>
      <c r="C1172">
        <v>-40750</v>
      </c>
      <c r="D1172">
        <v>309510</v>
      </c>
      <c r="E1172">
        <v>-1457362</v>
      </c>
      <c r="F1172">
        <v>-498578</v>
      </c>
      <c r="G1172">
        <v>-138243</v>
      </c>
      <c r="H1172">
        <v>-401121</v>
      </c>
      <c r="I1172">
        <v>-213650</v>
      </c>
      <c r="J1172">
        <v>38549</v>
      </c>
      <c r="K1172">
        <v>-141126</v>
      </c>
      <c r="L1172">
        <v>8659</v>
      </c>
      <c r="M1172">
        <v>7.74</v>
      </c>
      <c r="N1172">
        <f t="shared" si="54"/>
        <v>-2534112</v>
      </c>
      <c r="O1172">
        <v>25129650</v>
      </c>
      <c r="P1172" s="2">
        <f t="shared" si="55"/>
        <v>-10.084151589855011</v>
      </c>
      <c r="Q1172" s="4">
        <f t="shared" si="56"/>
        <v>19.4503491</v>
      </c>
    </row>
    <row r="1173" spans="1:17" x14ac:dyDescent="0.4">
      <c r="A1173">
        <v>20210825</v>
      </c>
      <c r="B1173" s="1">
        <v>0.39583333333333331</v>
      </c>
      <c r="C1173">
        <v>-57178</v>
      </c>
      <c r="D1173">
        <v>274017</v>
      </c>
      <c r="E1173">
        <v>-1587763</v>
      </c>
      <c r="F1173">
        <v>-435569</v>
      </c>
      <c r="G1173">
        <v>-117772</v>
      </c>
      <c r="H1173">
        <v>-354889</v>
      </c>
      <c r="I1173">
        <v>-150633</v>
      </c>
      <c r="J1173">
        <v>89278</v>
      </c>
      <c r="K1173">
        <v>-52218</v>
      </c>
      <c r="L1173">
        <v>8212</v>
      </c>
      <c r="M1173">
        <v>7.74</v>
      </c>
      <c r="N1173">
        <f t="shared" si="54"/>
        <v>-2384515</v>
      </c>
      <c r="O1173">
        <v>25426450</v>
      </c>
      <c r="P1173" s="2">
        <f t="shared" si="55"/>
        <v>-9.3780885652538988</v>
      </c>
      <c r="Q1173" s="4">
        <f t="shared" si="56"/>
        <v>19.680072299999999</v>
      </c>
    </row>
    <row r="1174" spans="1:17" x14ac:dyDescent="0.4">
      <c r="A1174">
        <v>20210825</v>
      </c>
      <c r="B1174" s="1">
        <v>0.41666666666666669</v>
      </c>
      <c r="C1174">
        <v>-7742</v>
      </c>
      <c r="D1174">
        <v>249130</v>
      </c>
      <c r="E1174">
        <v>-1371359</v>
      </c>
      <c r="F1174">
        <v>-304013</v>
      </c>
      <c r="G1174">
        <v>-86043</v>
      </c>
      <c r="H1174">
        <v>-388401</v>
      </c>
      <c r="I1174">
        <v>-148757</v>
      </c>
      <c r="J1174">
        <v>98143</v>
      </c>
      <c r="K1174">
        <v>127237</v>
      </c>
      <c r="L1174">
        <v>13339</v>
      </c>
      <c r="M1174">
        <v>7.94</v>
      </c>
      <c r="N1174">
        <f t="shared" si="54"/>
        <v>-1818466</v>
      </c>
      <c r="O1174">
        <v>25651250</v>
      </c>
      <c r="P1174" s="2">
        <f t="shared" si="55"/>
        <v>-7.0891905852541299</v>
      </c>
      <c r="Q1174" s="4">
        <f t="shared" si="56"/>
        <v>20.367092499999998</v>
      </c>
    </row>
    <row r="1175" spans="1:17" x14ac:dyDescent="0.4">
      <c r="A1175">
        <v>20210825</v>
      </c>
      <c r="B1175" s="1">
        <v>0.4375</v>
      </c>
      <c r="C1175">
        <v>-22563</v>
      </c>
      <c r="D1175">
        <v>174013</v>
      </c>
      <c r="E1175">
        <v>-1417853</v>
      </c>
      <c r="F1175">
        <v>-314792</v>
      </c>
      <c r="G1175">
        <v>-65840</v>
      </c>
      <c r="H1175">
        <v>-408208</v>
      </c>
      <c r="I1175">
        <v>-141327</v>
      </c>
      <c r="J1175">
        <v>53967</v>
      </c>
      <c r="K1175">
        <v>129183</v>
      </c>
      <c r="L1175">
        <v>9115</v>
      </c>
      <c r="M1175">
        <v>7.96</v>
      </c>
      <c r="N1175">
        <f t="shared" si="54"/>
        <v>-2004305</v>
      </c>
      <c r="O1175">
        <v>25818750</v>
      </c>
      <c r="P1175" s="2">
        <f t="shared" si="55"/>
        <v>-7.7629823287339628</v>
      </c>
      <c r="Q1175" s="4">
        <f t="shared" si="56"/>
        <v>20.551725000000001</v>
      </c>
    </row>
    <row r="1176" spans="1:17" x14ac:dyDescent="0.4">
      <c r="A1176">
        <v>20210825</v>
      </c>
      <c r="B1176" s="1">
        <v>0.45833333333333331</v>
      </c>
      <c r="C1176">
        <v>14898</v>
      </c>
      <c r="D1176">
        <v>233985</v>
      </c>
      <c r="E1176">
        <v>-1309319</v>
      </c>
      <c r="F1176">
        <v>-395918</v>
      </c>
      <c r="G1176">
        <v>-64359</v>
      </c>
      <c r="H1176">
        <v>-357425</v>
      </c>
      <c r="I1176">
        <v>-110394</v>
      </c>
      <c r="J1176">
        <v>18658</v>
      </c>
      <c r="K1176">
        <v>161742</v>
      </c>
      <c r="L1176">
        <v>14280</v>
      </c>
      <c r="M1176">
        <v>8.39</v>
      </c>
      <c r="N1176">
        <f t="shared" si="54"/>
        <v>-1793852</v>
      </c>
      <c r="O1176">
        <v>26170200</v>
      </c>
      <c r="P1176" s="2">
        <f t="shared" si="55"/>
        <v>-6.8545597664519189</v>
      </c>
      <c r="Q1176" s="4">
        <f t="shared" si="56"/>
        <v>21.9567978</v>
      </c>
    </row>
    <row r="1177" spans="1:17" x14ac:dyDescent="0.4">
      <c r="A1177">
        <v>20210825</v>
      </c>
      <c r="B1177" s="1">
        <v>0.47916666666666669</v>
      </c>
      <c r="C1177">
        <v>19894</v>
      </c>
      <c r="D1177">
        <v>232210</v>
      </c>
      <c r="E1177">
        <v>-1135951</v>
      </c>
      <c r="F1177">
        <v>-61553</v>
      </c>
      <c r="G1177">
        <v>-44251</v>
      </c>
      <c r="H1177">
        <v>-337303</v>
      </c>
      <c r="I1177">
        <v>-29882</v>
      </c>
      <c r="J1177">
        <v>-12453</v>
      </c>
      <c r="K1177">
        <v>183299</v>
      </c>
      <c r="L1177">
        <v>14985</v>
      </c>
      <c r="M1177">
        <v>8.6199999999999992</v>
      </c>
      <c r="N1177">
        <f t="shared" si="54"/>
        <v>-1171005</v>
      </c>
      <c r="O1177">
        <v>26181500</v>
      </c>
      <c r="P1177" s="2">
        <f t="shared" si="55"/>
        <v>-4.4726428967018697</v>
      </c>
      <c r="Q1177" s="4">
        <f t="shared" si="56"/>
        <v>22.568452999999998</v>
      </c>
    </row>
    <row r="1178" spans="1:17" x14ac:dyDescent="0.4">
      <c r="A1178">
        <v>20210825</v>
      </c>
      <c r="B1178" s="1">
        <v>0.5</v>
      </c>
      <c r="C1178">
        <v>8246</v>
      </c>
      <c r="D1178">
        <v>263757</v>
      </c>
      <c r="E1178">
        <v>-1141942</v>
      </c>
      <c r="F1178">
        <v>-346858</v>
      </c>
      <c r="G1178">
        <v>-26734</v>
      </c>
      <c r="H1178">
        <v>-344911</v>
      </c>
      <c r="I1178">
        <v>-98296</v>
      </c>
      <c r="J1178">
        <v>75</v>
      </c>
      <c r="K1178">
        <v>184312</v>
      </c>
      <c r="L1178">
        <v>18110</v>
      </c>
      <c r="M1178">
        <v>8.39</v>
      </c>
      <c r="N1178">
        <f t="shared" si="54"/>
        <v>-1484241</v>
      </c>
      <c r="O1178">
        <v>26197400</v>
      </c>
      <c r="P1178" s="2">
        <f t="shared" si="55"/>
        <v>-5.6656042202661334</v>
      </c>
      <c r="Q1178" s="4">
        <f t="shared" si="56"/>
        <v>21.979618599999998</v>
      </c>
    </row>
    <row r="1179" spans="1:17" x14ac:dyDescent="0.4">
      <c r="A1179">
        <v>20210825</v>
      </c>
      <c r="B1179" s="1">
        <v>0.52083333333333337</v>
      </c>
      <c r="C1179">
        <v>35898</v>
      </c>
      <c r="D1179">
        <v>363999</v>
      </c>
      <c r="E1179">
        <v>-1178291</v>
      </c>
      <c r="F1179">
        <v>-395580</v>
      </c>
      <c r="G1179">
        <v>-20236</v>
      </c>
      <c r="H1179">
        <v>-453690</v>
      </c>
      <c r="I1179">
        <v>139397</v>
      </c>
      <c r="J1179">
        <v>-23111</v>
      </c>
      <c r="K1179">
        <v>202678</v>
      </c>
      <c r="L1179">
        <v>22184</v>
      </c>
      <c r="M1179">
        <v>8.39</v>
      </c>
      <c r="N1179">
        <f t="shared" si="54"/>
        <v>-1306752</v>
      </c>
      <c r="O1179">
        <v>26051000</v>
      </c>
      <c r="P1179" s="2">
        <f t="shared" si="55"/>
        <v>-5.0161298990441825</v>
      </c>
      <c r="Q1179" s="4">
        <f t="shared" si="56"/>
        <v>21.856788999999999</v>
      </c>
    </row>
    <row r="1180" spans="1:17" x14ac:dyDescent="0.4">
      <c r="A1180">
        <v>20210825</v>
      </c>
      <c r="B1180" s="1">
        <v>0.54166666666666663</v>
      </c>
      <c r="C1180">
        <v>22175</v>
      </c>
      <c r="D1180">
        <v>428479</v>
      </c>
      <c r="E1180">
        <v>-1112308</v>
      </c>
      <c r="F1180">
        <v>-382507</v>
      </c>
      <c r="G1180">
        <v>1703</v>
      </c>
      <c r="H1180">
        <v>-447914</v>
      </c>
      <c r="I1180">
        <v>122082</v>
      </c>
      <c r="J1180">
        <v>-28236</v>
      </c>
      <c r="K1180">
        <v>227038</v>
      </c>
      <c r="L1180">
        <v>26846</v>
      </c>
      <c r="M1180">
        <v>9.0500000000000007</v>
      </c>
      <c r="N1180">
        <f t="shared" si="54"/>
        <v>-1142642</v>
      </c>
      <c r="O1180">
        <v>25095100</v>
      </c>
      <c r="P1180" s="2">
        <f t="shared" si="55"/>
        <v>-4.5532474467127049</v>
      </c>
      <c r="Q1180" s="4">
        <f t="shared" si="56"/>
        <v>22.711065500000004</v>
      </c>
    </row>
    <row r="1181" spans="1:17" x14ac:dyDescent="0.4">
      <c r="A1181">
        <v>20210825</v>
      </c>
      <c r="B1181" s="1">
        <v>0.5625</v>
      </c>
      <c r="C1181">
        <v>33120</v>
      </c>
      <c r="D1181">
        <v>434079</v>
      </c>
      <c r="E1181">
        <v>-1151850</v>
      </c>
      <c r="F1181">
        <v>-308397</v>
      </c>
      <c r="G1181">
        <v>-2321</v>
      </c>
      <c r="H1181">
        <v>-338230</v>
      </c>
      <c r="I1181">
        <v>73022</v>
      </c>
      <c r="J1181">
        <v>-63145</v>
      </c>
      <c r="K1181">
        <v>388700</v>
      </c>
      <c r="L1181">
        <v>17924</v>
      </c>
      <c r="M1181">
        <v>9.57</v>
      </c>
      <c r="N1181">
        <f t="shared" si="54"/>
        <v>-917098</v>
      </c>
      <c r="O1181">
        <v>24810950</v>
      </c>
      <c r="P1181" s="2">
        <f t="shared" si="55"/>
        <v>-3.6963437514484534</v>
      </c>
      <c r="Q1181" s="4">
        <f t="shared" si="56"/>
        <v>23.744079150000001</v>
      </c>
    </row>
    <row r="1182" spans="1:17" x14ac:dyDescent="0.4">
      <c r="A1182">
        <v>20210825</v>
      </c>
      <c r="B1182" s="1">
        <v>0.58333333333333337</v>
      </c>
      <c r="C1182">
        <v>32212</v>
      </c>
      <c r="D1182">
        <v>315994</v>
      </c>
      <c r="E1182">
        <v>-1201243</v>
      </c>
      <c r="F1182">
        <v>-363202</v>
      </c>
      <c r="G1182">
        <v>-3986</v>
      </c>
      <c r="H1182">
        <v>-238228</v>
      </c>
      <c r="I1182">
        <v>326439</v>
      </c>
      <c r="J1182">
        <v>-68190</v>
      </c>
      <c r="K1182">
        <v>362476</v>
      </c>
      <c r="L1182">
        <v>4204</v>
      </c>
      <c r="M1182">
        <v>9.86</v>
      </c>
      <c r="N1182">
        <f t="shared" si="54"/>
        <v>-833524</v>
      </c>
      <c r="O1182">
        <v>24507100</v>
      </c>
      <c r="P1182" s="2">
        <f t="shared" si="55"/>
        <v>-3.4011531352138769</v>
      </c>
      <c r="Q1182" s="4">
        <f t="shared" si="56"/>
        <v>24.164000600000001</v>
      </c>
    </row>
    <row r="1183" spans="1:17" x14ac:dyDescent="0.4">
      <c r="A1183">
        <v>20210825</v>
      </c>
      <c r="B1183" s="1">
        <v>0.60416666666666663</v>
      </c>
      <c r="C1183">
        <v>27730</v>
      </c>
      <c r="D1183">
        <v>311001</v>
      </c>
      <c r="E1183">
        <v>-1107904</v>
      </c>
      <c r="F1183">
        <v>-412938</v>
      </c>
      <c r="G1183">
        <v>-3669</v>
      </c>
      <c r="H1183">
        <v>-195247</v>
      </c>
      <c r="I1183">
        <v>257493</v>
      </c>
      <c r="J1183">
        <v>-78085</v>
      </c>
      <c r="K1183">
        <v>362704</v>
      </c>
      <c r="L1183">
        <v>-5968</v>
      </c>
      <c r="M1183">
        <v>10.119999999999999</v>
      </c>
      <c r="N1183">
        <f t="shared" si="54"/>
        <v>-844883</v>
      </c>
      <c r="O1183">
        <v>23929050</v>
      </c>
      <c r="P1183" s="2">
        <f t="shared" si="55"/>
        <v>-3.5307837126839554</v>
      </c>
      <c r="Q1183" s="4">
        <f t="shared" si="56"/>
        <v>24.216198599999998</v>
      </c>
    </row>
    <row r="1184" spans="1:17" x14ac:dyDescent="0.4">
      <c r="A1184">
        <v>20210825</v>
      </c>
      <c r="B1184" s="1">
        <v>0.625</v>
      </c>
      <c r="C1184">
        <v>37487</v>
      </c>
      <c r="D1184">
        <v>155089</v>
      </c>
      <c r="E1184">
        <v>-1188684</v>
      </c>
      <c r="F1184">
        <v>-382732</v>
      </c>
      <c r="G1184">
        <v>-11047</v>
      </c>
      <c r="H1184">
        <v>-57553</v>
      </c>
      <c r="I1184">
        <v>233177</v>
      </c>
      <c r="J1184">
        <v>-34285</v>
      </c>
      <c r="K1184">
        <v>376442</v>
      </c>
      <c r="L1184">
        <v>-111</v>
      </c>
      <c r="M1184">
        <v>10.06</v>
      </c>
      <c r="N1184">
        <f t="shared" si="54"/>
        <v>-872217</v>
      </c>
      <c r="O1184">
        <v>24028050</v>
      </c>
      <c r="P1184" s="2">
        <f t="shared" si="55"/>
        <v>-3.6299949434098897</v>
      </c>
      <c r="Q1184" s="4">
        <f t="shared" si="56"/>
        <v>24.172218300000001</v>
      </c>
    </row>
    <row r="1185" spans="1:17" x14ac:dyDescent="0.4">
      <c r="A1185">
        <v>20210825</v>
      </c>
      <c r="B1185" s="1">
        <v>0.64583333333333337</v>
      </c>
      <c r="C1185">
        <v>57395</v>
      </c>
      <c r="D1185">
        <v>203329</v>
      </c>
      <c r="E1185">
        <v>-1220263</v>
      </c>
      <c r="F1185">
        <v>-465420</v>
      </c>
      <c r="G1185">
        <v>42801</v>
      </c>
      <c r="H1185">
        <v>-169700</v>
      </c>
      <c r="I1185">
        <v>174330</v>
      </c>
      <c r="J1185">
        <v>-90593</v>
      </c>
      <c r="K1185">
        <v>314375</v>
      </c>
      <c r="L1185">
        <v>-12623</v>
      </c>
      <c r="M1185">
        <v>10.32</v>
      </c>
      <c r="N1185">
        <f t="shared" si="54"/>
        <v>-1166369</v>
      </c>
      <c r="O1185">
        <v>23581900</v>
      </c>
      <c r="P1185" s="2">
        <f t="shared" si="55"/>
        <v>-4.9460348826854492</v>
      </c>
      <c r="Q1185" s="4">
        <f t="shared" si="56"/>
        <v>24.336520799999999</v>
      </c>
    </row>
    <row r="1186" spans="1:17" x14ac:dyDescent="0.4">
      <c r="A1186">
        <v>20210825</v>
      </c>
      <c r="B1186" s="1">
        <v>0.66666666666666663</v>
      </c>
      <c r="C1186">
        <v>46636</v>
      </c>
      <c r="D1186">
        <v>28440</v>
      </c>
      <c r="E1186">
        <v>-1175793</v>
      </c>
      <c r="F1186">
        <v>-390853</v>
      </c>
      <c r="G1186">
        <v>62591</v>
      </c>
      <c r="H1186">
        <v>-374034</v>
      </c>
      <c r="I1186">
        <v>534681</v>
      </c>
      <c r="J1186">
        <v>-77935</v>
      </c>
      <c r="K1186">
        <v>198790</v>
      </c>
      <c r="L1186">
        <v>-30979</v>
      </c>
      <c r="M1186">
        <v>11.41</v>
      </c>
      <c r="N1186">
        <f t="shared" si="54"/>
        <v>-1178456</v>
      </c>
      <c r="O1186">
        <v>24108950</v>
      </c>
      <c r="P1186" s="2">
        <f t="shared" si="55"/>
        <v>-4.8880436518388404</v>
      </c>
      <c r="Q1186" s="4">
        <f t="shared" si="56"/>
        <v>27.50831195</v>
      </c>
    </row>
    <row r="1187" spans="1:17" x14ac:dyDescent="0.4">
      <c r="A1187">
        <v>20210825</v>
      </c>
      <c r="B1187" s="1">
        <v>0.6875</v>
      </c>
      <c r="C1187">
        <v>51887</v>
      </c>
      <c r="D1187">
        <v>69875</v>
      </c>
      <c r="E1187">
        <v>-1182224</v>
      </c>
      <c r="F1187">
        <v>-372673</v>
      </c>
      <c r="G1187">
        <v>26728</v>
      </c>
      <c r="H1187">
        <v>-414068</v>
      </c>
      <c r="I1187">
        <v>313469</v>
      </c>
      <c r="J1187">
        <v>-108584</v>
      </c>
      <c r="K1187">
        <v>61775</v>
      </c>
      <c r="L1187">
        <v>-35269</v>
      </c>
      <c r="M1187">
        <v>12.79</v>
      </c>
      <c r="N1187">
        <f t="shared" si="54"/>
        <v>-1589084</v>
      </c>
      <c r="O1187">
        <v>23691900</v>
      </c>
      <c r="P1187" s="2">
        <f t="shared" si="55"/>
        <v>-6.7072881448934023</v>
      </c>
      <c r="Q1187" s="4">
        <f t="shared" si="56"/>
        <v>30.301940099999999</v>
      </c>
    </row>
    <row r="1188" spans="1:17" x14ac:dyDescent="0.4">
      <c r="A1188">
        <v>20210825</v>
      </c>
      <c r="B1188" s="1">
        <v>0.70833333333333337</v>
      </c>
      <c r="C1188">
        <v>49959</v>
      </c>
      <c r="D1188">
        <v>-159867</v>
      </c>
      <c r="E1188">
        <v>-1308824</v>
      </c>
      <c r="F1188">
        <v>-140940</v>
      </c>
      <c r="G1188">
        <v>25025</v>
      </c>
      <c r="H1188">
        <v>-394250</v>
      </c>
      <c r="I1188">
        <v>184096</v>
      </c>
      <c r="J1188">
        <v>-54287</v>
      </c>
      <c r="K1188">
        <v>50296</v>
      </c>
      <c r="L1188">
        <v>-26572</v>
      </c>
      <c r="M1188">
        <v>11.94</v>
      </c>
      <c r="N1188">
        <f t="shared" si="54"/>
        <v>-1775364</v>
      </c>
      <c r="O1188">
        <v>23131650</v>
      </c>
      <c r="P1188" s="2">
        <f t="shared" si="55"/>
        <v>-7.6750426363878059</v>
      </c>
      <c r="Q1188" s="4">
        <f t="shared" si="56"/>
        <v>27.619190100000001</v>
      </c>
    </row>
    <row r="1189" spans="1:17" x14ac:dyDescent="0.4">
      <c r="A1189">
        <v>20210825</v>
      </c>
      <c r="B1189" s="1">
        <v>0.72916666666666663</v>
      </c>
      <c r="C1189">
        <v>16226</v>
      </c>
      <c r="D1189">
        <v>-84916</v>
      </c>
      <c r="E1189">
        <v>-1216284</v>
      </c>
      <c r="F1189">
        <v>-163682</v>
      </c>
      <c r="G1189">
        <v>17702</v>
      </c>
      <c r="H1189">
        <v>-350806</v>
      </c>
      <c r="I1189">
        <v>83625</v>
      </c>
      <c r="J1189">
        <v>-22211</v>
      </c>
      <c r="K1189">
        <v>77940</v>
      </c>
      <c r="L1189">
        <v>-28416</v>
      </c>
      <c r="M1189">
        <v>12.19</v>
      </c>
      <c r="N1189">
        <f t="shared" si="54"/>
        <v>-1670822</v>
      </c>
      <c r="O1189">
        <v>22738700</v>
      </c>
      <c r="P1189" s="2">
        <f t="shared" si="55"/>
        <v>-7.347922264685316</v>
      </c>
      <c r="Q1189" s="4">
        <f t="shared" si="56"/>
        <v>27.718475300000001</v>
      </c>
    </row>
    <row r="1190" spans="1:17" x14ac:dyDescent="0.4">
      <c r="A1190">
        <v>20210825</v>
      </c>
      <c r="B1190" s="1">
        <v>0.75</v>
      </c>
      <c r="C1190">
        <v>42713</v>
      </c>
      <c r="D1190">
        <v>-68708</v>
      </c>
      <c r="E1190">
        <v>-1318276</v>
      </c>
      <c r="F1190">
        <v>-174264</v>
      </c>
      <c r="G1190">
        <v>46986</v>
      </c>
      <c r="H1190">
        <v>-243286</v>
      </c>
      <c r="I1190">
        <v>37534</v>
      </c>
      <c r="J1190">
        <v>23699</v>
      </c>
      <c r="K1190">
        <v>118830</v>
      </c>
      <c r="L1190">
        <v>-29507</v>
      </c>
      <c r="M1190">
        <v>10.32</v>
      </c>
      <c r="N1190">
        <f t="shared" si="54"/>
        <v>-1564279</v>
      </c>
      <c r="O1190">
        <v>22496100</v>
      </c>
      <c r="P1190" s="2">
        <f t="shared" si="55"/>
        <v>-6.9535563942194427</v>
      </c>
      <c r="Q1190" s="4">
        <f t="shared" si="56"/>
        <v>23.215975199999999</v>
      </c>
    </row>
    <row r="1191" spans="1:17" x14ac:dyDescent="0.4">
      <c r="A1191">
        <v>20210825</v>
      </c>
      <c r="B1191" s="1">
        <v>0.77083333333333337</v>
      </c>
      <c r="C1191">
        <v>23074</v>
      </c>
      <c r="D1191">
        <v>21185</v>
      </c>
      <c r="E1191">
        <v>-1349648</v>
      </c>
      <c r="F1191">
        <v>-186512</v>
      </c>
      <c r="G1191">
        <v>-5982</v>
      </c>
      <c r="H1191">
        <v>-232343</v>
      </c>
      <c r="I1191">
        <v>-22037</v>
      </c>
      <c r="J1191">
        <v>54059</v>
      </c>
      <c r="K1191">
        <v>125833</v>
      </c>
      <c r="L1191">
        <v>-30535</v>
      </c>
      <c r="M1191">
        <v>10.32</v>
      </c>
      <c r="N1191">
        <f t="shared" si="54"/>
        <v>-1602906</v>
      </c>
      <c r="O1191">
        <v>22680400</v>
      </c>
      <c r="P1191" s="2">
        <f t="shared" si="55"/>
        <v>-7.0673621276520695</v>
      </c>
      <c r="Q1191" s="4">
        <f t="shared" si="56"/>
        <v>23.4061728</v>
      </c>
    </row>
    <row r="1192" spans="1:17" x14ac:dyDescent="0.4">
      <c r="A1192">
        <v>20210825</v>
      </c>
      <c r="B1192" s="1">
        <v>0.79166666666666663</v>
      </c>
      <c r="C1192">
        <v>43246</v>
      </c>
      <c r="D1192">
        <v>30520</v>
      </c>
      <c r="E1192">
        <v>-1295251</v>
      </c>
      <c r="F1192">
        <v>-115957</v>
      </c>
      <c r="G1192">
        <v>-764</v>
      </c>
      <c r="H1192">
        <v>-117377</v>
      </c>
      <c r="I1192">
        <v>-76992</v>
      </c>
      <c r="J1192">
        <v>60757</v>
      </c>
      <c r="K1192">
        <v>105069</v>
      </c>
      <c r="L1192">
        <v>-28307</v>
      </c>
      <c r="M1192">
        <v>10.32</v>
      </c>
      <c r="N1192">
        <f t="shared" si="54"/>
        <v>-1395056</v>
      </c>
      <c r="O1192">
        <v>22727850</v>
      </c>
      <c r="P1192" s="2">
        <f t="shared" si="55"/>
        <v>-6.1380904925014903</v>
      </c>
      <c r="Q1192" s="4">
        <f t="shared" si="56"/>
        <v>23.4551412</v>
      </c>
    </row>
    <row r="1193" spans="1:17" x14ac:dyDescent="0.4">
      <c r="A1193">
        <v>20210825</v>
      </c>
      <c r="B1193" s="1">
        <v>0.8125</v>
      </c>
      <c r="C1193">
        <v>11559</v>
      </c>
      <c r="D1193">
        <v>58506</v>
      </c>
      <c r="E1193">
        <v>-1220408</v>
      </c>
      <c r="F1193">
        <v>-45651</v>
      </c>
      <c r="G1193">
        <v>27891</v>
      </c>
      <c r="H1193">
        <v>-94960</v>
      </c>
      <c r="I1193">
        <v>-44240</v>
      </c>
      <c r="J1193">
        <v>73965</v>
      </c>
      <c r="K1193">
        <v>164544</v>
      </c>
      <c r="L1193">
        <v>-25705</v>
      </c>
      <c r="M1193">
        <v>10.32</v>
      </c>
      <c r="N1193">
        <f t="shared" si="54"/>
        <v>-1094499</v>
      </c>
      <c r="O1193">
        <v>22503000</v>
      </c>
      <c r="P1193" s="2">
        <f t="shared" si="55"/>
        <v>-4.8637914944674048</v>
      </c>
      <c r="Q1193" s="4">
        <f t="shared" si="56"/>
        <v>23.223096000000002</v>
      </c>
    </row>
    <row r="1194" spans="1:17" x14ac:dyDescent="0.4">
      <c r="A1194">
        <v>20210825</v>
      </c>
      <c r="B1194" s="1">
        <v>0.83333333333333337</v>
      </c>
      <c r="C1194">
        <v>49350</v>
      </c>
      <c r="D1194">
        <v>189947</v>
      </c>
      <c r="E1194">
        <v>-1423173</v>
      </c>
      <c r="F1194">
        <v>17010</v>
      </c>
      <c r="G1194">
        <v>30956</v>
      </c>
      <c r="H1194">
        <v>8885</v>
      </c>
      <c r="I1194">
        <v>-36385</v>
      </c>
      <c r="J1194">
        <v>83583</v>
      </c>
      <c r="K1194">
        <v>185855</v>
      </c>
      <c r="L1194">
        <v>-28044</v>
      </c>
      <c r="M1194">
        <v>9.61</v>
      </c>
      <c r="N1194">
        <f t="shared" si="54"/>
        <v>-922016</v>
      </c>
      <c r="O1194">
        <v>21767750</v>
      </c>
      <c r="P1194" s="2">
        <f t="shared" si="55"/>
        <v>-4.2356973044986272</v>
      </c>
      <c r="Q1194" s="4">
        <f t="shared" si="56"/>
        <v>20.918807749999999</v>
      </c>
    </row>
    <row r="1195" spans="1:17" x14ac:dyDescent="0.4">
      <c r="A1195">
        <v>20210825</v>
      </c>
      <c r="B1195" s="1">
        <v>0.85416666666666663</v>
      </c>
      <c r="C1195">
        <v>16694</v>
      </c>
      <c r="D1195">
        <v>359805</v>
      </c>
      <c r="E1195">
        <v>-702678</v>
      </c>
      <c r="F1195">
        <v>-4093</v>
      </c>
      <c r="G1195">
        <v>27333</v>
      </c>
      <c r="H1195">
        <v>-33410</v>
      </c>
      <c r="I1195">
        <v>-49078</v>
      </c>
      <c r="J1195">
        <v>74154</v>
      </c>
      <c r="K1195">
        <v>245677</v>
      </c>
      <c r="L1195">
        <v>-17583</v>
      </c>
      <c r="M1195">
        <v>9.4600000000000009</v>
      </c>
      <c r="N1195">
        <f t="shared" si="54"/>
        <v>-83179</v>
      </c>
      <c r="O1195">
        <v>21740550</v>
      </c>
      <c r="P1195" s="2">
        <f t="shared" si="55"/>
        <v>-0.38259841632341407</v>
      </c>
      <c r="Q1195" s="4">
        <f t="shared" si="56"/>
        <v>20.566560300000003</v>
      </c>
    </row>
    <row r="1196" spans="1:17" x14ac:dyDescent="0.4">
      <c r="A1196">
        <v>20210825</v>
      </c>
      <c r="B1196" s="1">
        <v>0.875</v>
      </c>
      <c r="C1196">
        <v>84122</v>
      </c>
      <c r="D1196">
        <v>354161</v>
      </c>
      <c r="E1196">
        <v>-723919</v>
      </c>
      <c r="F1196">
        <v>30037</v>
      </c>
      <c r="G1196">
        <v>40172</v>
      </c>
      <c r="H1196">
        <v>220</v>
      </c>
      <c r="I1196">
        <v>-2275</v>
      </c>
      <c r="J1196">
        <v>25521</v>
      </c>
      <c r="K1196">
        <v>179560</v>
      </c>
      <c r="L1196">
        <v>-27232</v>
      </c>
      <c r="M1196">
        <v>8.86</v>
      </c>
      <c r="N1196">
        <f t="shared" si="54"/>
        <v>-39633</v>
      </c>
      <c r="O1196">
        <v>21704750</v>
      </c>
      <c r="P1196" s="2">
        <f t="shared" si="55"/>
        <v>-0.18260058282173258</v>
      </c>
      <c r="Q1196" s="4">
        <f t="shared" si="56"/>
        <v>19.230408499999999</v>
      </c>
    </row>
    <row r="1197" spans="1:17" x14ac:dyDescent="0.4">
      <c r="A1197">
        <v>20210825</v>
      </c>
      <c r="B1197" s="1">
        <v>0.89583333333333337</v>
      </c>
      <c r="C1197">
        <v>33335</v>
      </c>
      <c r="D1197">
        <v>377803</v>
      </c>
      <c r="E1197">
        <v>-463609</v>
      </c>
      <c r="F1197">
        <v>2507</v>
      </c>
      <c r="G1197">
        <v>38636</v>
      </c>
      <c r="H1197">
        <v>-15811</v>
      </c>
      <c r="I1197">
        <v>-24512</v>
      </c>
      <c r="J1197">
        <v>32250</v>
      </c>
      <c r="K1197">
        <v>119854</v>
      </c>
      <c r="L1197">
        <v>-17963</v>
      </c>
      <c r="M1197">
        <v>8.86</v>
      </c>
      <c r="N1197">
        <f t="shared" si="54"/>
        <v>82490</v>
      </c>
      <c r="O1197">
        <v>21741200</v>
      </c>
      <c r="P1197" s="2">
        <f t="shared" si="55"/>
        <v>0.37941787941787941</v>
      </c>
      <c r="Q1197" s="4">
        <f t="shared" si="56"/>
        <v>19.262703200000001</v>
      </c>
    </row>
    <row r="1198" spans="1:17" x14ac:dyDescent="0.4">
      <c r="A1198">
        <v>20210825</v>
      </c>
      <c r="B1198" s="1">
        <v>0.91666666666666663</v>
      </c>
      <c r="C1198">
        <v>44109</v>
      </c>
      <c r="D1198">
        <v>395554</v>
      </c>
      <c r="E1198">
        <v>-447138</v>
      </c>
      <c r="F1198">
        <v>-18355</v>
      </c>
      <c r="G1198">
        <v>26714</v>
      </c>
      <c r="H1198">
        <v>-102073</v>
      </c>
      <c r="I1198">
        <v>46167</v>
      </c>
      <c r="J1198">
        <v>31647</v>
      </c>
      <c r="K1198">
        <v>43965</v>
      </c>
      <c r="L1198">
        <v>-22850</v>
      </c>
      <c r="M1198">
        <v>8.33</v>
      </c>
      <c r="N1198">
        <f t="shared" si="54"/>
        <v>-2260</v>
      </c>
      <c r="O1198">
        <v>21452750</v>
      </c>
      <c r="P1198" s="2">
        <f t="shared" si="55"/>
        <v>-1.0534779923319854E-2</v>
      </c>
      <c r="Q1198" s="4">
        <f t="shared" si="56"/>
        <v>17.870140750000001</v>
      </c>
    </row>
    <row r="1199" spans="1:17" x14ac:dyDescent="0.4">
      <c r="A1199">
        <v>20210825</v>
      </c>
      <c r="B1199" s="1">
        <v>0.9375</v>
      </c>
      <c r="C1199">
        <v>21350</v>
      </c>
      <c r="D1199">
        <v>297977</v>
      </c>
      <c r="E1199">
        <v>-179869</v>
      </c>
      <c r="F1199">
        <v>-22384</v>
      </c>
      <c r="G1199">
        <v>34616</v>
      </c>
      <c r="H1199">
        <v>-105517</v>
      </c>
      <c r="I1199">
        <v>41041</v>
      </c>
      <c r="J1199">
        <v>24326</v>
      </c>
      <c r="K1199">
        <v>-32726</v>
      </c>
      <c r="L1199">
        <v>-14479</v>
      </c>
      <c r="M1199">
        <v>7.95</v>
      </c>
      <c r="N1199">
        <f t="shared" si="54"/>
        <v>64335</v>
      </c>
      <c r="O1199">
        <v>21329150</v>
      </c>
      <c r="P1199" s="2">
        <f t="shared" si="55"/>
        <v>0.30162946015195169</v>
      </c>
      <c r="Q1199" s="4">
        <f t="shared" si="56"/>
        <v>16.956674249999999</v>
      </c>
    </row>
    <row r="1200" spans="1:17" x14ac:dyDescent="0.4">
      <c r="A1200">
        <v>20210825</v>
      </c>
      <c r="B1200" s="1">
        <v>0.95833333333333337</v>
      </c>
      <c r="C1200">
        <v>37289</v>
      </c>
      <c r="D1200">
        <v>274973</v>
      </c>
      <c r="E1200">
        <v>-313197</v>
      </c>
      <c r="F1200">
        <v>8456</v>
      </c>
      <c r="G1200">
        <v>45627</v>
      </c>
      <c r="H1200">
        <v>-178171</v>
      </c>
      <c r="I1200">
        <v>29130</v>
      </c>
      <c r="J1200">
        <v>11015</v>
      </c>
      <c r="K1200">
        <v>-72617</v>
      </c>
      <c r="L1200">
        <v>-24332</v>
      </c>
      <c r="M1200">
        <v>7.12</v>
      </c>
      <c r="N1200">
        <f t="shared" si="54"/>
        <v>-181827</v>
      </c>
      <c r="O1200">
        <v>21136900</v>
      </c>
      <c r="P1200" s="2">
        <f t="shared" si="55"/>
        <v>-0.86023494457560001</v>
      </c>
      <c r="Q1200" s="4">
        <f t="shared" si="56"/>
        <v>15.0494728</v>
      </c>
    </row>
    <row r="1201" spans="1:17" x14ac:dyDescent="0.4">
      <c r="A1201">
        <v>20210825</v>
      </c>
      <c r="B1201" s="1">
        <v>0.97916666666666663</v>
      </c>
      <c r="C1201">
        <v>69200</v>
      </c>
      <c r="D1201">
        <v>250519</v>
      </c>
      <c r="E1201">
        <v>-260747</v>
      </c>
      <c r="F1201">
        <v>-56872</v>
      </c>
      <c r="G1201">
        <v>42899</v>
      </c>
      <c r="H1201">
        <v>-169946</v>
      </c>
      <c r="I1201">
        <v>30947</v>
      </c>
      <c r="J1201">
        <v>20596</v>
      </c>
      <c r="K1201">
        <v>1634</v>
      </c>
      <c r="L1201">
        <v>-14317</v>
      </c>
      <c r="M1201">
        <v>6.91</v>
      </c>
      <c r="N1201">
        <f t="shared" si="54"/>
        <v>-86087</v>
      </c>
      <c r="O1201">
        <v>20326750</v>
      </c>
      <c r="P1201" s="2">
        <f t="shared" si="55"/>
        <v>-0.42351581044682501</v>
      </c>
      <c r="Q1201" s="4">
        <f t="shared" si="56"/>
        <v>14.045784250000001</v>
      </c>
    </row>
    <row r="1202" spans="1:17" x14ac:dyDescent="0.4">
      <c r="A1202">
        <v>20210826</v>
      </c>
      <c r="B1202" s="1">
        <v>0</v>
      </c>
      <c r="C1202">
        <v>27522</v>
      </c>
      <c r="D1202">
        <v>142823</v>
      </c>
      <c r="E1202">
        <v>-342155</v>
      </c>
      <c r="F1202">
        <v>-175018</v>
      </c>
      <c r="G1202">
        <v>63580</v>
      </c>
      <c r="H1202">
        <v>-24235</v>
      </c>
      <c r="I1202">
        <v>12012</v>
      </c>
      <c r="J1202">
        <v>11472</v>
      </c>
      <c r="K1202">
        <v>-102189</v>
      </c>
      <c r="L1202">
        <v>-20129</v>
      </c>
      <c r="M1202">
        <v>6.97</v>
      </c>
      <c r="N1202">
        <f t="shared" si="54"/>
        <v>-406317</v>
      </c>
      <c r="O1202">
        <v>18818400</v>
      </c>
      <c r="P1202" s="2">
        <f t="shared" si="55"/>
        <v>-2.1591474301747224</v>
      </c>
      <c r="Q1202" s="4">
        <f t="shared" si="56"/>
        <v>13.116424800000001</v>
      </c>
    </row>
    <row r="1203" spans="1:17" x14ac:dyDescent="0.4">
      <c r="A1203">
        <v>20210826</v>
      </c>
      <c r="B1203" s="1">
        <v>2.0833333333333332E-2</v>
      </c>
      <c r="C1203">
        <v>45218</v>
      </c>
      <c r="D1203">
        <v>176171</v>
      </c>
      <c r="E1203">
        <v>-348129</v>
      </c>
      <c r="F1203">
        <v>-133080</v>
      </c>
      <c r="G1203">
        <v>77613</v>
      </c>
      <c r="H1203">
        <v>-78909</v>
      </c>
      <c r="I1203">
        <v>25164</v>
      </c>
      <c r="J1203">
        <v>-916</v>
      </c>
      <c r="K1203">
        <v>-78172</v>
      </c>
      <c r="L1203">
        <v>-13505</v>
      </c>
      <c r="M1203">
        <v>6.86</v>
      </c>
      <c r="N1203">
        <f t="shared" si="54"/>
        <v>-328545</v>
      </c>
      <c r="O1203">
        <v>20077300</v>
      </c>
      <c r="P1203" s="2">
        <f t="shared" si="55"/>
        <v>-1.6364003127910625</v>
      </c>
      <c r="Q1203" s="4">
        <f t="shared" si="56"/>
        <v>13.773027799999999</v>
      </c>
    </row>
    <row r="1204" spans="1:17" x14ac:dyDescent="0.4">
      <c r="A1204">
        <v>20210826</v>
      </c>
      <c r="B1204" s="1">
        <v>4.1666666666666664E-2</v>
      </c>
      <c r="C1204">
        <v>27616</v>
      </c>
      <c r="D1204">
        <v>205593</v>
      </c>
      <c r="E1204">
        <v>-348453</v>
      </c>
      <c r="F1204">
        <v>-93654</v>
      </c>
      <c r="G1204">
        <v>67370</v>
      </c>
      <c r="H1204">
        <v>-114897</v>
      </c>
      <c r="I1204">
        <v>-30954</v>
      </c>
      <c r="J1204">
        <v>-119</v>
      </c>
      <c r="K1204">
        <v>-90459</v>
      </c>
      <c r="L1204">
        <v>-21495</v>
      </c>
      <c r="M1204">
        <v>6.73</v>
      </c>
      <c r="N1204">
        <f t="shared" si="54"/>
        <v>-399452</v>
      </c>
      <c r="O1204">
        <v>20265400</v>
      </c>
      <c r="P1204" s="2">
        <f t="shared" si="55"/>
        <v>-1.971103457123965</v>
      </c>
      <c r="Q1204" s="4">
        <f t="shared" si="56"/>
        <v>13.638614199999999</v>
      </c>
    </row>
    <row r="1205" spans="1:17" x14ac:dyDescent="0.4">
      <c r="A1205">
        <v>20210826</v>
      </c>
      <c r="B1205" s="1">
        <v>6.25E-2</v>
      </c>
      <c r="C1205">
        <v>27514</v>
      </c>
      <c r="D1205">
        <v>244308</v>
      </c>
      <c r="E1205">
        <v>-364675</v>
      </c>
      <c r="F1205">
        <v>-80868</v>
      </c>
      <c r="G1205">
        <v>49892</v>
      </c>
      <c r="H1205">
        <v>-138523</v>
      </c>
      <c r="I1205">
        <v>-15158</v>
      </c>
      <c r="J1205">
        <v>-3200</v>
      </c>
      <c r="K1205">
        <v>-67577</v>
      </c>
      <c r="L1205">
        <v>-16174</v>
      </c>
      <c r="M1205">
        <v>6.73</v>
      </c>
      <c r="N1205">
        <f t="shared" si="54"/>
        <v>-364461</v>
      </c>
      <c r="O1205">
        <v>20412550</v>
      </c>
      <c r="P1205" s="2">
        <f t="shared" si="55"/>
        <v>-1.7854751121246488</v>
      </c>
      <c r="Q1205" s="4">
        <f t="shared" si="56"/>
        <v>13.73764615</v>
      </c>
    </row>
    <row r="1206" spans="1:17" x14ac:dyDescent="0.4">
      <c r="A1206">
        <v>20210826</v>
      </c>
      <c r="B1206" s="1">
        <v>8.3333333333333329E-2</v>
      </c>
      <c r="C1206">
        <v>45934</v>
      </c>
      <c r="D1206">
        <v>305145</v>
      </c>
      <c r="E1206">
        <v>-306104</v>
      </c>
      <c r="F1206">
        <v>-3887</v>
      </c>
      <c r="G1206">
        <v>50261</v>
      </c>
      <c r="H1206">
        <v>-96389</v>
      </c>
      <c r="I1206">
        <v>-35716</v>
      </c>
      <c r="J1206">
        <v>5866</v>
      </c>
      <c r="K1206">
        <v>1333</v>
      </c>
      <c r="L1206">
        <v>-10890</v>
      </c>
      <c r="M1206">
        <v>6.78</v>
      </c>
      <c r="N1206">
        <f t="shared" si="54"/>
        <v>-44447</v>
      </c>
      <c r="O1206">
        <v>20526850</v>
      </c>
      <c r="P1206" s="2">
        <f t="shared" si="55"/>
        <v>-0.21653103130777493</v>
      </c>
      <c r="Q1206" s="4">
        <f t="shared" si="56"/>
        <v>13.9172043</v>
      </c>
    </row>
    <row r="1207" spans="1:17" x14ac:dyDescent="0.4">
      <c r="A1207">
        <v>20210826</v>
      </c>
      <c r="B1207" s="1">
        <v>0.10416666666666667</v>
      </c>
      <c r="C1207">
        <v>28763</v>
      </c>
      <c r="D1207">
        <v>307963</v>
      </c>
      <c r="E1207">
        <v>-373688</v>
      </c>
      <c r="F1207">
        <v>17200</v>
      </c>
      <c r="G1207">
        <v>36906</v>
      </c>
      <c r="H1207">
        <v>-82910</v>
      </c>
      <c r="I1207">
        <v>-14062</v>
      </c>
      <c r="J1207">
        <v>-1582</v>
      </c>
      <c r="K1207">
        <v>-125965</v>
      </c>
      <c r="L1207">
        <v>-16065</v>
      </c>
      <c r="M1207">
        <v>6.78</v>
      </c>
      <c r="N1207">
        <f t="shared" si="54"/>
        <v>-223440</v>
      </c>
      <c r="O1207">
        <v>20909000</v>
      </c>
      <c r="P1207" s="2">
        <f t="shared" si="55"/>
        <v>-1.0686307331771008</v>
      </c>
      <c r="Q1207" s="4">
        <f t="shared" si="56"/>
        <v>14.176302</v>
      </c>
    </row>
    <row r="1208" spans="1:17" x14ac:dyDescent="0.4">
      <c r="A1208">
        <v>20210826</v>
      </c>
      <c r="B1208" s="1">
        <v>0.125</v>
      </c>
      <c r="C1208">
        <v>17562</v>
      </c>
      <c r="D1208">
        <v>250929</v>
      </c>
      <c r="E1208">
        <v>-273270</v>
      </c>
      <c r="F1208">
        <v>40745</v>
      </c>
      <c r="G1208">
        <v>60768</v>
      </c>
      <c r="H1208">
        <v>-104406</v>
      </c>
      <c r="I1208">
        <v>-13702</v>
      </c>
      <c r="J1208">
        <v>9774</v>
      </c>
      <c r="K1208">
        <v>-38273</v>
      </c>
      <c r="L1208">
        <v>-12071</v>
      </c>
      <c r="M1208">
        <v>6.85</v>
      </c>
      <c r="N1208">
        <f t="shared" si="54"/>
        <v>-61944</v>
      </c>
      <c r="O1208">
        <v>21384300</v>
      </c>
      <c r="P1208" s="2">
        <f t="shared" si="55"/>
        <v>-0.28967045916864242</v>
      </c>
      <c r="Q1208" s="4">
        <f t="shared" si="56"/>
        <v>14.6482455</v>
      </c>
    </row>
    <row r="1209" spans="1:17" x14ac:dyDescent="0.4">
      <c r="A1209">
        <v>20210826</v>
      </c>
      <c r="B1209" s="1">
        <v>0.14583333333333334</v>
      </c>
      <c r="C1209">
        <v>-5929</v>
      </c>
      <c r="D1209">
        <v>337185</v>
      </c>
      <c r="E1209">
        <v>-289945</v>
      </c>
      <c r="F1209">
        <v>38829</v>
      </c>
      <c r="G1209">
        <v>41682</v>
      </c>
      <c r="H1209">
        <v>-65226</v>
      </c>
      <c r="I1209">
        <v>17432</v>
      </c>
      <c r="J1209">
        <v>6808</v>
      </c>
      <c r="K1209">
        <v>-11879</v>
      </c>
      <c r="L1209">
        <v>-7881</v>
      </c>
      <c r="M1209">
        <v>6.85</v>
      </c>
      <c r="N1209">
        <f t="shared" si="54"/>
        <v>61076</v>
      </c>
      <c r="O1209">
        <v>21471800</v>
      </c>
      <c r="P1209" s="2">
        <f t="shared" si="55"/>
        <v>0.28444750789407502</v>
      </c>
      <c r="Q1209" s="4">
        <f t="shared" si="56"/>
        <v>14.708183</v>
      </c>
    </row>
    <row r="1210" spans="1:17" x14ac:dyDescent="0.4">
      <c r="A1210">
        <v>20210826</v>
      </c>
      <c r="B1210" s="1">
        <v>0.16666666666666666</v>
      </c>
      <c r="C1210">
        <v>-30246</v>
      </c>
      <c r="D1210">
        <v>323644</v>
      </c>
      <c r="E1210">
        <v>-308800</v>
      </c>
      <c r="F1210">
        <v>41969</v>
      </c>
      <c r="G1210">
        <v>39709</v>
      </c>
      <c r="H1210">
        <v>-17989</v>
      </c>
      <c r="I1210">
        <v>37274</v>
      </c>
      <c r="J1210">
        <v>22424</v>
      </c>
      <c r="K1210">
        <v>9483</v>
      </c>
      <c r="L1210">
        <v>-11391</v>
      </c>
      <c r="M1210">
        <v>6.76</v>
      </c>
      <c r="N1210">
        <f t="shared" si="54"/>
        <v>106077</v>
      </c>
      <c r="O1210">
        <v>21457450</v>
      </c>
      <c r="P1210" s="2">
        <f t="shared" si="55"/>
        <v>0.49435976781956847</v>
      </c>
      <c r="Q1210" s="4">
        <f t="shared" si="56"/>
        <v>14.505236200000001</v>
      </c>
    </row>
    <row r="1211" spans="1:17" x14ac:dyDescent="0.4">
      <c r="A1211">
        <v>20210826</v>
      </c>
      <c r="B1211" s="1">
        <v>0.1875</v>
      </c>
      <c r="C1211">
        <v>-3067</v>
      </c>
      <c r="D1211">
        <v>328789</v>
      </c>
      <c r="E1211">
        <v>-296619</v>
      </c>
      <c r="F1211">
        <v>127028</v>
      </c>
      <c r="G1211">
        <v>29163</v>
      </c>
      <c r="H1211">
        <v>-66167</v>
      </c>
      <c r="I1211">
        <v>-2239</v>
      </c>
      <c r="J1211">
        <v>11375</v>
      </c>
      <c r="K1211">
        <v>28357</v>
      </c>
      <c r="L1211">
        <v>-15661</v>
      </c>
      <c r="M1211">
        <v>6.85</v>
      </c>
      <c r="N1211">
        <f t="shared" si="54"/>
        <v>140959</v>
      </c>
      <c r="O1211">
        <v>21373800</v>
      </c>
      <c r="P1211" s="2">
        <f t="shared" si="55"/>
        <v>0.65949433418484316</v>
      </c>
      <c r="Q1211" s="4">
        <f t="shared" si="56"/>
        <v>14.641052999999999</v>
      </c>
    </row>
    <row r="1212" spans="1:17" x14ac:dyDescent="0.4">
      <c r="A1212">
        <v>20210826</v>
      </c>
      <c r="B1212" s="1">
        <v>0.20833333333333334</v>
      </c>
      <c r="C1212">
        <v>-27381</v>
      </c>
      <c r="D1212">
        <v>297226</v>
      </c>
      <c r="E1212">
        <v>-362246</v>
      </c>
      <c r="F1212">
        <v>19464</v>
      </c>
      <c r="G1212">
        <v>55921</v>
      </c>
      <c r="H1212">
        <v>-77960</v>
      </c>
      <c r="I1212">
        <v>23286</v>
      </c>
      <c r="J1212">
        <v>11005</v>
      </c>
      <c r="K1212">
        <v>22098</v>
      </c>
      <c r="L1212">
        <v>-15446</v>
      </c>
      <c r="M1212">
        <v>6.85</v>
      </c>
      <c r="N1212">
        <f t="shared" si="54"/>
        <v>-54033</v>
      </c>
      <c r="O1212">
        <v>21252950</v>
      </c>
      <c r="P1212" s="2">
        <f t="shared" si="55"/>
        <v>-0.25423764700900348</v>
      </c>
      <c r="Q1212" s="4">
        <f t="shared" si="56"/>
        <v>14.55827075</v>
      </c>
    </row>
    <row r="1213" spans="1:17" x14ac:dyDescent="0.4">
      <c r="A1213">
        <v>20210826</v>
      </c>
      <c r="B1213" s="1">
        <v>0.22916666666666666</v>
      </c>
      <c r="C1213">
        <v>6903</v>
      </c>
      <c r="D1213">
        <v>203210</v>
      </c>
      <c r="E1213">
        <v>-207986</v>
      </c>
      <c r="F1213">
        <v>106808</v>
      </c>
      <c r="G1213">
        <v>48095</v>
      </c>
      <c r="H1213">
        <v>30510</v>
      </c>
      <c r="I1213">
        <v>508</v>
      </c>
      <c r="J1213">
        <v>10349</v>
      </c>
      <c r="K1213">
        <v>65661</v>
      </c>
      <c r="L1213">
        <v>-14725</v>
      </c>
      <c r="M1213">
        <v>6.91</v>
      </c>
      <c r="N1213">
        <f t="shared" si="54"/>
        <v>249333</v>
      </c>
      <c r="O1213">
        <v>21283250</v>
      </c>
      <c r="P1213" s="2">
        <f t="shared" si="55"/>
        <v>1.1714987137772661</v>
      </c>
      <c r="Q1213" s="4">
        <f t="shared" si="56"/>
        <v>14.70672575</v>
      </c>
    </row>
    <row r="1214" spans="1:17" x14ac:dyDescent="0.4">
      <c r="A1214">
        <v>20210826</v>
      </c>
      <c r="B1214" s="1">
        <v>0.25</v>
      </c>
      <c r="C1214">
        <v>-38743</v>
      </c>
      <c r="D1214">
        <v>285140</v>
      </c>
      <c r="E1214">
        <v>-358932</v>
      </c>
      <c r="F1214">
        <v>-48023</v>
      </c>
      <c r="G1214">
        <v>30093</v>
      </c>
      <c r="H1214">
        <v>-85953</v>
      </c>
      <c r="I1214">
        <v>-83331</v>
      </c>
      <c r="J1214">
        <v>35522</v>
      </c>
      <c r="K1214">
        <v>64845</v>
      </c>
      <c r="L1214">
        <v>-7201</v>
      </c>
      <c r="M1214">
        <v>6.85</v>
      </c>
      <c r="N1214">
        <f t="shared" si="54"/>
        <v>-206583</v>
      </c>
      <c r="O1214">
        <v>21673100</v>
      </c>
      <c r="P1214" s="2">
        <f t="shared" si="55"/>
        <v>-0.95317697975831794</v>
      </c>
      <c r="Q1214" s="4">
        <f t="shared" si="56"/>
        <v>14.846073499999999</v>
      </c>
    </row>
    <row r="1215" spans="1:17" x14ac:dyDescent="0.4">
      <c r="A1215">
        <v>20210826</v>
      </c>
      <c r="B1215" s="1">
        <v>0.27083333333333331</v>
      </c>
      <c r="C1215">
        <v>9503</v>
      </c>
      <c r="D1215">
        <v>385210</v>
      </c>
      <c r="E1215">
        <v>-545331</v>
      </c>
      <c r="F1215">
        <v>2948</v>
      </c>
      <c r="G1215">
        <v>44386</v>
      </c>
      <c r="H1215">
        <v>-76687</v>
      </c>
      <c r="I1215">
        <v>-154542</v>
      </c>
      <c r="J1215">
        <v>15326</v>
      </c>
      <c r="K1215">
        <v>-78840</v>
      </c>
      <c r="L1215">
        <v>-15102</v>
      </c>
      <c r="M1215">
        <v>6.85</v>
      </c>
      <c r="N1215">
        <f t="shared" si="54"/>
        <v>-413129</v>
      </c>
      <c r="O1215">
        <v>22125500</v>
      </c>
      <c r="P1215" s="2">
        <f t="shared" si="55"/>
        <v>-1.8672075207339947</v>
      </c>
      <c r="Q1215" s="4">
        <f t="shared" si="56"/>
        <v>15.155967499999999</v>
      </c>
    </row>
    <row r="1216" spans="1:17" x14ac:dyDescent="0.4">
      <c r="A1216">
        <v>20210826</v>
      </c>
      <c r="B1216" s="1">
        <v>0.29166666666666669</v>
      </c>
      <c r="C1216">
        <v>28859</v>
      </c>
      <c r="D1216">
        <v>480746</v>
      </c>
      <c r="E1216">
        <v>-791945</v>
      </c>
      <c r="F1216">
        <v>-7165</v>
      </c>
      <c r="G1216">
        <v>46864</v>
      </c>
      <c r="H1216">
        <v>-185121</v>
      </c>
      <c r="I1216">
        <v>-184764</v>
      </c>
      <c r="J1216">
        <v>14890</v>
      </c>
      <c r="K1216">
        <v>-167916</v>
      </c>
      <c r="L1216">
        <v>-7002</v>
      </c>
      <c r="M1216">
        <v>6.91</v>
      </c>
      <c r="N1216">
        <f t="shared" si="54"/>
        <v>-772554</v>
      </c>
      <c r="O1216">
        <v>22825700</v>
      </c>
      <c r="P1216" s="2">
        <f t="shared" si="55"/>
        <v>-3.3845796623980862</v>
      </c>
      <c r="Q1216" s="4">
        <f t="shared" si="56"/>
        <v>15.772558699999999</v>
      </c>
    </row>
    <row r="1217" spans="1:17" x14ac:dyDescent="0.4">
      <c r="A1217">
        <v>20210826</v>
      </c>
      <c r="B1217" s="1">
        <v>0.3125</v>
      </c>
      <c r="C1217">
        <v>-9191</v>
      </c>
      <c r="D1217">
        <v>548993</v>
      </c>
      <c r="E1217">
        <v>-744732</v>
      </c>
      <c r="F1217">
        <v>17488</v>
      </c>
      <c r="G1217">
        <v>30191</v>
      </c>
      <c r="H1217">
        <v>-261447</v>
      </c>
      <c r="I1217">
        <v>-197532</v>
      </c>
      <c r="J1217">
        <v>26587</v>
      </c>
      <c r="K1217">
        <v>-277608</v>
      </c>
      <c r="L1217">
        <v>-18765</v>
      </c>
      <c r="M1217">
        <v>6.92</v>
      </c>
      <c r="N1217">
        <f t="shared" si="54"/>
        <v>-886016</v>
      </c>
      <c r="O1217">
        <v>23326400</v>
      </c>
      <c r="P1217" s="2">
        <f t="shared" si="55"/>
        <v>-3.7983400781946637</v>
      </c>
      <c r="Q1217" s="4">
        <f t="shared" si="56"/>
        <v>16.141868800000001</v>
      </c>
    </row>
    <row r="1218" spans="1:17" x14ac:dyDescent="0.4">
      <c r="A1218">
        <v>20210826</v>
      </c>
      <c r="B1218" s="1">
        <v>0.33333333333333331</v>
      </c>
      <c r="C1218">
        <v>-34324</v>
      </c>
      <c r="D1218">
        <v>832074</v>
      </c>
      <c r="E1218">
        <v>-873800</v>
      </c>
      <c r="F1218">
        <v>-304345</v>
      </c>
      <c r="G1218">
        <v>-44803</v>
      </c>
      <c r="H1218">
        <v>-288998</v>
      </c>
      <c r="I1218">
        <v>-315885</v>
      </c>
      <c r="J1218">
        <v>45811</v>
      </c>
      <c r="K1218">
        <v>-381900</v>
      </c>
      <c r="L1218">
        <v>-7077</v>
      </c>
      <c r="M1218">
        <v>7.1</v>
      </c>
      <c r="N1218">
        <f t="shared" si="54"/>
        <v>-1373247</v>
      </c>
      <c r="O1218">
        <v>24381750</v>
      </c>
      <c r="P1218" s="2">
        <f t="shared" si="55"/>
        <v>-5.6322741394690699</v>
      </c>
      <c r="Q1218" s="4">
        <f t="shared" si="56"/>
        <v>17.311042499999999</v>
      </c>
    </row>
    <row r="1219" spans="1:17" x14ac:dyDescent="0.4">
      <c r="A1219">
        <v>20210826</v>
      </c>
      <c r="B1219" s="1">
        <v>0.35416666666666669</v>
      </c>
      <c r="C1219">
        <v>64446</v>
      </c>
      <c r="D1219">
        <v>741547</v>
      </c>
      <c r="E1219">
        <v>-976313</v>
      </c>
      <c r="F1219">
        <v>-249263</v>
      </c>
      <c r="G1219">
        <v>-84638</v>
      </c>
      <c r="H1219">
        <v>-360294</v>
      </c>
      <c r="I1219">
        <v>-458873</v>
      </c>
      <c r="J1219">
        <v>10390</v>
      </c>
      <c r="K1219">
        <v>-397314</v>
      </c>
      <c r="L1219">
        <v>-16932</v>
      </c>
      <c r="M1219">
        <v>7.1</v>
      </c>
      <c r="N1219">
        <f t="shared" ref="N1219:N1282" si="57">C1219+D1219+E1219+F1219+G1219+H1219+I1219+J1219+K1219+L1219</f>
        <v>-1727244</v>
      </c>
      <c r="O1219">
        <v>25120700</v>
      </c>
      <c r="P1219" s="2">
        <f t="shared" ref="P1219:P1282" si="58">((N1219*100)/O1219)</f>
        <v>-6.8757797354373089</v>
      </c>
      <c r="Q1219" s="4">
        <f t="shared" ref="Q1219:Q1282" si="59">(M1219*O1219)/10^7</f>
        <v>17.835697</v>
      </c>
    </row>
    <row r="1220" spans="1:17" x14ac:dyDescent="0.4">
      <c r="A1220">
        <v>20210826</v>
      </c>
      <c r="B1220" s="1">
        <v>0.375</v>
      </c>
      <c r="C1220">
        <v>64334</v>
      </c>
      <c r="D1220">
        <v>647341</v>
      </c>
      <c r="E1220">
        <v>-1115550</v>
      </c>
      <c r="F1220">
        <v>-220871</v>
      </c>
      <c r="G1220">
        <v>-3160</v>
      </c>
      <c r="H1220">
        <v>-444060</v>
      </c>
      <c r="I1220">
        <v>-492130</v>
      </c>
      <c r="J1220">
        <v>-39175</v>
      </c>
      <c r="K1220">
        <v>-456792</v>
      </c>
      <c r="L1220">
        <v>-9785</v>
      </c>
      <c r="M1220">
        <v>8.0399999999999991</v>
      </c>
      <c r="N1220">
        <f t="shared" si="57"/>
        <v>-2069848</v>
      </c>
      <c r="O1220">
        <v>25771050</v>
      </c>
      <c r="P1220" s="2">
        <f t="shared" si="58"/>
        <v>-8.0316789575900085</v>
      </c>
      <c r="Q1220" s="4">
        <f t="shared" si="59"/>
        <v>20.719924199999998</v>
      </c>
    </row>
    <row r="1221" spans="1:17" x14ac:dyDescent="0.4">
      <c r="A1221">
        <v>20210826</v>
      </c>
      <c r="B1221" s="1">
        <v>0.39583333333333331</v>
      </c>
      <c r="C1221">
        <v>97813</v>
      </c>
      <c r="D1221">
        <v>512225</v>
      </c>
      <c r="E1221">
        <v>-1026380</v>
      </c>
      <c r="F1221">
        <v>-258241</v>
      </c>
      <c r="G1221">
        <v>-3779</v>
      </c>
      <c r="H1221">
        <v>-540349</v>
      </c>
      <c r="I1221">
        <v>-381239</v>
      </c>
      <c r="J1221">
        <v>-97991</v>
      </c>
      <c r="K1221">
        <v>-442679</v>
      </c>
      <c r="L1221">
        <v>-8814</v>
      </c>
      <c r="M1221">
        <v>8.39</v>
      </c>
      <c r="N1221">
        <f t="shared" si="57"/>
        <v>-2149434</v>
      </c>
      <c r="O1221">
        <v>26033500</v>
      </c>
      <c r="P1221" s="2">
        <f t="shared" si="58"/>
        <v>-8.2564157719860951</v>
      </c>
      <c r="Q1221" s="4">
        <f t="shared" si="59"/>
        <v>21.8421065</v>
      </c>
    </row>
    <row r="1222" spans="1:17" x14ac:dyDescent="0.4">
      <c r="A1222">
        <v>20210826</v>
      </c>
      <c r="B1222" s="1">
        <v>0.41666666666666669</v>
      </c>
      <c r="C1222">
        <v>144255</v>
      </c>
      <c r="D1222">
        <v>304646</v>
      </c>
      <c r="E1222">
        <v>-1115111</v>
      </c>
      <c r="F1222">
        <v>-439577</v>
      </c>
      <c r="G1222">
        <v>-12506</v>
      </c>
      <c r="H1222">
        <v>-514385</v>
      </c>
      <c r="I1222">
        <v>-351442</v>
      </c>
      <c r="J1222">
        <v>-125270</v>
      </c>
      <c r="K1222">
        <v>-345563</v>
      </c>
      <c r="L1222">
        <v>-7268</v>
      </c>
      <c r="M1222">
        <v>8.39</v>
      </c>
      <c r="N1222">
        <f t="shared" si="57"/>
        <v>-2462221</v>
      </c>
      <c r="O1222">
        <v>26270750</v>
      </c>
      <c r="P1222" s="2">
        <f t="shared" si="58"/>
        <v>-9.3724808008907239</v>
      </c>
      <c r="Q1222" s="4">
        <f t="shared" si="59"/>
        <v>22.041159250000003</v>
      </c>
    </row>
    <row r="1223" spans="1:17" x14ac:dyDescent="0.4">
      <c r="A1223">
        <v>20210826</v>
      </c>
      <c r="B1223" s="1">
        <v>0.4375</v>
      </c>
      <c r="C1223">
        <v>179831</v>
      </c>
      <c r="D1223">
        <v>117544</v>
      </c>
      <c r="E1223">
        <v>-1191752</v>
      </c>
      <c r="F1223">
        <v>-550911</v>
      </c>
      <c r="G1223">
        <v>-4432</v>
      </c>
      <c r="H1223">
        <v>-511012</v>
      </c>
      <c r="I1223">
        <v>-189197</v>
      </c>
      <c r="J1223">
        <v>-150198</v>
      </c>
      <c r="K1223">
        <v>-306834</v>
      </c>
      <c r="L1223">
        <v>-9430</v>
      </c>
      <c r="M1223">
        <v>8.39</v>
      </c>
      <c r="N1223">
        <f t="shared" si="57"/>
        <v>-2616391</v>
      </c>
      <c r="O1223">
        <v>26421450</v>
      </c>
      <c r="P1223" s="2">
        <f t="shared" si="58"/>
        <v>-9.9025261671861315</v>
      </c>
      <c r="Q1223" s="4">
        <f t="shared" si="59"/>
        <v>22.167596550000003</v>
      </c>
    </row>
    <row r="1224" spans="1:17" x14ac:dyDescent="0.4">
      <c r="A1224">
        <v>20210826</v>
      </c>
      <c r="B1224" s="1">
        <v>0.45833333333333331</v>
      </c>
      <c r="C1224">
        <v>115406</v>
      </c>
      <c r="D1224">
        <v>-152832</v>
      </c>
      <c r="E1224">
        <v>-1141944</v>
      </c>
      <c r="F1224">
        <v>-509394</v>
      </c>
      <c r="G1224">
        <v>20449</v>
      </c>
      <c r="H1224">
        <v>-500715</v>
      </c>
      <c r="I1224">
        <v>-219684</v>
      </c>
      <c r="J1224">
        <v>-123426</v>
      </c>
      <c r="K1224">
        <v>-190605</v>
      </c>
      <c r="L1224">
        <v>7384</v>
      </c>
      <c r="M1224">
        <v>8.86</v>
      </c>
      <c r="N1224">
        <f t="shared" si="57"/>
        <v>-2695361</v>
      </c>
      <c r="O1224">
        <v>26787300</v>
      </c>
      <c r="P1224" s="2">
        <f t="shared" si="58"/>
        <v>-10.062085391211507</v>
      </c>
      <c r="Q1224" s="4">
        <f t="shared" si="59"/>
        <v>23.733547799999997</v>
      </c>
    </row>
    <row r="1225" spans="1:17" x14ac:dyDescent="0.4">
      <c r="A1225">
        <v>20210826</v>
      </c>
      <c r="B1225" s="1">
        <v>0.47916666666666669</v>
      </c>
      <c r="C1225">
        <v>86544</v>
      </c>
      <c r="D1225">
        <v>-269735</v>
      </c>
      <c r="E1225">
        <v>-1159450</v>
      </c>
      <c r="F1225">
        <v>-440477</v>
      </c>
      <c r="G1225">
        <v>2262</v>
      </c>
      <c r="H1225">
        <v>-536558</v>
      </c>
      <c r="I1225">
        <v>-230275</v>
      </c>
      <c r="J1225">
        <v>-167008</v>
      </c>
      <c r="K1225">
        <v>-276295</v>
      </c>
      <c r="L1225">
        <v>2989</v>
      </c>
      <c r="M1225">
        <v>8.86</v>
      </c>
      <c r="N1225">
        <f t="shared" si="57"/>
        <v>-2988003</v>
      </c>
      <c r="O1225">
        <v>26837550</v>
      </c>
      <c r="P1225" s="2">
        <f t="shared" si="58"/>
        <v>-11.133665330851736</v>
      </c>
      <c r="Q1225" s="4">
        <f t="shared" si="59"/>
        <v>23.778069299999999</v>
      </c>
    </row>
    <row r="1226" spans="1:17" x14ac:dyDescent="0.4">
      <c r="A1226">
        <v>20210826</v>
      </c>
      <c r="B1226" s="1">
        <v>0.5</v>
      </c>
      <c r="C1226">
        <v>136327</v>
      </c>
      <c r="D1226">
        <v>-378664</v>
      </c>
      <c r="E1226">
        <v>-1282049</v>
      </c>
      <c r="F1226">
        <v>-385291</v>
      </c>
      <c r="G1226">
        <v>-100990</v>
      </c>
      <c r="H1226">
        <v>-442597</v>
      </c>
      <c r="I1226">
        <v>-306469</v>
      </c>
      <c r="J1226">
        <v>-200856</v>
      </c>
      <c r="K1226">
        <v>-232312</v>
      </c>
      <c r="L1226">
        <v>-3966</v>
      </c>
      <c r="M1226">
        <v>8.39</v>
      </c>
      <c r="N1226">
        <f t="shared" si="57"/>
        <v>-3196867</v>
      </c>
      <c r="O1226">
        <v>26859700</v>
      </c>
      <c r="P1226" s="2">
        <f t="shared" si="58"/>
        <v>-11.902094960107522</v>
      </c>
      <c r="Q1226" s="4">
        <f t="shared" si="59"/>
        <v>22.535288300000001</v>
      </c>
    </row>
    <row r="1227" spans="1:17" x14ac:dyDescent="0.4">
      <c r="A1227">
        <v>20210826</v>
      </c>
      <c r="B1227" s="1">
        <v>0.52083333333333337</v>
      </c>
      <c r="C1227">
        <v>96973</v>
      </c>
      <c r="D1227">
        <v>-316801</v>
      </c>
      <c r="E1227">
        <v>-1102727</v>
      </c>
      <c r="F1227">
        <v>-362066</v>
      </c>
      <c r="G1227">
        <v>-116097</v>
      </c>
      <c r="H1227">
        <v>-579828</v>
      </c>
      <c r="I1227">
        <v>-164747</v>
      </c>
      <c r="J1227">
        <v>-190481</v>
      </c>
      <c r="K1227">
        <v>-425963</v>
      </c>
      <c r="L1227">
        <v>-5482</v>
      </c>
      <c r="M1227">
        <v>8.6300000000000008</v>
      </c>
      <c r="N1227">
        <f t="shared" si="57"/>
        <v>-3167219</v>
      </c>
      <c r="O1227">
        <v>26651700</v>
      </c>
      <c r="P1227" s="2">
        <f t="shared" si="58"/>
        <v>-11.883740999636046</v>
      </c>
      <c r="Q1227" s="4">
        <f t="shared" si="59"/>
        <v>23.000417100000004</v>
      </c>
    </row>
    <row r="1228" spans="1:17" x14ac:dyDescent="0.4">
      <c r="A1228">
        <v>20210826</v>
      </c>
      <c r="B1228" s="1">
        <v>0.54166666666666663</v>
      </c>
      <c r="C1228">
        <v>28780</v>
      </c>
      <c r="D1228">
        <v>-316543</v>
      </c>
      <c r="E1228">
        <v>-1250676</v>
      </c>
      <c r="F1228">
        <v>-474950</v>
      </c>
      <c r="G1228">
        <v>-61400</v>
      </c>
      <c r="H1228">
        <v>-500599</v>
      </c>
      <c r="I1228">
        <v>132580</v>
      </c>
      <c r="J1228">
        <v>-169613</v>
      </c>
      <c r="K1228">
        <v>-370236</v>
      </c>
      <c r="L1228">
        <v>-20366</v>
      </c>
      <c r="M1228">
        <v>9.68</v>
      </c>
      <c r="N1228">
        <f t="shared" si="57"/>
        <v>-3003023</v>
      </c>
      <c r="O1228">
        <v>25644600</v>
      </c>
      <c r="P1228" s="2">
        <f t="shared" si="58"/>
        <v>-11.710157304071812</v>
      </c>
      <c r="Q1228" s="4">
        <f t="shared" si="59"/>
        <v>24.8239728</v>
      </c>
    </row>
    <row r="1229" spans="1:17" x14ac:dyDescent="0.4">
      <c r="A1229">
        <v>20210826</v>
      </c>
      <c r="B1229" s="1">
        <v>0.5625</v>
      </c>
      <c r="C1229">
        <v>69808</v>
      </c>
      <c r="D1229">
        <v>-198897</v>
      </c>
      <c r="E1229">
        <v>-978430</v>
      </c>
      <c r="F1229">
        <v>-586831</v>
      </c>
      <c r="G1229">
        <v>37432</v>
      </c>
      <c r="H1229">
        <v>-327589</v>
      </c>
      <c r="I1229">
        <v>153453</v>
      </c>
      <c r="J1229">
        <v>-164397</v>
      </c>
      <c r="K1229">
        <v>-426840</v>
      </c>
      <c r="L1229">
        <v>-22354</v>
      </c>
      <c r="M1229">
        <v>9.9</v>
      </c>
      <c r="N1229">
        <f t="shared" si="57"/>
        <v>-2444645</v>
      </c>
      <c r="O1229">
        <v>25339950</v>
      </c>
      <c r="P1229" s="2">
        <f t="shared" si="58"/>
        <v>-9.6473947265089315</v>
      </c>
      <c r="Q1229" s="4">
        <f t="shared" si="59"/>
        <v>25.086550500000001</v>
      </c>
    </row>
    <row r="1230" spans="1:17" x14ac:dyDescent="0.4">
      <c r="A1230">
        <v>20210826</v>
      </c>
      <c r="B1230" s="1">
        <v>0.58333333333333337</v>
      </c>
      <c r="C1230">
        <v>73523</v>
      </c>
      <c r="D1230">
        <v>22129</v>
      </c>
      <c r="E1230">
        <v>-883708</v>
      </c>
      <c r="F1230">
        <v>-625656</v>
      </c>
      <c r="G1230">
        <v>-56555</v>
      </c>
      <c r="H1230">
        <v>-196898</v>
      </c>
      <c r="I1230">
        <v>-15388</v>
      </c>
      <c r="J1230">
        <v>-177482</v>
      </c>
      <c r="K1230">
        <v>-421336</v>
      </c>
      <c r="L1230">
        <v>-16142</v>
      </c>
      <c r="M1230">
        <v>10.32</v>
      </c>
      <c r="N1230">
        <f t="shared" si="57"/>
        <v>-2297513</v>
      </c>
      <c r="O1230">
        <v>25018150</v>
      </c>
      <c r="P1230" s="2">
        <f t="shared" si="58"/>
        <v>-9.1833848625897598</v>
      </c>
      <c r="Q1230" s="4">
        <f t="shared" si="59"/>
        <v>25.818730800000001</v>
      </c>
    </row>
    <row r="1231" spans="1:17" x14ac:dyDescent="0.4">
      <c r="A1231">
        <v>20210826</v>
      </c>
      <c r="B1231" s="1">
        <v>0.60416666666666663</v>
      </c>
      <c r="C1231">
        <v>46109</v>
      </c>
      <c r="D1231">
        <v>48555</v>
      </c>
      <c r="E1231">
        <v>-743579</v>
      </c>
      <c r="F1231">
        <v>-570596</v>
      </c>
      <c r="G1231">
        <v>-45906</v>
      </c>
      <c r="H1231">
        <v>9776</v>
      </c>
      <c r="I1231">
        <v>-21958</v>
      </c>
      <c r="J1231">
        <v>-173057</v>
      </c>
      <c r="K1231">
        <v>-507542</v>
      </c>
      <c r="L1231">
        <v>-18474</v>
      </c>
      <c r="M1231">
        <v>10.32</v>
      </c>
      <c r="N1231">
        <f t="shared" si="57"/>
        <v>-1976672</v>
      </c>
      <c r="O1231">
        <v>24725550</v>
      </c>
      <c r="P1231" s="2">
        <f t="shared" si="58"/>
        <v>-7.9944510840001533</v>
      </c>
      <c r="Q1231" s="4">
        <f t="shared" si="59"/>
        <v>25.516767600000001</v>
      </c>
    </row>
    <row r="1232" spans="1:17" x14ac:dyDescent="0.4">
      <c r="A1232">
        <v>20210826</v>
      </c>
      <c r="B1232" s="1">
        <v>0.625</v>
      </c>
      <c r="C1232">
        <v>62152</v>
      </c>
      <c r="D1232">
        <v>-31991</v>
      </c>
      <c r="E1232">
        <v>-730290</v>
      </c>
      <c r="F1232">
        <v>-609869</v>
      </c>
      <c r="G1232">
        <v>-34956</v>
      </c>
      <c r="H1232">
        <v>235913</v>
      </c>
      <c r="I1232">
        <v>135624</v>
      </c>
      <c r="J1232">
        <v>-195343</v>
      </c>
      <c r="K1232">
        <v>-347826</v>
      </c>
      <c r="L1232">
        <v>-13568</v>
      </c>
      <c r="M1232">
        <v>10.74</v>
      </c>
      <c r="N1232">
        <f t="shared" si="57"/>
        <v>-1530154</v>
      </c>
      <c r="O1232">
        <v>24465950</v>
      </c>
      <c r="P1232" s="2">
        <f t="shared" si="58"/>
        <v>-6.2542186181202855</v>
      </c>
      <c r="Q1232" s="4">
        <f t="shared" si="59"/>
        <v>26.276430300000001</v>
      </c>
    </row>
    <row r="1233" spans="1:17" x14ac:dyDescent="0.4">
      <c r="A1233">
        <v>20210826</v>
      </c>
      <c r="B1233" s="1">
        <v>0.64583333333333337</v>
      </c>
      <c r="C1233">
        <v>49164</v>
      </c>
      <c r="D1233">
        <v>-105811</v>
      </c>
      <c r="E1233">
        <v>-776501</v>
      </c>
      <c r="F1233">
        <v>-544482</v>
      </c>
      <c r="G1233">
        <v>-8805</v>
      </c>
      <c r="H1233">
        <v>224979</v>
      </c>
      <c r="I1233">
        <v>177861</v>
      </c>
      <c r="J1233">
        <v>-149560</v>
      </c>
      <c r="K1233">
        <v>-266878</v>
      </c>
      <c r="L1233">
        <v>-25919</v>
      </c>
      <c r="M1233">
        <v>12.19</v>
      </c>
      <c r="N1233">
        <f t="shared" si="57"/>
        <v>-1425952</v>
      </c>
      <c r="O1233">
        <v>23990350</v>
      </c>
      <c r="P1233" s="2">
        <f t="shared" si="58"/>
        <v>-5.943856592338169</v>
      </c>
      <c r="Q1233" s="4">
        <f t="shared" si="59"/>
        <v>29.244236650000001</v>
      </c>
    </row>
    <row r="1234" spans="1:17" x14ac:dyDescent="0.4">
      <c r="A1234">
        <v>20210826</v>
      </c>
      <c r="B1234" s="1">
        <v>0.66666666666666663</v>
      </c>
      <c r="C1234">
        <v>-22024</v>
      </c>
      <c r="D1234">
        <v>-84049</v>
      </c>
      <c r="E1234">
        <v>-1291433</v>
      </c>
      <c r="F1234">
        <v>-520559</v>
      </c>
      <c r="G1234">
        <v>-6154</v>
      </c>
      <c r="H1234">
        <v>229398</v>
      </c>
      <c r="I1234">
        <v>294204</v>
      </c>
      <c r="J1234">
        <v>-120565</v>
      </c>
      <c r="K1234">
        <v>-304618</v>
      </c>
      <c r="L1234">
        <v>-46461</v>
      </c>
      <c r="M1234">
        <v>15.86</v>
      </c>
      <c r="N1234">
        <f t="shared" si="57"/>
        <v>-1872261</v>
      </c>
      <c r="O1234">
        <v>24365950</v>
      </c>
      <c r="P1234" s="2">
        <f t="shared" si="58"/>
        <v>-7.6839236721736688</v>
      </c>
      <c r="Q1234" s="4">
        <f t="shared" si="59"/>
        <v>38.644396700000001</v>
      </c>
    </row>
    <row r="1235" spans="1:17" x14ac:dyDescent="0.4">
      <c r="A1235">
        <v>20210826</v>
      </c>
      <c r="B1235" s="1">
        <v>0.6875</v>
      </c>
      <c r="C1235">
        <v>-13462</v>
      </c>
      <c r="D1235">
        <v>-120114</v>
      </c>
      <c r="E1235">
        <v>-1439669</v>
      </c>
      <c r="F1235">
        <v>-390224</v>
      </c>
      <c r="G1235">
        <v>7379</v>
      </c>
      <c r="H1235">
        <v>197380</v>
      </c>
      <c r="I1235">
        <v>254892</v>
      </c>
      <c r="J1235">
        <v>-94522</v>
      </c>
      <c r="K1235">
        <v>-188106</v>
      </c>
      <c r="L1235">
        <v>-53645</v>
      </c>
      <c r="M1235">
        <v>18</v>
      </c>
      <c r="N1235">
        <f t="shared" si="57"/>
        <v>-1840091</v>
      </c>
      <c r="O1235">
        <v>23669200</v>
      </c>
      <c r="P1235" s="2">
        <f t="shared" si="58"/>
        <v>-7.7742002264546333</v>
      </c>
      <c r="Q1235" s="4">
        <f t="shared" si="59"/>
        <v>42.604559999999999</v>
      </c>
    </row>
    <row r="1236" spans="1:17" x14ac:dyDescent="0.4">
      <c r="A1236">
        <v>20210826</v>
      </c>
      <c r="B1236" s="1">
        <v>0.70833333333333337</v>
      </c>
      <c r="C1236">
        <v>13006</v>
      </c>
      <c r="D1236">
        <v>-122765</v>
      </c>
      <c r="E1236">
        <v>-1157102</v>
      </c>
      <c r="F1236">
        <v>-129816</v>
      </c>
      <c r="G1236">
        <v>45858</v>
      </c>
      <c r="H1236">
        <v>161214</v>
      </c>
      <c r="I1236">
        <v>145363</v>
      </c>
      <c r="J1236">
        <v>-35153</v>
      </c>
      <c r="K1236">
        <v>-117391</v>
      </c>
      <c r="L1236">
        <v>-37123</v>
      </c>
      <c r="M1236">
        <v>15.86</v>
      </c>
      <c r="N1236">
        <f t="shared" si="57"/>
        <v>-1233909</v>
      </c>
      <c r="O1236">
        <v>23204850</v>
      </c>
      <c r="P1236" s="2">
        <f t="shared" si="58"/>
        <v>-5.3174616513358197</v>
      </c>
      <c r="Q1236" s="4">
        <f t="shared" si="59"/>
        <v>36.802892100000001</v>
      </c>
    </row>
    <row r="1237" spans="1:17" x14ac:dyDescent="0.4">
      <c r="A1237">
        <v>20210826</v>
      </c>
      <c r="B1237" s="1">
        <v>0.72916666666666663</v>
      </c>
      <c r="C1237">
        <v>16909</v>
      </c>
      <c r="D1237">
        <v>-133868</v>
      </c>
      <c r="E1237">
        <v>-1221157</v>
      </c>
      <c r="F1237">
        <v>35171</v>
      </c>
      <c r="G1237">
        <v>40572</v>
      </c>
      <c r="H1237">
        <v>-122969</v>
      </c>
      <c r="I1237">
        <v>62922</v>
      </c>
      <c r="J1237">
        <v>-18936</v>
      </c>
      <c r="K1237">
        <v>-57532</v>
      </c>
      <c r="L1237">
        <v>-39353</v>
      </c>
      <c r="M1237">
        <v>17.23</v>
      </c>
      <c r="N1237">
        <f t="shared" si="57"/>
        <v>-1438241</v>
      </c>
      <c r="O1237">
        <v>22804600</v>
      </c>
      <c r="P1237" s="2">
        <f t="shared" si="58"/>
        <v>-6.3068021364110747</v>
      </c>
      <c r="Q1237" s="4">
        <f t="shared" si="59"/>
        <v>39.2923258</v>
      </c>
    </row>
    <row r="1238" spans="1:17" x14ac:dyDescent="0.4">
      <c r="A1238">
        <v>20210826</v>
      </c>
      <c r="B1238" s="1">
        <v>0.75</v>
      </c>
      <c r="C1238">
        <v>24725</v>
      </c>
      <c r="D1238">
        <v>18474</v>
      </c>
      <c r="E1238">
        <v>-995441</v>
      </c>
      <c r="F1238">
        <v>85255</v>
      </c>
      <c r="G1238">
        <v>68998</v>
      </c>
      <c r="H1238">
        <v>272587</v>
      </c>
      <c r="I1238">
        <v>113076</v>
      </c>
      <c r="J1238">
        <v>10413</v>
      </c>
      <c r="K1238">
        <v>7599</v>
      </c>
      <c r="L1238">
        <v>-39352</v>
      </c>
      <c r="M1238">
        <v>18</v>
      </c>
      <c r="N1238">
        <f t="shared" si="57"/>
        <v>-433666</v>
      </c>
      <c r="O1238">
        <v>21995500</v>
      </c>
      <c r="P1238" s="2">
        <f t="shared" si="58"/>
        <v>-1.9716123752585757</v>
      </c>
      <c r="Q1238" s="4">
        <f t="shared" si="59"/>
        <v>39.591900000000003</v>
      </c>
    </row>
    <row r="1239" spans="1:17" x14ac:dyDescent="0.4">
      <c r="A1239">
        <v>20210826</v>
      </c>
      <c r="B1239" s="1">
        <v>0.77083333333333337</v>
      </c>
      <c r="C1239">
        <v>-64552</v>
      </c>
      <c r="D1239">
        <v>-2422</v>
      </c>
      <c r="E1239">
        <v>-873991</v>
      </c>
      <c r="F1239">
        <v>32241</v>
      </c>
      <c r="G1239">
        <v>39864</v>
      </c>
      <c r="H1239">
        <v>68390</v>
      </c>
      <c r="I1239">
        <v>-41540</v>
      </c>
      <c r="J1239">
        <v>-739</v>
      </c>
      <c r="K1239">
        <v>54538</v>
      </c>
      <c r="L1239">
        <v>-37729</v>
      </c>
      <c r="M1239">
        <v>17.010000000000002</v>
      </c>
      <c r="N1239">
        <f t="shared" si="57"/>
        <v>-825940</v>
      </c>
      <c r="O1239">
        <v>22215350</v>
      </c>
      <c r="P1239" s="2">
        <f t="shared" si="58"/>
        <v>-3.7178797543140214</v>
      </c>
      <c r="Q1239" s="4">
        <f t="shared" si="59"/>
        <v>37.788310350000003</v>
      </c>
    </row>
    <row r="1240" spans="1:17" x14ac:dyDescent="0.4">
      <c r="A1240">
        <v>20210826</v>
      </c>
      <c r="B1240" s="1">
        <v>0.79166666666666663</v>
      </c>
      <c r="C1240">
        <v>-5881</v>
      </c>
      <c r="D1240">
        <v>39653</v>
      </c>
      <c r="E1240">
        <v>-877273</v>
      </c>
      <c r="F1240">
        <v>98410</v>
      </c>
      <c r="G1240">
        <v>21103</v>
      </c>
      <c r="H1240">
        <v>201</v>
      </c>
      <c r="I1240">
        <v>-7766</v>
      </c>
      <c r="J1240">
        <v>-2572</v>
      </c>
      <c r="K1240">
        <v>-14539</v>
      </c>
      <c r="L1240">
        <v>-38054</v>
      </c>
      <c r="M1240">
        <v>12.36</v>
      </c>
      <c r="N1240">
        <f t="shared" si="57"/>
        <v>-786718</v>
      </c>
      <c r="O1240">
        <v>22378450</v>
      </c>
      <c r="P1240" s="2">
        <f t="shared" si="58"/>
        <v>-3.5155160433363348</v>
      </c>
      <c r="Q1240" s="4">
        <f t="shared" si="59"/>
        <v>27.659764200000001</v>
      </c>
    </row>
    <row r="1241" spans="1:17" x14ac:dyDescent="0.4">
      <c r="A1241">
        <v>20210826</v>
      </c>
      <c r="B1241" s="1">
        <v>0.8125</v>
      </c>
      <c r="C1241">
        <v>22703</v>
      </c>
      <c r="D1241">
        <v>-5025</v>
      </c>
      <c r="E1241">
        <v>-857588</v>
      </c>
      <c r="F1241">
        <v>131773</v>
      </c>
      <c r="G1241">
        <v>17197</v>
      </c>
      <c r="H1241">
        <v>57571</v>
      </c>
      <c r="I1241">
        <v>-27635</v>
      </c>
      <c r="J1241">
        <v>2518</v>
      </c>
      <c r="K1241">
        <v>58332</v>
      </c>
      <c r="L1241">
        <v>-31739</v>
      </c>
      <c r="M1241">
        <v>10.26</v>
      </c>
      <c r="N1241">
        <f t="shared" si="57"/>
        <v>-631893</v>
      </c>
      <c r="O1241">
        <v>22526850</v>
      </c>
      <c r="P1241" s="2">
        <f t="shared" si="58"/>
        <v>-2.8050659546274779</v>
      </c>
      <c r="Q1241" s="4">
        <f t="shared" si="59"/>
        <v>23.112548100000001</v>
      </c>
    </row>
    <row r="1242" spans="1:17" x14ac:dyDescent="0.4">
      <c r="A1242">
        <v>20210826</v>
      </c>
      <c r="B1242" s="1">
        <v>0.83333333333333337</v>
      </c>
      <c r="C1242">
        <v>56684</v>
      </c>
      <c r="D1242">
        <v>39953</v>
      </c>
      <c r="E1242">
        <v>-887666</v>
      </c>
      <c r="F1242">
        <v>275827</v>
      </c>
      <c r="G1242">
        <v>23298</v>
      </c>
      <c r="H1242">
        <v>56894</v>
      </c>
      <c r="I1242">
        <v>-67956</v>
      </c>
      <c r="J1242">
        <v>12870</v>
      </c>
      <c r="K1242">
        <v>-14410</v>
      </c>
      <c r="L1242">
        <v>-34801</v>
      </c>
      <c r="M1242">
        <v>10.17</v>
      </c>
      <c r="N1242">
        <f t="shared" si="57"/>
        <v>-539307</v>
      </c>
      <c r="O1242">
        <v>21607350</v>
      </c>
      <c r="P1242" s="2">
        <f t="shared" si="58"/>
        <v>-2.4959423529493434</v>
      </c>
      <c r="Q1242" s="4">
        <f t="shared" si="59"/>
        <v>21.974674950000001</v>
      </c>
    </row>
    <row r="1243" spans="1:17" x14ac:dyDescent="0.4">
      <c r="A1243">
        <v>20210826</v>
      </c>
      <c r="B1243" s="1">
        <v>0.85416666666666663</v>
      </c>
      <c r="C1243">
        <v>40042</v>
      </c>
      <c r="D1243">
        <v>-37037</v>
      </c>
      <c r="E1243">
        <v>-870415</v>
      </c>
      <c r="F1243">
        <v>202291</v>
      </c>
      <c r="G1243">
        <v>-3363</v>
      </c>
      <c r="H1243">
        <v>58268</v>
      </c>
      <c r="I1243">
        <v>-59385</v>
      </c>
      <c r="J1243">
        <v>7691</v>
      </c>
      <c r="K1243">
        <v>-30564</v>
      </c>
      <c r="L1243">
        <v>-23894</v>
      </c>
      <c r="M1243">
        <v>10.01</v>
      </c>
      <c r="N1243">
        <f t="shared" si="57"/>
        <v>-716366</v>
      </c>
      <c r="O1243">
        <v>21742650</v>
      </c>
      <c r="P1243" s="2">
        <f t="shared" si="58"/>
        <v>-3.2947501799458667</v>
      </c>
      <c r="Q1243" s="4">
        <f t="shared" si="59"/>
        <v>21.764392650000001</v>
      </c>
    </row>
    <row r="1244" spans="1:17" x14ac:dyDescent="0.4">
      <c r="A1244">
        <v>20210826</v>
      </c>
      <c r="B1244" s="1">
        <v>0.875</v>
      </c>
      <c r="C1244">
        <v>61679</v>
      </c>
      <c r="D1244">
        <v>-15088</v>
      </c>
      <c r="E1244">
        <v>-732737</v>
      </c>
      <c r="F1244">
        <v>154793</v>
      </c>
      <c r="G1244">
        <v>-25493</v>
      </c>
      <c r="H1244">
        <v>60064</v>
      </c>
      <c r="I1244">
        <v>-32974</v>
      </c>
      <c r="J1244">
        <v>39142</v>
      </c>
      <c r="K1244">
        <v>25369</v>
      </c>
      <c r="L1244">
        <v>-30289</v>
      </c>
      <c r="M1244">
        <v>9.68</v>
      </c>
      <c r="N1244">
        <f t="shared" si="57"/>
        <v>-495534</v>
      </c>
      <c r="O1244">
        <v>21706100</v>
      </c>
      <c r="P1244" s="2">
        <f t="shared" si="58"/>
        <v>-2.2829250763610229</v>
      </c>
      <c r="Q1244" s="4">
        <f t="shared" si="59"/>
        <v>21.011504800000001</v>
      </c>
    </row>
    <row r="1245" spans="1:17" x14ac:dyDescent="0.4">
      <c r="A1245">
        <v>20210826</v>
      </c>
      <c r="B1245" s="1">
        <v>0.89583333333333337</v>
      </c>
      <c r="C1245">
        <v>26284</v>
      </c>
      <c r="D1245">
        <v>1213</v>
      </c>
      <c r="E1245">
        <v>-754222</v>
      </c>
      <c r="F1245">
        <v>47031</v>
      </c>
      <c r="G1245">
        <v>-6015</v>
      </c>
      <c r="H1245">
        <v>52082</v>
      </c>
      <c r="I1245">
        <v>-38212</v>
      </c>
      <c r="J1245">
        <v>25650</v>
      </c>
      <c r="K1245">
        <v>22024</v>
      </c>
      <c r="L1245">
        <v>-25184</v>
      </c>
      <c r="M1245">
        <v>9.2799999999999994</v>
      </c>
      <c r="N1245">
        <f t="shared" si="57"/>
        <v>-649349</v>
      </c>
      <c r="O1245">
        <v>21673400</v>
      </c>
      <c r="P1245" s="2">
        <f t="shared" si="58"/>
        <v>-2.9960643000175331</v>
      </c>
      <c r="Q1245" s="4">
        <f t="shared" si="59"/>
        <v>20.1129152</v>
      </c>
    </row>
    <row r="1246" spans="1:17" x14ac:dyDescent="0.4">
      <c r="A1246">
        <v>20210826</v>
      </c>
      <c r="B1246" s="1">
        <v>0.91666666666666663</v>
      </c>
      <c r="C1246">
        <v>16627</v>
      </c>
      <c r="D1246">
        <v>43729</v>
      </c>
      <c r="E1246">
        <v>-769304</v>
      </c>
      <c r="F1246">
        <v>24223</v>
      </c>
      <c r="G1246">
        <v>1588</v>
      </c>
      <c r="H1246">
        <v>-3955</v>
      </c>
      <c r="I1246">
        <v>-52448</v>
      </c>
      <c r="J1246">
        <v>33487</v>
      </c>
      <c r="K1246">
        <v>-22258</v>
      </c>
      <c r="L1246">
        <v>-42823</v>
      </c>
      <c r="M1246">
        <v>8.99</v>
      </c>
      <c r="N1246">
        <f t="shared" si="57"/>
        <v>-771134</v>
      </c>
      <c r="O1246">
        <v>21356350</v>
      </c>
      <c r="P1246" s="2">
        <f t="shared" si="58"/>
        <v>-3.6107949157978774</v>
      </c>
      <c r="Q1246" s="4">
        <f t="shared" si="59"/>
        <v>19.199358650000001</v>
      </c>
    </row>
    <row r="1247" spans="1:17" x14ac:dyDescent="0.4">
      <c r="A1247">
        <v>20210826</v>
      </c>
      <c r="B1247" s="1">
        <v>0.9375</v>
      </c>
      <c r="C1247">
        <v>41854</v>
      </c>
      <c r="D1247">
        <v>-13093</v>
      </c>
      <c r="E1247">
        <v>-684715</v>
      </c>
      <c r="F1247">
        <v>26666</v>
      </c>
      <c r="G1247">
        <v>6550</v>
      </c>
      <c r="H1247">
        <v>29087</v>
      </c>
      <c r="I1247">
        <v>-42637</v>
      </c>
      <c r="J1247">
        <v>16667</v>
      </c>
      <c r="K1247">
        <v>-48832</v>
      </c>
      <c r="L1247">
        <v>-36178</v>
      </c>
      <c r="M1247">
        <v>8.39</v>
      </c>
      <c r="N1247">
        <f t="shared" si="57"/>
        <v>-704631</v>
      </c>
      <c r="O1247">
        <v>21390350</v>
      </c>
      <c r="P1247" s="2">
        <f t="shared" si="58"/>
        <v>-3.2941536720998021</v>
      </c>
      <c r="Q1247" s="4">
        <f t="shared" si="59"/>
        <v>17.94650365</v>
      </c>
    </row>
    <row r="1248" spans="1:17" x14ac:dyDescent="0.4">
      <c r="A1248">
        <v>20210826</v>
      </c>
      <c r="B1248" s="1">
        <v>0.95833333333333337</v>
      </c>
      <c r="C1248">
        <v>35375</v>
      </c>
      <c r="D1248">
        <v>52483</v>
      </c>
      <c r="E1248">
        <v>-367017</v>
      </c>
      <c r="F1248">
        <v>13891</v>
      </c>
      <c r="G1248">
        <v>2420</v>
      </c>
      <c r="H1248">
        <v>-55403</v>
      </c>
      <c r="I1248">
        <v>-16295</v>
      </c>
      <c r="J1248">
        <v>30769</v>
      </c>
      <c r="K1248">
        <v>-55109</v>
      </c>
      <c r="L1248">
        <v>-26287</v>
      </c>
      <c r="M1248">
        <v>7.37</v>
      </c>
      <c r="N1248">
        <f t="shared" si="57"/>
        <v>-385173</v>
      </c>
      <c r="O1248">
        <v>20809900</v>
      </c>
      <c r="P1248" s="2">
        <f t="shared" si="58"/>
        <v>-1.850912306161971</v>
      </c>
      <c r="Q1248" s="4">
        <f t="shared" si="59"/>
        <v>15.336896299999999</v>
      </c>
    </row>
    <row r="1249" spans="1:17" x14ac:dyDescent="0.4">
      <c r="A1249">
        <v>20210826</v>
      </c>
      <c r="B1249" s="1">
        <v>0.97916666666666663</v>
      </c>
      <c r="C1249">
        <v>75455</v>
      </c>
      <c r="D1249">
        <v>-17765</v>
      </c>
      <c r="E1249">
        <v>-628790</v>
      </c>
      <c r="F1249">
        <v>-35735</v>
      </c>
      <c r="G1249">
        <v>6662</v>
      </c>
      <c r="H1249">
        <v>-65128</v>
      </c>
      <c r="I1249">
        <v>-33585</v>
      </c>
      <c r="J1249">
        <v>11963</v>
      </c>
      <c r="K1249">
        <v>-64605</v>
      </c>
      <c r="L1249">
        <v>-19213</v>
      </c>
      <c r="M1249">
        <v>7.02</v>
      </c>
      <c r="N1249">
        <f t="shared" si="57"/>
        <v>-770741</v>
      </c>
      <c r="O1249">
        <v>20047050</v>
      </c>
      <c r="P1249" s="2">
        <f t="shared" si="58"/>
        <v>-3.844660436323549</v>
      </c>
      <c r="Q1249" s="4">
        <f t="shared" si="59"/>
        <v>14.073029099999999</v>
      </c>
    </row>
    <row r="1250" spans="1:17" x14ac:dyDescent="0.4">
      <c r="A1250">
        <v>20210827</v>
      </c>
      <c r="B1250" s="1">
        <v>0</v>
      </c>
      <c r="C1250">
        <v>-17202</v>
      </c>
      <c r="D1250">
        <v>-29616</v>
      </c>
      <c r="E1250">
        <v>-274318</v>
      </c>
      <c r="F1250">
        <v>-49036</v>
      </c>
      <c r="G1250">
        <v>5958</v>
      </c>
      <c r="H1250">
        <v>51875</v>
      </c>
      <c r="I1250">
        <v>23990</v>
      </c>
      <c r="J1250">
        <v>-8366</v>
      </c>
      <c r="K1250">
        <v>-4104</v>
      </c>
      <c r="L1250">
        <v>-29963</v>
      </c>
      <c r="M1250">
        <v>7.11</v>
      </c>
      <c r="N1250">
        <f t="shared" si="57"/>
        <v>-330782</v>
      </c>
      <c r="O1250">
        <v>19356750</v>
      </c>
      <c r="P1250" s="2">
        <f t="shared" si="58"/>
        <v>-1.7088715822645848</v>
      </c>
      <c r="Q1250" s="4">
        <f t="shared" si="59"/>
        <v>13.762649250000001</v>
      </c>
    </row>
    <row r="1251" spans="1:17" x14ac:dyDescent="0.4">
      <c r="A1251">
        <v>20210827</v>
      </c>
      <c r="B1251" s="1">
        <v>2.0833333333333332E-2</v>
      </c>
      <c r="C1251">
        <v>13377</v>
      </c>
      <c r="D1251">
        <v>98555</v>
      </c>
      <c r="E1251">
        <v>-208941</v>
      </c>
      <c r="F1251">
        <v>-52164</v>
      </c>
      <c r="G1251">
        <v>21449</v>
      </c>
      <c r="H1251">
        <v>-18415</v>
      </c>
      <c r="I1251">
        <v>43541</v>
      </c>
      <c r="J1251">
        <v>-10859</v>
      </c>
      <c r="K1251">
        <v>14518</v>
      </c>
      <c r="L1251">
        <v>-24930</v>
      </c>
      <c r="M1251">
        <v>7.08</v>
      </c>
      <c r="N1251">
        <f t="shared" si="57"/>
        <v>-123869</v>
      </c>
      <c r="O1251">
        <v>20597450</v>
      </c>
      <c r="P1251" s="2">
        <f t="shared" si="58"/>
        <v>-0.60138026794578936</v>
      </c>
      <c r="Q1251" s="4">
        <f t="shared" si="59"/>
        <v>14.582994599999999</v>
      </c>
    </row>
    <row r="1252" spans="1:17" x14ac:dyDescent="0.4">
      <c r="A1252">
        <v>20210827</v>
      </c>
      <c r="B1252" s="1">
        <v>4.1666666666666664E-2</v>
      </c>
      <c r="C1252">
        <v>-18558</v>
      </c>
      <c r="D1252">
        <v>74156</v>
      </c>
      <c r="E1252">
        <v>-330777</v>
      </c>
      <c r="F1252">
        <v>-94941</v>
      </c>
      <c r="G1252">
        <v>3612</v>
      </c>
      <c r="H1252">
        <v>-81255</v>
      </c>
      <c r="I1252">
        <v>7184</v>
      </c>
      <c r="J1252">
        <v>-7377</v>
      </c>
      <c r="K1252">
        <v>13136</v>
      </c>
      <c r="L1252">
        <v>-21590</v>
      </c>
      <c r="M1252">
        <v>6.98</v>
      </c>
      <c r="N1252">
        <f t="shared" si="57"/>
        <v>-456410</v>
      </c>
      <c r="O1252">
        <v>20792100</v>
      </c>
      <c r="P1252" s="2">
        <f t="shared" si="58"/>
        <v>-2.1951125667921949</v>
      </c>
      <c r="Q1252" s="4">
        <f t="shared" si="59"/>
        <v>14.512885799999999</v>
      </c>
    </row>
    <row r="1253" spans="1:17" x14ac:dyDescent="0.4">
      <c r="A1253">
        <v>20210827</v>
      </c>
      <c r="B1253" s="1">
        <v>6.25E-2</v>
      </c>
      <c r="C1253">
        <v>-18877</v>
      </c>
      <c r="D1253">
        <v>108885</v>
      </c>
      <c r="E1253">
        <v>-230765</v>
      </c>
      <c r="F1253">
        <v>-59118</v>
      </c>
      <c r="G1253">
        <v>-9852</v>
      </c>
      <c r="H1253">
        <v>-60640</v>
      </c>
      <c r="I1253">
        <v>34214</v>
      </c>
      <c r="J1253">
        <v>-3795</v>
      </c>
      <c r="K1253">
        <v>11385</v>
      </c>
      <c r="L1253">
        <v>-21469</v>
      </c>
      <c r="M1253">
        <v>6.96</v>
      </c>
      <c r="N1253">
        <f t="shared" si="57"/>
        <v>-250032</v>
      </c>
      <c r="O1253">
        <v>20832200</v>
      </c>
      <c r="P1253" s="2">
        <f t="shared" si="58"/>
        <v>-1.2002188919077197</v>
      </c>
      <c r="Q1253" s="4">
        <f t="shared" si="59"/>
        <v>14.4992112</v>
      </c>
    </row>
    <row r="1254" spans="1:17" x14ac:dyDescent="0.4">
      <c r="A1254">
        <v>20210827</v>
      </c>
      <c r="B1254" s="1">
        <v>8.3333333333333329E-2</v>
      </c>
      <c r="C1254">
        <v>7106</v>
      </c>
      <c r="D1254">
        <v>65489</v>
      </c>
      <c r="E1254">
        <v>-275197</v>
      </c>
      <c r="F1254">
        <v>-76200</v>
      </c>
      <c r="G1254">
        <v>-4522</v>
      </c>
      <c r="H1254">
        <v>-149295</v>
      </c>
      <c r="I1254">
        <v>27492</v>
      </c>
      <c r="J1254">
        <v>2800</v>
      </c>
      <c r="K1254">
        <v>6184</v>
      </c>
      <c r="L1254">
        <v>-15226</v>
      </c>
      <c r="M1254">
        <v>6.98</v>
      </c>
      <c r="N1254">
        <f t="shared" si="57"/>
        <v>-411369</v>
      </c>
      <c r="O1254">
        <v>20851450</v>
      </c>
      <c r="P1254" s="2">
        <f t="shared" si="58"/>
        <v>-1.9728556047660954</v>
      </c>
      <c r="Q1254" s="4">
        <f t="shared" si="59"/>
        <v>14.554312100000001</v>
      </c>
    </row>
    <row r="1255" spans="1:17" x14ac:dyDescent="0.4">
      <c r="A1255">
        <v>20210827</v>
      </c>
      <c r="B1255" s="1">
        <v>0.10416666666666667</v>
      </c>
      <c r="C1255">
        <v>-15195</v>
      </c>
      <c r="D1255">
        <v>38601</v>
      </c>
      <c r="E1255">
        <v>-282892</v>
      </c>
      <c r="F1255">
        <v>-52592</v>
      </c>
      <c r="G1255">
        <v>1544</v>
      </c>
      <c r="H1255">
        <v>-119316</v>
      </c>
      <c r="I1255">
        <v>-11503</v>
      </c>
      <c r="J1255">
        <v>-5789</v>
      </c>
      <c r="K1255">
        <v>-51539</v>
      </c>
      <c r="L1255">
        <v>-24855</v>
      </c>
      <c r="M1255">
        <v>6.98</v>
      </c>
      <c r="N1255">
        <f t="shared" si="57"/>
        <v>-523536</v>
      </c>
      <c r="O1255">
        <v>20978300</v>
      </c>
      <c r="P1255" s="2">
        <f t="shared" si="58"/>
        <v>-2.4956073657064679</v>
      </c>
      <c r="Q1255" s="4">
        <f t="shared" si="59"/>
        <v>14.6428534</v>
      </c>
    </row>
    <row r="1256" spans="1:17" x14ac:dyDescent="0.4">
      <c r="A1256">
        <v>20210827</v>
      </c>
      <c r="B1256" s="1">
        <v>0.125</v>
      </c>
      <c r="C1256">
        <v>-44579</v>
      </c>
      <c r="D1256">
        <v>72307</v>
      </c>
      <c r="E1256">
        <v>-251477</v>
      </c>
      <c r="F1256">
        <v>-91156</v>
      </c>
      <c r="G1256">
        <v>-13413</v>
      </c>
      <c r="H1256">
        <v>-114542</v>
      </c>
      <c r="I1256">
        <v>17226</v>
      </c>
      <c r="J1256">
        <v>11615</v>
      </c>
      <c r="K1256">
        <v>7248</v>
      </c>
      <c r="L1256">
        <v>-14096</v>
      </c>
      <c r="M1256">
        <v>6.98</v>
      </c>
      <c r="N1256">
        <f t="shared" si="57"/>
        <v>-420867</v>
      </c>
      <c r="O1256">
        <v>20944800</v>
      </c>
      <c r="P1256" s="2">
        <f t="shared" si="58"/>
        <v>-2.0094104503265728</v>
      </c>
      <c r="Q1256" s="4">
        <f t="shared" si="59"/>
        <v>14.619470400000001</v>
      </c>
    </row>
    <row r="1257" spans="1:17" x14ac:dyDescent="0.4">
      <c r="A1257">
        <v>20210827</v>
      </c>
      <c r="B1257" s="1">
        <v>0.14583333333333334</v>
      </c>
      <c r="C1257">
        <v>-43112</v>
      </c>
      <c r="D1257">
        <v>57475</v>
      </c>
      <c r="E1257">
        <v>-166935</v>
      </c>
      <c r="F1257">
        <v>-47487</v>
      </c>
      <c r="G1257">
        <v>-279</v>
      </c>
      <c r="H1257">
        <v>-121378</v>
      </c>
      <c r="I1257">
        <v>26621</v>
      </c>
      <c r="J1257">
        <v>19015</v>
      </c>
      <c r="K1257">
        <v>24882</v>
      </c>
      <c r="L1257">
        <v>-13840</v>
      </c>
      <c r="M1257">
        <v>6.98</v>
      </c>
      <c r="N1257">
        <f t="shared" si="57"/>
        <v>-265038</v>
      </c>
      <c r="O1257">
        <v>21103700</v>
      </c>
      <c r="P1257" s="2">
        <f t="shared" si="58"/>
        <v>-1.2558840392916881</v>
      </c>
      <c r="Q1257" s="4">
        <f t="shared" si="59"/>
        <v>14.7303826</v>
      </c>
    </row>
    <row r="1258" spans="1:17" x14ac:dyDescent="0.4">
      <c r="A1258">
        <v>20210827</v>
      </c>
      <c r="B1258" s="1">
        <v>0.16666666666666666</v>
      </c>
      <c r="C1258">
        <v>-55691</v>
      </c>
      <c r="D1258">
        <v>51445</v>
      </c>
      <c r="E1258">
        <v>-271825</v>
      </c>
      <c r="F1258">
        <v>-62345</v>
      </c>
      <c r="G1258">
        <v>-2</v>
      </c>
      <c r="H1258">
        <v>-56304</v>
      </c>
      <c r="I1258">
        <v>49364</v>
      </c>
      <c r="J1258">
        <v>29275</v>
      </c>
      <c r="K1258">
        <v>-11013</v>
      </c>
      <c r="L1258">
        <v>-12654</v>
      </c>
      <c r="M1258">
        <v>6.98</v>
      </c>
      <c r="N1258">
        <f t="shared" si="57"/>
        <v>-339750</v>
      </c>
      <c r="O1258">
        <v>21337150</v>
      </c>
      <c r="P1258" s="2">
        <f t="shared" si="58"/>
        <v>-1.5922932537850649</v>
      </c>
      <c r="Q1258" s="4">
        <f t="shared" si="59"/>
        <v>14.8933307</v>
      </c>
    </row>
    <row r="1259" spans="1:17" x14ac:dyDescent="0.4">
      <c r="A1259">
        <v>20210827</v>
      </c>
      <c r="B1259" s="1">
        <v>0.1875</v>
      </c>
      <c r="C1259">
        <v>-27727</v>
      </c>
      <c r="D1259">
        <v>31407</v>
      </c>
      <c r="E1259">
        <v>111721</v>
      </c>
      <c r="F1259">
        <v>-7795</v>
      </c>
      <c r="G1259">
        <v>22558</v>
      </c>
      <c r="H1259">
        <v>-79242</v>
      </c>
      <c r="I1259">
        <v>96479</v>
      </c>
      <c r="J1259">
        <v>30475</v>
      </c>
      <c r="K1259">
        <v>-10877</v>
      </c>
      <c r="L1259">
        <v>-20205</v>
      </c>
      <c r="M1259">
        <v>6.98</v>
      </c>
      <c r="N1259">
        <f t="shared" si="57"/>
        <v>146794</v>
      </c>
      <c r="O1259">
        <v>21301150</v>
      </c>
      <c r="P1259" s="2">
        <f t="shared" si="58"/>
        <v>0.689136502019844</v>
      </c>
      <c r="Q1259" s="4">
        <f t="shared" si="59"/>
        <v>14.868202699999999</v>
      </c>
    </row>
    <row r="1260" spans="1:17" x14ac:dyDescent="0.4">
      <c r="A1260">
        <v>20210827</v>
      </c>
      <c r="B1260" s="1">
        <v>0.20833333333333334</v>
      </c>
      <c r="C1260">
        <v>3708</v>
      </c>
      <c r="D1260">
        <v>7766</v>
      </c>
      <c r="E1260">
        <v>-178456</v>
      </c>
      <c r="F1260">
        <v>49387</v>
      </c>
      <c r="G1260">
        <v>15044</v>
      </c>
      <c r="H1260">
        <v>-129232</v>
      </c>
      <c r="I1260">
        <v>54344</v>
      </c>
      <c r="J1260">
        <v>21110</v>
      </c>
      <c r="K1260">
        <v>-30724</v>
      </c>
      <c r="L1260">
        <v>-14719</v>
      </c>
      <c r="M1260">
        <v>6.97</v>
      </c>
      <c r="N1260">
        <f t="shared" si="57"/>
        <v>-201772</v>
      </c>
      <c r="O1260">
        <v>21305400</v>
      </c>
      <c r="P1260" s="2">
        <f t="shared" si="58"/>
        <v>-0.94704628873431151</v>
      </c>
      <c r="Q1260" s="4">
        <f t="shared" si="59"/>
        <v>14.8498638</v>
      </c>
    </row>
    <row r="1261" spans="1:17" x14ac:dyDescent="0.4">
      <c r="A1261">
        <v>20210827</v>
      </c>
      <c r="B1261" s="1">
        <v>0.22916666666666666</v>
      </c>
      <c r="C1261">
        <v>13982</v>
      </c>
      <c r="D1261">
        <v>75925</v>
      </c>
      <c r="E1261">
        <v>-255988</v>
      </c>
      <c r="F1261">
        <v>139803</v>
      </c>
      <c r="G1261">
        <v>30839</v>
      </c>
      <c r="H1261">
        <v>-93697</v>
      </c>
      <c r="I1261">
        <v>118024</v>
      </c>
      <c r="J1261">
        <v>39605</v>
      </c>
      <c r="K1261">
        <v>-10654</v>
      </c>
      <c r="L1261">
        <v>-18338</v>
      </c>
      <c r="M1261">
        <v>6.98</v>
      </c>
      <c r="N1261">
        <f t="shared" si="57"/>
        <v>39501</v>
      </c>
      <c r="O1261">
        <v>21532550</v>
      </c>
      <c r="P1261" s="2">
        <f t="shared" si="58"/>
        <v>0.18344784988308399</v>
      </c>
      <c r="Q1261" s="4">
        <f t="shared" si="59"/>
        <v>15.0297199</v>
      </c>
    </row>
    <row r="1262" spans="1:17" x14ac:dyDescent="0.4">
      <c r="A1262">
        <v>20210827</v>
      </c>
      <c r="B1262" s="1">
        <v>0.25</v>
      </c>
      <c r="C1262">
        <v>69662</v>
      </c>
      <c r="D1262">
        <v>49250</v>
      </c>
      <c r="E1262">
        <v>-69424</v>
      </c>
      <c r="F1262">
        <v>29146</v>
      </c>
      <c r="G1262">
        <v>21968</v>
      </c>
      <c r="H1262">
        <v>-157358</v>
      </c>
      <c r="I1262">
        <v>110200</v>
      </c>
      <c r="J1262">
        <v>52465</v>
      </c>
      <c r="K1262">
        <v>-48750</v>
      </c>
      <c r="L1262">
        <v>-9577</v>
      </c>
      <c r="M1262">
        <v>7.07</v>
      </c>
      <c r="N1262">
        <f t="shared" si="57"/>
        <v>47582</v>
      </c>
      <c r="O1262">
        <v>21918850</v>
      </c>
      <c r="P1262" s="2">
        <f t="shared" si="58"/>
        <v>0.21708255679472235</v>
      </c>
      <c r="Q1262" s="4">
        <f t="shared" si="59"/>
        <v>15.49662695</v>
      </c>
    </row>
    <row r="1263" spans="1:17" x14ac:dyDescent="0.4">
      <c r="A1263">
        <v>20210827</v>
      </c>
      <c r="B1263" s="1">
        <v>0.27083333333333331</v>
      </c>
      <c r="C1263">
        <v>87744</v>
      </c>
      <c r="D1263">
        <v>155407</v>
      </c>
      <c r="E1263">
        <v>-108866</v>
      </c>
      <c r="F1263">
        <v>-59371</v>
      </c>
      <c r="G1263">
        <v>27723</v>
      </c>
      <c r="H1263">
        <v>-156208</v>
      </c>
      <c r="I1263">
        <v>41237</v>
      </c>
      <c r="J1263">
        <v>59169</v>
      </c>
      <c r="K1263">
        <v>-181040</v>
      </c>
      <c r="L1263">
        <v>-20154</v>
      </c>
      <c r="M1263">
        <v>7.07</v>
      </c>
      <c r="N1263">
        <f t="shared" si="57"/>
        <v>-154359</v>
      </c>
      <c r="O1263">
        <v>22304350</v>
      </c>
      <c r="P1263" s="2">
        <f t="shared" si="58"/>
        <v>-0.69205782728481213</v>
      </c>
      <c r="Q1263" s="4">
        <f t="shared" si="59"/>
        <v>15.769175450000001</v>
      </c>
    </row>
    <row r="1264" spans="1:17" x14ac:dyDescent="0.4">
      <c r="A1264">
        <v>20210827</v>
      </c>
      <c r="B1264" s="1">
        <v>0.29166666666666669</v>
      </c>
      <c r="C1264">
        <v>145265</v>
      </c>
      <c r="D1264">
        <v>226402</v>
      </c>
      <c r="E1264">
        <v>191581</v>
      </c>
      <c r="F1264">
        <v>179480</v>
      </c>
      <c r="G1264">
        <v>17175</v>
      </c>
      <c r="H1264">
        <v>-116653</v>
      </c>
      <c r="I1264">
        <v>-17470</v>
      </c>
      <c r="J1264">
        <v>57491</v>
      </c>
      <c r="K1264">
        <v>-116537</v>
      </c>
      <c r="L1264">
        <v>3579</v>
      </c>
      <c r="M1264">
        <v>7.07</v>
      </c>
      <c r="N1264">
        <f t="shared" si="57"/>
        <v>570313</v>
      </c>
      <c r="O1264">
        <v>22912350</v>
      </c>
      <c r="P1264" s="2">
        <f t="shared" si="58"/>
        <v>2.4891074027762321</v>
      </c>
      <c r="Q1264" s="4">
        <f t="shared" si="59"/>
        <v>16.19903145</v>
      </c>
    </row>
    <row r="1265" spans="1:17" x14ac:dyDescent="0.4">
      <c r="A1265">
        <v>20210827</v>
      </c>
      <c r="B1265" s="1">
        <v>0.3125</v>
      </c>
      <c r="C1265">
        <v>160020</v>
      </c>
      <c r="D1265">
        <v>336568</v>
      </c>
      <c r="E1265">
        <v>-105325</v>
      </c>
      <c r="F1265">
        <v>-10706</v>
      </c>
      <c r="G1265">
        <v>34025</v>
      </c>
      <c r="H1265">
        <v>-141782</v>
      </c>
      <c r="I1265">
        <v>-28405</v>
      </c>
      <c r="J1265">
        <v>94316</v>
      </c>
      <c r="K1265">
        <v>576</v>
      </c>
      <c r="L1265">
        <v>-5589</v>
      </c>
      <c r="M1265">
        <v>7.25</v>
      </c>
      <c r="N1265">
        <f t="shared" si="57"/>
        <v>333698</v>
      </c>
      <c r="O1265">
        <v>23367550</v>
      </c>
      <c r="P1265" s="2">
        <f t="shared" si="58"/>
        <v>1.4280401668125242</v>
      </c>
      <c r="Q1265" s="4">
        <f t="shared" si="59"/>
        <v>16.94147375</v>
      </c>
    </row>
    <row r="1266" spans="1:17" x14ac:dyDescent="0.4">
      <c r="A1266">
        <v>20210827</v>
      </c>
      <c r="B1266" s="1">
        <v>0.33333333333333331</v>
      </c>
      <c r="C1266">
        <v>142239</v>
      </c>
      <c r="D1266">
        <v>251546</v>
      </c>
      <c r="E1266">
        <v>394877</v>
      </c>
      <c r="F1266">
        <v>80154</v>
      </c>
      <c r="G1266">
        <v>108285</v>
      </c>
      <c r="H1266">
        <v>-131702</v>
      </c>
      <c r="I1266">
        <v>95203</v>
      </c>
      <c r="J1266">
        <v>139199</v>
      </c>
      <c r="K1266">
        <v>-32819</v>
      </c>
      <c r="L1266">
        <v>7463</v>
      </c>
      <c r="M1266">
        <v>7.21</v>
      </c>
      <c r="N1266">
        <f t="shared" si="57"/>
        <v>1054445</v>
      </c>
      <c r="O1266">
        <v>24303250</v>
      </c>
      <c r="P1266" s="2">
        <f t="shared" si="58"/>
        <v>4.3386995566436584</v>
      </c>
      <c r="Q1266" s="4">
        <f t="shared" si="59"/>
        <v>17.522643250000002</v>
      </c>
    </row>
    <row r="1267" spans="1:17" x14ac:dyDescent="0.4">
      <c r="A1267">
        <v>20210827</v>
      </c>
      <c r="B1267" s="1">
        <v>0.35416666666666669</v>
      </c>
      <c r="C1267">
        <v>268473</v>
      </c>
      <c r="D1267">
        <v>305544</v>
      </c>
      <c r="E1267">
        <v>-179683</v>
      </c>
      <c r="F1267">
        <v>28270</v>
      </c>
      <c r="G1267">
        <v>140874</v>
      </c>
      <c r="H1267">
        <v>-116370</v>
      </c>
      <c r="I1267">
        <v>205398</v>
      </c>
      <c r="J1267">
        <v>148452</v>
      </c>
      <c r="K1267">
        <v>137850</v>
      </c>
      <c r="L1267">
        <v>-11441</v>
      </c>
      <c r="M1267">
        <v>7.65</v>
      </c>
      <c r="N1267">
        <f t="shared" si="57"/>
        <v>927367</v>
      </c>
      <c r="O1267">
        <v>24541800</v>
      </c>
      <c r="P1267" s="2">
        <f t="shared" si="58"/>
        <v>3.7787244619384071</v>
      </c>
      <c r="Q1267" s="4">
        <f t="shared" si="59"/>
        <v>18.774477000000001</v>
      </c>
    </row>
    <row r="1268" spans="1:17" x14ac:dyDescent="0.4">
      <c r="A1268">
        <v>20210827</v>
      </c>
      <c r="B1268" s="1">
        <v>0.375</v>
      </c>
      <c r="C1268">
        <v>209262</v>
      </c>
      <c r="D1268">
        <v>370445</v>
      </c>
      <c r="E1268">
        <v>-325406</v>
      </c>
      <c r="F1268">
        <v>6757</v>
      </c>
      <c r="G1268">
        <v>135619</v>
      </c>
      <c r="H1268">
        <v>86184</v>
      </c>
      <c r="I1268">
        <v>130490</v>
      </c>
      <c r="J1268">
        <v>129899</v>
      </c>
      <c r="K1268">
        <v>156801</v>
      </c>
      <c r="L1268">
        <v>-20907</v>
      </c>
      <c r="M1268">
        <v>8.39</v>
      </c>
      <c r="N1268">
        <f t="shared" si="57"/>
        <v>879144</v>
      </c>
      <c r="O1268">
        <v>25757450</v>
      </c>
      <c r="P1268" s="2">
        <f t="shared" si="58"/>
        <v>3.4131639583887381</v>
      </c>
      <c r="Q1268" s="4">
        <f t="shared" si="59"/>
        <v>21.610500550000001</v>
      </c>
    </row>
    <row r="1269" spans="1:17" x14ac:dyDescent="0.4">
      <c r="A1269">
        <v>20210827</v>
      </c>
      <c r="B1269" s="1">
        <v>0.39583333333333331</v>
      </c>
      <c r="C1269">
        <v>220247</v>
      </c>
      <c r="D1269">
        <v>460788</v>
      </c>
      <c r="E1269">
        <v>-422921</v>
      </c>
      <c r="F1269">
        <v>245382</v>
      </c>
      <c r="G1269">
        <v>168839</v>
      </c>
      <c r="H1269">
        <v>142924</v>
      </c>
      <c r="I1269">
        <v>10002</v>
      </c>
      <c r="J1269">
        <v>66955</v>
      </c>
      <c r="K1269">
        <v>182917</v>
      </c>
      <c r="L1269">
        <v>-20970</v>
      </c>
      <c r="M1269">
        <v>8.56</v>
      </c>
      <c r="N1269">
        <f t="shared" si="57"/>
        <v>1054163</v>
      </c>
      <c r="O1269">
        <v>26055700</v>
      </c>
      <c r="P1269" s="2">
        <f t="shared" si="58"/>
        <v>4.0458057162156456</v>
      </c>
      <c r="Q1269" s="4">
        <f t="shared" si="59"/>
        <v>22.303679200000001</v>
      </c>
    </row>
    <row r="1270" spans="1:17" x14ac:dyDescent="0.4">
      <c r="A1270">
        <v>20210827</v>
      </c>
      <c r="B1270" s="1">
        <v>0.41666666666666669</v>
      </c>
      <c r="C1270">
        <v>286222</v>
      </c>
      <c r="D1270">
        <v>521366</v>
      </c>
      <c r="E1270">
        <v>-587490</v>
      </c>
      <c r="F1270">
        <v>327341</v>
      </c>
      <c r="G1270">
        <v>188982</v>
      </c>
      <c r="H1270">
        <v>276703</v>
      </c>
      <c r="I1270">
        <v>-8884</v>
      </c>
      <c r="J1270">
        <v>15238</v>
      </c>
      <c r="K1270">
        <v>210394</v>
      </c>
      <c r="L1270">
        <v>-4748</v>
      </c>
      <c r="M1270">
        <v>8.86</v>
      </c>
      <c r="N1270">
        <f t="shared" si="57"/>
        <v>1225124</v>
      </c>
      <c r="O1270">
        <v>26270800</v>
      </c>
      <c r="P1270" s="2">
        <f t="shared" si="58"/>
        <v>4.6634438235607591</v>
      </c>
      <c r="Q1270" s="4">
        <f t="shared" si="59"/>
        <v>23.275928799999996</v>
      </c>
    </row>
    <row r="1271" spans="1:17" x14ac:dyDescent="0.4">
      <c r="A1271">
        <v>20210827</v>
      </c>
      <c r="B1271" s="1">
        <v>0.4375</v>
      </c>
      <c r="C1271">
        <v>288467</v>
      </c>
      <c r="D1271">
        <v>516493</v>
      </c>
      <c r="E1271">
        <v>-804077</v>
      </c>
      <c r="F1271">
        <v>322626</v>
      </c>
      <c r="G1271">
        <v>210270</v>
      </c>
      <c r="H1271">
        <v>299210</v>
      </c>
      <c r="I1271">
        <v>-57486</v>
      </c>
      <c r="J1271">
        <v>-16717</v>
      </c>
      <c r="K1271">
        <v>202505</v>
      </c>
      <c r="L1271">
        <v>-41</v>
      </c>
      <c r="M1271">
        <v>8.86</v>
      </c>
      <c r="N1271">
        <f t="shared" si="57"/>
        <v>961250</v>
      </c>
      <c r="O1271">
        <v>26461950</v>
      </c>
      <c r="P1271" s="2">
        <f t="shared" si="58"/>
        <v>3.6325743189749811</v>
      </c>
      <c r="Q1271" s="4">
        <f t="shared" si="59"/>
        <v>23.445287699999998</v>
      </c>
    </row>
    <row r="1272" spans="1:17" x14ac:dyDescent="0.4">
      <c r="A1272">
        <v>20210827</v>
      </c>
      <c r="B1272" s="1">
        <v>0.45833333333333331</v>
      </c>
      <c r="C1272">
        <v>286445</v>
      </c>
      <c r="D1272">
        <v>441519</v>
      </c>
      <c r="E1272">
        <v>-580318</v>
      </c>
      <c r="F1272">
        <v>72617</v>
      </c>
      <c r="G1272">
        <v>90333</v>
      </c>
      <c r="H1272">
        <v>391389</v>
      </c>
      <c r="I1272">
        <v>-64693</v>
      </c>
      <c r="J1272">
        <v>-26864</v>
      </c>
      <c r="K1272">
        <v>133733</v>
      </c>
      <c r="L1272">
        <v>-1980</v>
      </c>
      <c r="M1272">
        <v>8.86</v>
      </c>
      <c r="N1272">
        <f t="shared" si="57"/>
        <v>742181</v>
      </c>
      <c r="O1272">
        <v>26580550</v>
      </c>
      <c r="P1272" s="2">
        <f t="shared" si="58"/>
        <v>2.7921957973029152</v>
      </c>
      <c r="Q1272" s="4">
        <f t="shared" si="59"/>
        <v>23.550367299999998</v>
      </c>
    </row>
    <row r="1273" spans="1:17" x14ac:dyDescent="0.4">
      <c r="A1273">
        <v>20210827</v>
      </c>
      <c r="B1273" s="1">
        <v>0.47916666666666669</v>
      </c>
      <c r="C1273">
        <v>239460</v>
      </c>
      <c r="D1273">
        <v>478152</v>
      </c>
      <c r="E1273">
        <v>-675635</v>
      </c>
      <c r="F1273">
        <v>45540</v>
      </c>
      <c r="G1273">
        <v>103434</v>
      </c>
      <c r="H1273">
        <v>463788</v>
      </c>
      <c r="I1273">
        <v>-157308</v>
      </c>
      <c r="J1273">
        <v>-20114</v>
      </c>
      <c r="K1273">
        <v>218699</v>
      </c>
      <c r="L1273">
        <v>1217</v>
      </c>
      <c r="M1273">
        <v>9</v>
      </c>
      <c r="N1273">
        <f t="shared" si="57"/>
        <v>697233</v>
      </c>
      <c r="O1273">
        <v>26583000</v>
      </c>
      <c r="P1273" s="2">
        <f t="shared" si="58"/>
        <v>2.6228529511341834</v>
      </c>
      <c r="Q1273" s="4">
        <f t="shared" si="59"/>
        <v>23.924700000000001</v>
      </c>
    </row>
    <row r="1274" spans="1:17" x14ac:dyDescent="0.4">
      <c r="A1274">
        <v>20210827</v>
      </c>
      <c r="B1274" s="1">
        <v>0.5</v>
      </c>
      <c r="C1274">
        <v>179996</v>
      </c>
      <c r="D1274">
        <v>539134</v>
      </c>
      <c r="E1274">
        <v>-758104</v>
      </c>
      <c r="F1274">
        <v>-22966</v>
      </c>
      <c r="G1274">
        <v>85954</v>
      </c>
      <c r="H1274">
        <v>504458</v>
      </c>
      <c r="I1274">
        <v>-225514</v>
      </c>
      <c r="J1274">
        <v>-20267</v>
      </c>
      <c r="K1274">
        <v>268844</v>
      </c>
      <c r="L1274">
        <v>12083</v>
      </c>
      <c r="M1274">
        <v>8.86</v>
      </c>
      <c r="N1274">
        <f t="shared" si="57"/>
        <v>563618</v>
      </c>
      <c r="O1274">
        <v>26597000</v>
      </c>
      <c r="P1274" s="2">
        <f t="shared" si="58"/>
        <v>2.1191036583073277</v>
      </c>
      <c r="Q1274" s="4">
        <f t="shared" si="59"/>
        <v>23.564941999999999</v>
      </c>
    </row>
    <row r="1275" spans="1:17" x14ac:dyDescent="0.4">
      <c r="A1275">
        <v>20210827</v>
      </c>
      <c r="B1275" s="1">
        <v>0.52083333333333337</v>
      </c>
      <c r="C1275">
        <v>139878</v>
      </c>
      <c r="D1275">
        <v>631972</v>
      </c>
      <c r="E1275">
        <v>-764820</v>
      </c>
      <c r="F1275">
        <v>28765</v>
      </c>
      <c r="G1275">
        <v>50917</v>
      </c>
      <c r="H1275">
        <v>538044</v>
      </c>
      <c r="I1275">
        <v>-236700</v>
      </c>
      <c r="J1275">
        <v>-49698</v>
      </c>
      <c r="K1275">
        <v>306465</v>
      </c>
      <c r="L1275">
        <v>18272</v>
      </c>
      <c r="M1275">
        <v>8.9600000000000009</v>
      </c>
      <c r="N1275">
        <f t="shared" si="57"/>
        <v>663095</v>
      </c>
      <c r="O1275">
        <v>26438300</v>
      </c>
      <c r="P1275" s="2">
        <f t="shared" si="58"/>
        <v>2.5080848617346803</v>
      </c>
      <c r="Q1275" s="4">
        <f t="shared" si="59"/>
        <v>23.688716800000002</v>
      </c>
    </row>
    <row r="1276" spans="1:17" x14ac:dyDescent="0.4">
      <c r="A1276">
        <v>20210827</v>
      </c>
      <c r="B1276" s="1">
        <v>0.54166666666666663</v>
      </c>
      <c r="C1276">
        <v>97110</v>
      </c>
      <c r="D1276">
        <v>609587</v>
      </c>
      <c r="E1276">
        <v>-458568</v>
      </c>
      <c r="F1276">
        <v>104565</v>
      </c>
      <c r="G1276">
        <v>77510</v>
      </c>
      <c r="H1276">
        <v>552653</v>
      </c>
      <c r="I1276">
        <v>-301028</v>
      </c>
      <c r="J1276">
        <v>-42895</v>
      </c>
      <c r="K1276">
        <v>266140</v>
      </c>
      <c r="L1276">
        <v>7499</v>
      </c>
      <c r="M1276">
        <v>9.9</v>
      </c>
      <c r="N1276">
        <f t="shared" si="57"/>
        <v>912573</v>
      </c>
      <c r="O1276">
        <v>25522300</v>
      </c>
      <c r="P1276" s="2">
        <f t="shared" si="58"/>
        <v>3.5755907578862405</v>
      </c>
      <c r="Q1276" s="4">
        <f t="shared" si="59"/>
        <v>25.267077</v>
      </c>
    </row>
    <row r="1277" spans="1:17" x14ac:dyDescent="0.4">
      <c r="A1277">
        <v>20210827</v>
      </c>
      <c r="B1277" s="1">
        <v>0.5625</v>
      </c>
      <c r="C1277">
        <v>102571</v>
      </c>
      <c r="D1277">
        <v>617360</v>
      </c>
      <c r="E1277">
        <v>-687148</v>
      </c>
      <c r="F1277">
        <v>65846</v>
      </c>
      <c r="G1277">
        <v>44913</v>
      </c>
      <c r="H1277">
        <v>472634</v>
      </c>
      <c r="I1277">
        <v>-260017</v>
      </c>
      <c r="J1277">
        <v>-59352</v>
      </c>
      <c r="K1277">
        <v>200144</v>
      </c>
      <c r="L1277">
        <v>6114</v>
      </c>
      <c r="M1277">
        <v>10.32</v>
      </c>
      <c r="N1277">
        <f t="shared" si="57"/>
        <v>503065</v>
      </c>
      <c r="O1277">
        <v>25043700</v>
      </c>
      <c r="P1277" s="2">
        <f t="shared" si="58"/>
        <v>2.0087487072597101</v>
      </c>
      <c r="Q1277" s="4">
        <f t="shared" si="59"/>
        <v>25.845098400000001</v>
      </c>
    </row>
    <row r="1278" spans="1:17" x14ac:dyDescent="0.4">
      <c r="A1278">
        <v>20210827</v>
      </c>
      <c r="B1278" s="1">
        <v>0.58333333333333337</v>
      </c>
      <c r="C1278">
        <v>37581</v>
      </c>
      <c r="D1278">
        <v>590474</v>
      </c>
      <c r="E1278">
        <v>-330861</v>
      </c>
      <c r="F1278">
        <v>102371</v>
      </c>
      <c r="G1278">
        <v>40088</v>
      </c>
      <c r="H1278">
        <v>615792</v>
      </c>
      <c r="I1278">
        <v>-203737</v>
      </c>
      <c r="J1278">
        <v>-21087</v>
      </c>
      <c r="K1278">
        <v>360819</v>
      </c>
      <c r="L1278">
        <v>10830</v>
      </c>
      <c r="M1278">
        <v>10.32</v>
      </c>
      <c r="N1278">
        <f t="shared" si="57"/>
        <v>1202270</v>
      </c>
      <c r="O1278">
        <v>24701450</v>
      </c>
      <c r="P1278" s="2">
        <f t="shared" si="58"/>
        <v>4.867204151982981</v>
      </c>
      <c r="Q1278" s="4">
        <f t="shared" si="59"/>
        <v>25.491896400000002</v>
      </c>
    </row>
    <row r="1279" spans="1:17" x14ac:dyDescent="0.4">
      <c r="A1279">
        <v>20210827</v>
      </c>
      <c r="B1279" s="1">
        <v>0.60416666666666663</v>
      </c>
      <c r="C1279">
        <v>20320</v>
      </c>
      <c r="D1279">
        <v>510798</v>
      </c>
      <c r="E1279">
        <v>-482408</v>
      </c>
      <c r="F1279">
        <v>159036</v>
      </c>
      <c r="G1279">
        <v>36316</v>
      </c>
      <c r="H1279">
        <v>554985</v>
      </c>
      <c r="I1279">
        <v>-102415</v>
      </c>
      <c r="J1279">
        <v>-17158</v>
      </c>
      <c r="K1279">
        <v>340659</v>
      </c>
      <c r="L1279">
        <v>-283</v>
      </c>
      <c r="M1279">
        <v>10.54</v>
      </c>
      <c r="N1279">
        <f t="shared" si="57"/>
        <v>1019850</v>
      </c>
      <c r="O1279">
        <v>24263800</v>
      </c>
      <c r="P1279" s="2">
        <f t="shared" si="58"/>
        <v>4.2031751003552618</v>
      </c>
      <c r="Q1279" s="4">
        <f t="shared" si="59"/>
        <v>25.574045199999997</v>
      </c>
    </row>
    <row r="1280" spans="1:17" x14ac:dyDescent="0.4">
      <c r="A1280">
        <v>20210827</v>
      </c>
      <c r="B1280" s="1">
        <v>0.625</v>
      </c>
      <c r="C1280">
        <v>-14956</v>
      </c>
      <c r="D1280">
        <v>517949</v>
      </c>
      <c r="E1280">
        <v>-354431</v>
      </c>
      <c r="F1280">
        <v>210969</v>
      </c>
      <c r="G1280">
        <v>77176</v>
      </c>
      <c r="H1280">
        <v>462849</v>
      </c>
      <c r="I1280">
        <v>-112952</v>
      </c>
      <c r="J1280">
        <v>-42432</v>
      </c>
      <c r="K1280">
        <v>431163</v>
      </c>
      <c r="L1280">
        <v>-614</v>
      </c>
      <c r="M1280">
        <v>10.74</v>
      </c>
      <c r="N1280">
        <f t="shared" si="57"/>
        <v>1174721</v>
      </c>
      <c r="O1280">
        <v>24130400</v>
      </c>
      <c r="P1280" s="2">
        <f t="shared" si="58"/>
        <v>4.8682201704074526</v>
      </c>
      <c r="Q1280" s="4">
        <f t="shared" si="59"/>
        <v>25.916049600000001</v>
      </c>
    </row>
    <row r="1281" spans="1:17" x14ac:dyDescent="0.4">
      <c r="A1281">
        <v>20210827</v>
      </c>
      <c r="B1281" s="1">
        <v>0.64583333333333337</v>
      </c>
      <c r="C1281">
        <v>37345</v>
      </c>
      <c r="D1281">
        <v>380220</v>
      </c>
      <c r="E1281">
        <v>-344206</v>
      </c>
      <c r="F1281">
        <v>86721</v>
      </c>
      <c r="G1281">
        <v>41494</v>
      </c>
      <c r="H1281">
        <v>442343</v>
      </c>
      <c r="I1281">
        <v>-95867</v>
      </c>
      <c r="J1281">
        <v>-92173</v>
      </c>
      <c r="K1281">
        <v>330650</v>
      </c>
      <c r="L1281">
        <v>-12367</v>
      </c>
      <c r="M1281">
        <v>12.18</v>
      </c>
      <c r="N1281">
        <f t="shared" si="57"/>
        <v>774160</v>
      </c>
      <c r="O1281">
        <v>23826450</v>
      </c>
      <c r="P1281" s="2">
        <f t="shared" si="58"/>
        <v>3.2491621706129115</v>
      </c>
      <c r="Q1281" s="4">
        <f t="shared" si="59"/>
        <v>29.020616100000002</v>
      </c>
    </row>
    <row r="1282" spans="1:17" x14ac:dyDescent="0.4">
      <c r="A1282">
        <v>20210827</v>
      </c>
      <c r="B1282" s="1">
        <v>0.66666666666666663</v>
      </c>
      <c r="C1282">
        <v>3191</v>
      </c>
      <c r="D1282">
        <v>168833</v>
      </c>
      <c r="E1282">
        <v>-230895</v>
      </c>
      <c r="F1282">
        <v>-131746</v>
      </c>
      <c r="G1282">
        <v>32161</v>
      </c>
      <c r="H1282">
        <v>531261</v>
      </c>
      <c r="I1282">
        <v>-18450</v>
      </c>
      <c r="J1282">
        <v>-89370</v>
      </c>
      <c r="K1282">
        <v>239834</v>
      </c>
      <c r="L1282">
        <v>-16931</v>
      </c>
      <c r="M1282">
        <v>14.2</v>
      </c>
      <c r="N1282">
        <f t="shared" si="57"/>
        <v>487888</v>
      </c>
      <c r="O1282">
        <v>24365450</v>
      </c>
      <c r="P1282" s="2">
        <f t="shared" si="58"/>
        <v>2.0023763156436676</v>
      </c>
      <c r="Q1282" s="4">
        <f t="shared" si="59"/>
        <v>34.598939000000001</v>
      </c>
    </row>
    <row r="1283" spans="1:17" x14ac:dyDescent="0.4">
      <c r="A1283">
        <v>20210827</v>
      </c>
      <c r="B1283" s="1">
        <v>0.6875</v>
      </c>
      <c r="C1283">
        <v>13896</v>
      </c>
      <c r="D1283">
        <v>141089</v>
      </c>
      <c r="E1283">
        <v>-288102</v>
      </c>
      <c r="F1283">
        <v>-18046</v>
      </c>
      <c r="G1283">
        <v>40825</v>
      </c>
      <c r="H1283">
        <v>569839</v>
      </c>
      <c r="I1283">
        <v>21706</v>
      </c>
      <c r="J1283">
        <v>-79253</v>
      </c>
      <c r="K1283">
        <v>40308</v>
      </c>
      <c r="L1283">
        <v>-22764</v>
      </c>
      <c r="M1283">
        <v>15.46</v>
      </c>
      <c r="N1283">
        <f t="shared" ref="N1283:N1346" si="60">C1283+D1283+E1283+F1283+G1283+H1283+I1283+J1283+K1283+L1283</f>
        <v>419498</v>
      </c>
      <c r="O1283">
        <v>23810700</v>
      </c>
      <c r="P1283" s="2">
        <f t="shared" ref="P1283:P1346" si="61">((N1283*100)/O1283)</f>
        <v>1.7618045668543973</v>
      </c>
      <c r="Q1283" s="4">
        <f t="shared" ref="Q1283:Q1346" si="62">(M1283*O1283)/10^7</f>
        <v>36.811342199999999</v>
      </c>
    </row>
    <row r="1284" spans="1:17" x14ac:dyDescent="0.4">
      <c r="A1284">
        <v>20210827</v>
      </c>
      <c r="B1284" s="1">
        <v>0.70833333333333337</v>
      </c>
      <c r="C1284">
        <v>13081</v>
      </c>
      <c r="D1284">
        <v>82175</v>
      </c>
      <c r="E1284">
        <v>-374373</v>
      </c>
      <c r="F1284">
        <v>20179</v>
      </c>
      <c r="G1284">
        <v>50704</v>
      </c>
      <c r="H1284">
        <v>448979</v>
      </c>
      <c r="I1284">
        <v>65714</v>
      </c>
      <c r="J1284">
        <v>-68815</v>
      </c>
      <c r="K1284">
        <v>-106093</v>
      </c>
      <c r="L1284">
        <v>-17996</v>
      </c>
      <c r="M1284">
        <v>12.79</v>
      </c>
      <c r="N1284">
        <f t="shared" si="60"/>
        <v>113555</v>
      </c>
      <c r="O1284">
        <v>23239100</v>
      </c>
      <c r="P1284" s="2">
        <f t="shared" si="61"/>
        <v>0.48863768390342138</v>
      </c>
      <c r="Q1284" s="4">
        <f t="shared" si="62"/>
        <v>29.7228089</v>
      </c>
    </row>
    <row r="1285" spans="1:17" x14ac:dyDescent="0.4">
      <c r="A1285">
        <v>20210827</v>
      </c>
      <c r="B1285" s="1">
        <v>0.72916666666666663</v>
      </c>
      <c r="C1285">
        <v>-27415</v>
      </c>
      <c r="D1285">
        <v>71920</v>
      </c>
      <c r="E1285">
        <v>-421882</v>
      </c>
      <c r="F1285">
        <v>190967</v>
      </c>
      <c r="G1285">
        <v>80380</v>
      </c>
      <c r="H1285">
        <v>530243</v>
      </c>
      <c r="I1285">
        <v>124935</v>
      </c>
      <c r="J1285">
        <v>-58118</v>
      </c>
      <c r="K1285">
        <v>-192170</v>
      </c>
      <c r="L1285">
        <v>-17387</v>
      </c>
      <c r="M1285">
        <v>12.79</v>
      </c>
      <c r="N1285">
        <f t="shared" si="60"/>
        <v>281473</v>
      </c>
      <c r="O1285">
        <v>22840500</v>
      </c>
      <c r="P1285" s="2">
        <f t="shared" si="61"/>
        <v>1.2323416737812221</v>
      </c>
      <c r="Q1285" s="4">
        <f t="shared" si="62"/>
        <v>29.212999499999999</v>
      </c>
    </row>
    <row r="1286" spans="1:17" x14ac:dyDescent="0.4">
      <c r="A1286">
        <v>20210827</v>
      </c>
      <c r="B1286" s="1">
        <v>0.75</v>
      </c>
      <c r="C1286">
        <v>53614</v>
      </c>
      <c r="D1286">
        <v>93214</v>
      </c>
      <c r="E1286">
        <v>-440156</v>
      </c>
      <c r="F1286">
        <v>222537</v>
      </c>
      <c r="G1286">
        <v>83342</v>
      </c>
      <c r="H1286">
        <v>534020</v>
      </c>
      <c r="I1286">
        <v>144227</v>
      </c>
      <c r="J1286">
        <v>-11918</v>
      </c>
      <c r="K1286">
        <v>-60328</v>
      </c>
      <c r="L1286">
        <v>-7803</v>
      </c>
      <c r="M1286">
        <v>12.63</v>
      </c>
      <c r="N1286">
        <f t="shared" si="60"/>
        <v>610749</v>
      </c>
      <c r="O1286">
        <v>22339800</v>
      </c>
      <c r="P1286" s="2">
        <f t="shared" si="61"/>
        <v>2.7339054064942392</v>
      </c>
      <c r="Q1286" s="4">
        <f t="shared" si="62"/>
        <v>28.215167399999999</v>
      </c>
    </row>
    <row r="1287" spans="1:17" x14ac:dyDescent="0.4">
      <c r="A1287">
        <v>20210827</v>
      </c>
      <c r="B1287" s="1">
        <v>0.77083333333333337</v>
      </c>
      <c r="C1287">
        <v>-675</v>
      </c>
      <c r="D1287">
        <v>-86415</v>
      </c>
      <c r="E1287">
        <v>-359037</v>
      </c>
      <c r="F1287">
        <v>242505</v>
      </c>
      <c r="G1287">
        <v>73309</v>
      </c>
      <c r="H1287">
        <v>340465</v>
      </c>
      <c r="I1287">
        <v>89382</v>
      </c>
      <c r="J1287">
        <v>4684</v>
      </c>
      <c r="K1287">
        <v>37070</v>
      </c>
      <c r="L1287">
        <v>-9724</v>
      </c>
      <c r="M1287">
        <v>12.36</v>
      </c>
      <c r="N1287">
        <f t="shared" si="60"/>
        <v>331564</v>
      </c>
      <c r="O1287">
        <v>22213900</v>
      </c>
      <c r="P1287" s="2">
        <f t="shared" si="61"/>
        <v>1.4925969775680992</v>
      </c>
      <c r="Q1287" s="4">
        <f t="shared" si="62"/>
        <v>27.4563804</v>
      </c>
    </row>
    <row r="1288" spans="1:17" x14ac:dyDescent="0.4">
      <c r="A1288">
        <v>20210827</v>
      </c>
      <c r="B1288" s="1">
        <v>0.79166666666666663</v>
      </c>
      <c r="C1288">
        <v>42526</v>
      </c>
      <c r="D1288">
        <v>60206</v>
      </c>
      <c r="E1288">
        <v>-394846</v>
      </c>
      <c r="F1288">
        <v>448213</v>
      </c>
      <c r="G1288">
        <v>41291</v>
      </c>
      <c r="H1288">
        <v>416280</v>
      </c>
      <c r="I1288">
        <v>78923</v>
      </c>
      <c r="J1288">
        <v>7849</v>
      </c>
      <c r="K1288">
        <v>15942</v>
      </c>
      <c r="L1288">
        <v>-18676</v>
      </c>
      <c r="M1288">
        <v>12.53</v>
      </c>
      <c r="N1288">
        <f t="shared" si="60"/>
        <v>697708</v>
      </c>
      <c r="O1288">
        <v>21965500</v>
      </c>
      <c r="P1288" s="2">
        <f t="shared" si="61"/>
        <v>3.1763811431563131</v>
      </c>
      <c r="Q1288" s="4">
        <f t="shared" si="62"/>
        <v>27.522771500000001</v>
      </c>
    </row>
    <row r="1289" spans="1:17" x14ac:dyDescent="0.4">
      <c r="A1289">
        <v>20210827</v>
      </c>
      <c r="B1289" s="1">
        <v>0.8125</v>
      </c>
      <c r="C1289">
        <v>60927</v>
      </c>
      <c r="D1289">
        <v>88420</v>
      </c>
      <c r="E1289">
        <v>-257662</v>
      </c>
      <c r="F1289">
        <v>443574</v>
      </c>
      <c r="G1289">
        <v>69912</v>
      </c>
      <c r="H1289">
        <v>394959</v>
      </c>
      <c r="I1289">
        <v>87656</v>
      </c>
      <c r="J1289">
        <v>15052</v>
      </c>
      <c r="K1289">
        <v>121196</v>
      </c>
      <c r="L1289">
        <v>-16786</v>
      </c>
      <c r="M1289">
        <v>10.76</v>
      </c>
      <c r="N1289">
        <f t="shared" si="60"/>
        <v>1007248</v>
      </c>
      <c r="O1289">
        <v>21971950</v>
      </c>
      <c r="P1289" s="2">
        <f t="shared" si="61"/>
        <v>4.5842449122631352</v>
      </c>
      <c r="Q1289" s="4">
        <f t="shared" si="62"/>
        <v>23.641818199999999</v>
      </c>
    </row>
    <row r="1290" spans="1:17" x14ac:dyDescent="0.4">
      <c r="A1290">
        <v>20210827</v>
      </c>
      <c r="B1290" s="1">
        <v>0.83333333333333337</v>
      </c>
      <c r="C1290">
        <v>111624</v>
      </c>
      <c r="D1290">
        <v>125602</v>
      </c>
      <c r="E1290">
        <v>-432470</v>
      </c>
      <c r="F1290">
        <v>571900</v>
      </c>
      <c r="G1290">
        <v>84668</v>
      </c>
      <c r="H1290">
        <v>537438</v>
      </c>
      <c r="I1290">
        <v>128137</v>
      </c>
      <c r="J1290">
        <v>25131</v>
      </c>
      <c r="K1290">
        <v>212802</v>
      </c>
      <c r="L1290">
        <v>-23529</v>
      </c>
      <c r="M1290">
        <v>10.32</v>
      </c>
      <c r="N1290">
        <f t="shared" si="60"/>
        <v>1341303</v>
      </c>
      <c r="O1290">
        <v>21304050</v>
      </c>
      <c r="P1290" s="2">
        <f t="shared" si="61"/>
        <v>6.2960000563273182</v>
      </c>
      <c r="Q1290" s="4">
        <f t="shared" si="62"/>
        <v>21.985779600000001</v>
      </c>
    </row>
    <row r="1291" spans="1:17" x14ac:dyDescent="0.4">
      <c r="A1291">
        <v>20210827</v>
      </c>
      <c r="B1291" s="1">
        <v>0.85416666666666663</v>
      </c>
      <c r="C1291">
        <v>56487</v>
      </c>
      <c r="D1291">
        <v>66206</v>
      </c>
      <c r="E1291">
        <v>-237066</v>
      </c>
      <c r="F1291">
        <v>568984</v>
      </c>
      <c r="G1291">
        <v>61715</v>
      </c>
      <c r="H1291">
        <v>419418</v>
      </c>
      <c r="I1291">
        <v>115749</v>
      </c>
      <c r="J1291">
        <v>19006</v>
      </c>
      <c r="K1291">
        <v>143851</v>
      </c>
      <c r="L1291">
        <v>-14898</v>
      </c>
      <c r="M1291">
        <v>10.32</v>
      </c>
      <c r="N1291">
        <f t="shared" si="60"/>
        <v>1199452</v>
      </c>
      <c r="O1291">
        <v>21418750</v>
      </c>
      <c r="P1291" s="2">
        <f t="shared" si="61"/>
        <v>5.6000093376130726</v>
      </c>
      <c r="Q1291" s="4">
        <f t="shared" si="62"/>
        <v>22.104150000000001</v>
      </c>
    </row>
    <row r="1292" spans="1:17" x14ac:dyDescent="0.4">
      <c r="A1292">
        <v>20210827</v>
      </c>
      <c r="B1292" s="1">
        <v>0.875</v>
      </c>
      <c r="C1292">
        <v>11963</v>
      </c>
      <c r="D1292">
        <v>114442</v>
      </c>
      <c r="E1292">
        <v>-575480</v>
      </c>
      <c r="F1292">
        <v>548676</v>
      </c>
      <c r="G1292">
        <v>85971</v>
      </c>
      <c r="H1292">
        <v>338070</v>
      </c>
      <c r="I1292">
        <v>85621</v>
      </c>
      <c r="J1292">
        <v>18105</v>
      </c>
      <c r="K1292">
        <v>101875</v>
      </c>
      <c r="L1292">
        <v>-21126</v>
      </c>
      <c r="M1292">
        <v>9.83</v>
      </c>
      <c r="N1292">
        <f t="shared" si="60"/>
        <v>708117</v>
      </c>
      <c r="O1292">
        <v>21320600</v>
      </c>
      <c r="P1292" s="2">
        <f t="shared" si="61"/>
        <v>3.3212808269936116</v>
      </c>
      <c r="Q1292" s="4">
        <f t="shared" si="62"/>
        <v>20.958149800000001</v>
      </c>
    </row>
    <row r="1293" spans="1:17" x14ac:dyDescent="0.4">
      <c r="A1293">
        <v>20210827</v>
      </c>
      <c r="B1293" s="1">
        <v>0.89583333333333337</v>
      </c>
      <c r="C1293">
        <v>-21843</v>
      </c>
      <c r="D1293">
        <v>12007</v>
      </c>
      <c r="E1293">
        <v>-56643</v>
      </c>
      <c r="F1293">
        <v>481844</v>
      </c>
      <c r="G1293">
        <v>61711</v>
      </c>
      <c r="H1293">
        <v>228637</v>
      </c>
      <c r="I1293">
        <v>90584</v>
      </c>
      <c r="J1293">
        <v>112</v>
      </c>
      <c r="K1293">
        <v>66819</v>
      </c>
      <c r="L1293">
        <v>-13136</v>
      </c>
      <c r="M1293">
        <v>9.6</v>
      </c>
      <c r="N1293">
        <f t="shared" si="60"/>
        <v>850092</v>
      </c>
      <c r="O1293">
        <v>21136850</v>
      </c>
      <c r="P1293" s="2">
        <f t="shared" si="61"/>
        <v>4.0218480994093255</v>
      </c>
      <c r="Q1293" s="4">
        <f t="shared" si="62"/>
        <v>20.291376</v>
      </c>
    </row>
    <row r="1294" spans="1:17" x14ac:dyDescent="0.4">
      <c r="A1294">
        <v>20210827</v>
      </c>
      <c r="B1294" s="1">
        <v>0.91666666666666663</v>
      </c>
      <c r="C1294">
        <v>57090</v>
      </c>
      <c r="D1294">
        <v>58130</v>
      </c>
      <c r="E1294">
        <v>-272856</v>
      </c>
      <c r="F1294">
        <v>476379</v>
      </c>
      <c r="G1294">
        <v>39096</v>
      </c>
      <c r="H1294">
        <v>56392</v>
      </c>
      <c r="I1294">
        <v>114814</v>
      </c>
      <c r="J1294">
        <v>-5083</v>
      </c>
      <c r="K1294">
        <v>65754</v>
      </c>
      <c r="L1294">
        <v>-29324</v>
      </c>
      <c r="M1294">
        <v>9.61</v>
      </c>
      <c r="N1294">
        <f t="shared" si="60"/>
        <v>560392</v>
      </c>
      <c r="O1294">
        <v>20499350</v>
      </c>
      <c r="P1294" s="2">
        <f t="shared" si="61"/>
        <v>2.7337061906840949</v>
      </c>
      <c r="Q1294" s="4">
        <f t="shared" si="62"/>
        <v>19.699875349999999</v>
      </c>
    </row>
    <row r="1295" spans="1:17" x14ac:dyDescent="0.4">
      <c r="A1295">
        <v>20210827</v>
      </c>
      <c r="B1295" s="1">
        <v>0.9375</v>
      </c>
      <c r="C1295">
        <v>72575</v>
      </c>
      <c r="D1295">
        <v>-77542</v>
      </c>
      <c r="E1295">
        <v>-340266</v>
      </c>
      <c r="F1295">
        <v>401024</v>
      </c>
      <c r="G1295">
        <v>54662</v>
      </c>
      <c r="H1295">
        <v>59055</v>
      </c>
      <c r="I1295">
        <v>31041</v>
      </c>
      <c r="J1295">
        <v>-25084</v>
      </c>
      <c r="K1295">
        <v>-66286</v>
      </c>
      <c r="L1295">
        <v>-23853</v>
      </c>
      <c r="M1295">
        <v>9.18</v>
      </c>
      <c r="N1295">
        <f t="shared" si="60"/>
        <v>85326</v>
      </c>
      <c r="O1295">
        <v>20176050</v>
      </c>
      <c r="P1295" s="2">
        <f t="shared" si="61"/>
        <v>0.42290735798136903</v>
      </c>
      <c r="Q1295" s="4">
        <f t="shared" si="62"/>
        <v>18.521613899999998</v>
      </c>
    </row>
    <row r="1296" spans="1:17" x14ac:dyDescent="0.4">
      <c r="A1296">
        <v>20210827</v>
      </c>
      <c r="B1296" s="1">
        <v>0.95833333333333337</v>
      </c>
      <c r="C1296">
        <v>151486</v>
      </c>
      <c r="D1296">
        <v>-39013</v>
      </c>
      <c r="E1296">
        <v>-394588</v>
      </c>
      <c r="F1296">
        <v>210434</v>
      </c>
      <c r="G1296">
        <v>61879</v>
      </c>
      <c r="H1296">
        <v>-27688</v>
      </c>
      <c r="I1296">
        <v>20112</v>
      </c>
      <c r="J1296">
        <v>-15870</v>
      </c>
      <c r="K1296">
        <v>-71178</v>
      </c>
      <c r="L1296">
        <v>-18367</v>
      </c>
      <c r="M1296">
        <v>8.39</v>
      </c>
      <c r="N1296">
        <f t="shared" si="60"/>
        <v>-122793</v>
      </c>
      <c r="O1296">
        <v>19527600</v>
      </c>
      <c r="P1296" s="2">
        <f t="shared" si="61"/>
        <v>-0.62881767344681372</v>
      </c>
      <c r="Q1296" s="4">
        <f t="shared" si="62"/>
        <v>16.3836564</v>
      </c>
    </row>
    <row r="1297" spans="1:17" x14ac:dyDescent="0.4">
      <c r="A1297">
        <v>20210827</v>
      </c>
      <c r="B1297" s="1">
        <v>0.97916666666666663</v>
      </c>
      <c r="C1297">
        <v>63733</v>
      </c>
      <c r="D1297">
        <v>-75269</v>
      </c>
      <c r="E1297">
        <v>7319</v>
      </c>
      <c r="F1297">
        <v>197835</v>
      </c>
      <c r="G1297">
        <v>66525</v>
      </c>
      <c r="H1297">
        <v>-36692</v>
      </c>
      <c r="I1297">
        <v>84690</v>
      </c>
      <c r="J1297">
        <v>-15305</v>
      </c>
      <c r="K1297">
        <v>-15739</v>
      </c>
      <c r="L1297">
        <v>-12162</v>
      </c>
      <c r="M1297">
        <v>7.75</v>
      </c>
      <c r="N1297">
        <f t="shared" si="60"/>
        <v>264935</v>
      </c>
      <c r="O1297">
        <v>18835750</v>
      </c>
      <c r="P1297" s="2">
        <f t="shared" si="61"/>
        <v>1.4065540262532683</v>
      </c>
      <c r="Q1297" s="4">
        <f t="shared" si="62"/>
        <v>14.59770625</v>
      </c>
    </row>
    <row r="1298" spans="1:17" x14ac:dyDescent="0.4">
      <c r="A1298">
        <v>20210828</v>
      </c>
      <c r="B1298" s="1">
        <v>0</v>
      </c>
      <c r="C1298">
        <v>36871</v>
      </c>
      <c r="D1298">
        <v>70355</v>
      </c>
      <c r="E1298">
        <v>-368320</v>
      </c>
      <c r="F1298">
        <v>205489</v>
      </c>
      <c r="G1298">
        <v>49691</v>
      </c>
      <c r="H1298">
        <v>141945</v>
      </c>
      <c r="I1298">
        <v>53924</v>
      </c>
      <c r="J1298">
        <v>-8569</v>
      </c>
      <c r="K1298">
        <v>130673</v>
      </c>
      <c r="L1298">
        <v>-24233</v>
      </c>
      <c r="M1298">
        <v>7.2</v>
      </c>
      <c r="N1298">
        <f t="shared" si="60"/>
        <v>287826</v>
      </c>
      <c r="O1298">
        <v>17867750</v>
      </c>
      <c r="P1298" s="2">
        <f t="shared" si="61"/>
        <v>1.610868743966084</v>
      </c>
      <c r="Q1298" s="4">
        <f t="shared" si="62"/>
        <v>12.86478</v>
      </c>
    </row>
    <row r="1299" spans="1:17" x14ac:dyDescent="0.4">
      <c r="A1299">
        <v>20210828</v>
      </c>
      <c r="B1299" s="1">
        <v>2.0833333333333332E-2</v>
      </c>
      <c r="C1299">
        <v>92976</v>
      </c>
      <c r="D1299">
        <v>112920</v>
      </c>
      <c r="E1299">
        <v>-369071</v>
      </c>
      <c r="F1299">
        <v>124908</v>
      </c>
      <c r="G1299">
        <v>44116</v>
      </c>
      <c r="H1299">
        <v>110124</v>
      </c>
      <c r="I1299">
        <v>91577</v>
      </c>
      <c r="J1299">
        <v>-7774</v>
      </c>
      <c r="K1299">
        <v>33327</v>
      </c>
      <c r="L1299">
        <v>-17905</v>
      </c>
      <c r="M1299">
        <v>7.2</v>
      </c>
      <c r="N1299">
        <f t="shared" si="60"/>
        <v>215198</v>
      </c>
      <c r="O1299">
        <v>18615300</v>
      </c>
      <c r="P1299" s="2">
        <f t="shared" si="61"/>
        <v>1.1560275687203536</v>
      </c>
      <c r="Q1299" s="4">
        <f t="shared" si="62"/>
        <v>13.403015999999999</v>
      </c>
    </row>
    <row r="1300" spans="1:17" x14ac:dyDescent="0.4">
      <c r="A1300">
        <v>20210828</v>
      </c>
      <c r="B1300" s="1">
        <v>4.1666666666666664E-2</v>
      </c>
      <c r="C1300">
        <v>56808</v>
      </c>
      <c r="D1300">
        <v>89325</v>
      </c>
      <c r="E1300">
        <v>-342611</v>
      </c>
      <c r="F1300">
        <v>294859</v>
      </c>
      <c r="G1300">
        <v>40667</v>
      </c>
      <c r="H1300">
        <v>133499</v>
      </c>
      <c r="I1300">
        <v>53588</v>
      </c>
      <c r="J1300">
        <v>-23817</v>
      </c>
      <c r="K1300">
        <v>45502</v>
      </c>
      <c r="L1300">
        <v>-19058</v>
      </c>
      <c r="M1300">
        <v>7.08</v>
      </c>
      <c r="N1300">
        <f t="shared" si="60"/>
        <v>328762</v>
      </c>
      <c r="O1300">
        <v>18996600</v>
      </c>
      <c r="P1300" s="2">
        <f t="shared" si="61"/>
        <v>1.7306360085488983</v>
      </c>
      <c r="Q1300" s="4">
        <f t="shared" si="62"/>
        <v>13.4495928</v>
      </c>
    </row>
    <row r="1301" spans="1:17" x14ac:dyDescent="0.4">
      <c r="A1301">
        <v>20210828</v>
      </c>
      <c r="B1301" s="1">
        <v>6.25E-2</v>
      </c>
      <c r="C1301">
        <v>60751</v>
      </c>
      <c r="D1301">
        <v>105020</v>
      </c>
      <c r="E1301">
        <v>-307805</v>
      </c>
      <c r="F1301">
        <v>139526</v>
      </c>
      <c r="G1301">
        <v>34099</v>
      </c>
      <c r="H1301">
        <v>106980</v>
      </c>
      <c r="I1301">
        <v>82665</v>
      </c>
      <c r="J1301">
        <v>-15901</v>
      </c>
      <c r="K1301">
        <v>73387</v>
      </c>
      <c r="L1301">
        <v>-11296</v>
      </c>
      <c r="M1301">
        <v>6.98</v>
      </c>
      <c r="N1301">
        <f t="shared" si="60"/>
        <v>267426</v>
      </c>
      <c r="O1301">
        <v>19133950</v>
      </c>
      <c r="P1301" s="2">
        <f t="shared" si="61"/>
        <v>1.3976518178421078</v>
      </c>
      <c r="Q1301" s="4">
        <f t="shared" si="62"/>
        <v>13.355497100000001</v>
      </c>
    </row>
    <row r="1302" spans="1:17" x14ac:dyDescent="0.4">
      <c r="A1302">
        <v>20210828</v>
      </c>
      <c r="B1302" s="1">
        <v>8.3333333333333329E-2</v>
      </c>
      <c r="C1302">
        <v>32060</v>
      </c>
      <c r="D1302">
        <v>158535</v>
      </c>
      <c r="E1302">
        <v>-313979</v>
      </c>
      <c r="F1302">
        <v>99326</v>
      </c>
      <c r="G1302">
        <v>-29072</v>
      </c>
      <c r="H1302">
        <v>101253</v>
      </c>
      <c r="I1302">
        <v>95502</v>
      </c>
      <c r="J1302">
        <v>-11206</v>
      </c>
      <c r="K1302">
        <v>55931</v>
      </c>
      <c r="L1302">
        <v>-9622</v>
      </c>
      <c r="M1302">
        <v>7</v>
      </c>
      <c r="N1302">
        <f t="shared" si="60"/>
        <v>178728</v>
      </c>
      <c r="O1302">
        <v>19226400</v>
      </c>
      <c r="P1302" s="2">
        <f t="shared" si="61"/>
        <v>0.92959680439395831</v>
      </c>
      <c r="Q1302" s="4">
        <f t="shared" si="62"/>
        <v>13.45848</v>
      </c>
    </row>
    <row r="1303" spans="1:17" x14ac:dyDescent="0.4">
      <c r="A1303">
        <v>20210828</v>
      </c>
      <c r="B1303" s="1">
        <v>0.10416666666666667</v>
      </c>
      <c r="C1303">
        <v>35773</v>
      </c>
      <c r="D1303">
        <v>205846</v>
      </c>
      <c r="E1303">
        <v>-192793</v>
      </c>
      <c r="F1303">
        <v>134206</v>
      </c>
      <c r="G1303">
        <v>40542</v>
      </c>
      <c r="H1303">
        <v>31978</v>
      </c>
      <c r="I1303">
        <v>39626</v>
      </c>
      <c r="J1303">
        <v>-21056</v>
      </c>
      <c r="K1303">
        <v>123480</v>
      </c>
      <c r="L1303">
        <v>-9007</v>
      </c>
      <c r="M1303">
        <v>7.01</v>
      </c>
      <c r="N1303">
        <f t="shared" si="60"/>
        <v>388595</v>
      </c>
      <c r="O1303">
        <v>19244050</v>
      </c>
      <c r="P1303" s="2">
        <f t="shared" si="61"/>
        <v>2.0192994717847856</v>
      </c>
      <c r="Q1303" s="4">
        <f t="shared" si="62"/>
        <v>13.49007905</v>
      </c>
    </row>
    <row r="1304" spans="1:17" x14ac:dyDescent="0.4">
      <c r="A1304">
        <v>20210828</v>
      </c>
      <c r="B1304" s="1">
        <v>0.125</v>
      </c>
      <c r="C1304">
        <v>45002</v>
      </c>
      <c r="D1304">
        <v>166222</v>
      </c>
      <c r="E1304">
        <v>-221918</v>
      </c>
      <c r="F1304">
        <v>165847</v>
      </c>
      <c r="G1304">
        <v>26728</v>
      </c>
      <c r="H1304">
        <v>36601</v>
      </c>
      <c r="I1304">
        <v>80664</v>
      </c>
      <c r="J1304">
        <v>-4426</v>
      </c>
      <c r="K1304">
        <v>88281</v>
      </c>
      <c r="L1304">
        <v>-10401</v>
      </c>
      <c r="M1304">
        <v>7</v>
      </c>
      <c r="N1304">
        <f t="shared" si="60"/>
        <v>372600</v>
      </c>
      <c r="O1304">
        <v>19375200</v>
      </c>
      <c r="P1304" s="2">
        <f t="shared" si="61"/>
        <v>1.9230769230769231</v>
      </c>
      <c r="Q1304" s="4">
        <f t="shared" si="62"/>
        <v>13.56264</v>
      </c>
    </row>
    <row r="1305" spans="1:17" x14ac:dyDescent="0.4">
      <c r="A1305">
        <v>20210828</v>
      </c>
      <c r="B1305" s="1">
        <v>0.14583333333333334</v>
      </c>
      <c r="C1305">
        <v>4918</v>
      </c>
      <c r="D1305">
        <v>148595</v>
      </c>
      <c r="E1305">
        <v>-278278</v>
      </c>
      <c r="F1305">
        <v>143456</v>
      </c>
      <c r="G1305">
        <v>67277</v>
      </c>
      <c r="H1305">
        <v>7485</v>
      </c>
      <c r="I1305">
        <v>105861</v>
      </c>
      <c r="J1305">
        <v>3631</v>
      </c>
      <c r="K1305">
        <v>74012</v>
      </c>
      <c r="L1305">
        <v>-1688</v>
      </c>
      <c r="M1305">
        <v>6.98</v>
      </c>
      <c r="N1305">
        <f t="shared" si="60"/>
        <v>275269</v>
      </c>
      <c r="O1305">
        <v>19500800</v>
      </c>
      <c r="P1305" s="2">
        <f t="shared" si="61"/>
        <v>1.4115779865441418</v>
      </c>
      <c r="Q1305" s="4">
        <f t="shared" si="62"/>
        <v>13.6115584</v>
      </c>
    </row>
    <row r="1306" spans="1:17" x14ac:dyDescent="0.4">
      <c r="A1306">
        <v>20210828</v>
      </c>
      <c r="B1306" s="1">
        <v>0.16666666666666666</v>
      </c>
      <c r="C1306">
        <v>40983</v>
      </c>
      <c r="D1306">
        <v>74283</v>
      </c>
      <c r="E1306">
        <v>-381132</v>
      </c>
      <c r="F1306">
        <v>231242</v>
      </c>
      <c r="G1306">
        <v>33779</v>
      </c>
      <c r="H1306">
        <v>97718</v>
      </c>
      <c r="I1306">
        <v>143380</v>
      </c>
      <c r="J1306">
        <v>-535</v>
      </c>
      <c r="K1306">
        <v>120226</v>
      </c>
      <c r="L1306">
        <v>-10901</v>
      </c>
      <c r="M1306">
        <v>6.97</v>
      </c>
      <c r="N1306">
        <f t="shared" si="60"/>
        <v>349043</v>
      </c>
      <c r="O1306">
        <v>19229750</v>
      </c>
      <c r="P1306" s="2">
        <f t="shared" si="61"/>
        <v>1.8151198013494716</v>
      </c>
      <c r="Q1306" s="4">
        <f t="shared" si="62"/>
        <v>13.403135750000001</v>
      </c>
    </row>
    <row r="1307" spans="1:17" x14ac:dyDescent="0.4">
      <c r="A1307">
        <v>20210828</v>
      </c>
      <c r="B1307" s="1">
        <v>0.1875</v>
      </c>
      <c r="C1307">
        <v>29670</v>
      </c>
      <c r="D1307">
        <v>55089</v>
      </c>
      <c r="E1307">
        <v>-293362</v>
      </c>
      <c r="F1307">
        <v>130547</v>
      </c>
      <c r="G1307">
        <v>37794</v>
      </c>
      <c r="H1307">
        <v>29998</v>
      </c>
      <c r="I1307">
        <v>73654</v>
      </c>
      <c r="J1307">
        <v>-5093</v>
      </c>
      <c r="K1307">
        <v>118187</v>
      </c>
      <c r="L1307">
        <v>-14023</v>
      </c>
      <c r="M1307">
        <v>6.98</v>
      </c>
      <c r="N1307">
        <f t="shared" si="60"/>
        <v>162461</v>
      </c>
      <c r="O1307">
        <v>19089150</v>
      </c>
      <c r="P1307" s="2">
        <f t="shared" si="61"/>
        <v>0.85106461000096911</v>
      </c>
      <c r="Q1307" s="4">
        <f t="shared" si="62"/>
        <v>13.324226700000002</v>
      </c>
    </row>
    <row r="1308" spans="1:17" x14ac:dyDescent="0.4">
      <c r="A1308">
        <v>20210828</v>
      </c>
      <c r="B1308" s="1">
        <v>0.20833333333333334</v>
      </c>
      <c r="C1308">
        <v>-5916</v>
      </c>
      <c r="D1308">
        <v>6365</v>
      </c>
      <c r="E1308">
        <v>-264002</v>
      </c>
      <c r="F1308">
        <v>209320</v>
      </c>
      <c r="G1308">
        <v>57764</v>
      </c>
      <c r="H1308">
        <v>56268</v>
      </c>
      <c r="I1308">
        <v>100685</v>
      </c>
      <c r="J1308">
        <v>4539</v>
      </c>
      <c r="K1308">
        <v>137252</v>
      </c>
      <c r="L1308">
        <v>-21142</v>
      </c>
      <c r="M1308">
        <v>6.97</v>
      </c>
      <c r="N1308">
        <f t="shared" si="60"/>
        <v>281133</v>
      </c>
      <c r="O1308">
        <v>18743900</v>
      </c>
      <c r="P1308" s="2">
        <f t="shared" si="61"/>
        <v>1.4998639557402675</v>
      </c>
      <c r="Q1308" s="4">
        <f t="shared" si="62"/>
        <v>13.0644983</v>
      </c>
    </row>
    <row r="1309" spans="1:17" x14ac:dyDescent="0.4">
      <c r="A1309">
        <v>20210828</v>
      </c>
      <c r="B1309" s="1">
        <v>0.22916666666666666</v>
      </c>
      <c r="C1309">
        <v>-3853</v>
      </c>
      <c r="D1309">
        <v>38206</v>
      </c>
      <c r="E1309">
        <v>-162691</v>
      </c>
      <c r="F1309">
        <v>190722</v>
      </c>
      <c r="G1309">
        <v>46300</v>
      </c>
      <c r="H1309">
        <v>92171</v>
      </c>
      <c r="I1309">
        <v>127969</v>
      </c>
      <c r="J1309">
        <v>7644</v>
      </c>
      <c r="K1309">
        <v>131649</v>
      </c>
      <c r="L1309">
        <v>-14067</v>
      </c>
      <c r="M1309">
        <v>6.97</v>
      </c>
      <c r="N1309">
        <f t="shared" si="60"/>
        <v>454050</v>
      </c>
      <c r="O1309">
        <v>18575600</v>
      </c>
      <c r="P1309" s="2">
        <f t="shared" si="61"/>
        <v>2.444335580008183</v>
      </c>
      <c r="Q1309" s="4">
        <f t="shared" si="62"/>
        <v>12.947193199999999</v>
      </c>
    </row>
    <row r="1310" spans="1:17" x14ac:dyDescent="0.4">
      <c r="A1310">
        <v>20210828</v>
      </c>
      <c r="B1310" s="1">
        <v>0.25</v>
      </c>
      <c r="C1310">
        <v>36334</v>
      </c>
      <c r="D1310">
        <v>56745</v>
      </c>
      <c r="E1310">
        <v>-77824</v>
      </c>
      <c r="F1310">
        <v>253724</v>
      </c>
      <c r="G1310">
        <v>-13755</v>
      </c>
      <c r="H1310">
        <v>87468</v>
      </c>
      <c r="I1310">
        <v>82735</v>
      </c>
      <c r="J1310">
        <v>53591</v>
      </c>
      <c r="K1310">
        <v>136163</v>
      </c>
      <c r="L1310">
        <v>-18527</v>
      </c>
      <c r="M1310">
        <v>6.9</v>
      </c>
      <c r="N1310">
        <f t="shared" si="60"/>
        <v>596654</v>
      </c>
      <c r="O1310">
        <v>18523400</v>
      </c>
      <c r="P1310" s="2">
        <f t="shared" si="61"/>
        <v>3.2210825226470301</v>
      </c>
      <c r="Q1310" s="4">
        <f t="shared" si="62"/>
        <v>12.781146</v>
      </c>
    </row>
    <row r="1311" spans="1:17" x14ac:dyDescent="0.4">
      <c r="A1311">
        <v>20210828</v>
      </c>
      <c r="B1311" s="1">
        <v>0.27083333333333331</v>
      </c>
      <c r="C1311">
        <v>66770</v>
      </c>
      <c r="D1311">
        <v>158760</v>
      </c>
      <c r="E1311">
        <v>434</v>
      </c>
      <c r="F1311">
        <v>84455</v>
      </c>
      <c r="G1311">
        <v>24490</v>
      </c>
      <c r="H1311">
        <v>215868</v>
      </c>
      <c r="I1311">
        <v>15044</v>
      </c>
      <c r="J1311">
        <v>93674</v>
      </c>
      <c r="K1311">
        <v>-16618</v>
      </c>
      <c r="L1311">
        <v>-11486</v>
      </c>
      <c r="M1311">
        <v>6.68</v>
      </c>
      <c r="N1311">
        <f t="shared" si="60"/>
        <v>631391</v>
      </c>
      <c r="O1311">
        <v>18866100</v>
      </c>
      <c r="P1311" s="2">
        <f t="shared" si="61"/>
        <v>3.3466959254959954</v>
      </c>
      <c r="Q1311" s="4">
        <f t="shared" si="62"/>
        <v>12.6025548</v>
      </c>
    </row>
    <row r="1312" spans="1:17" x14ac:dyDescent="0.4">
      <c r="A1312">
        <v>20210828</v>
      </c>
      <c r="B1312" s="1">
        <v>0.29166666666666669</v>
      </c>
      <c r="C1312">
        <v>127004</v>
      </c>
      <c r="D1312">
        <v>225466</v>
      </c>
      <c r="E1312">
        <v>152546</v>
      </c>
      <c r="F1312">
        <v>225939</v>
      </c>
      <c r="G1312">
        <v>34035</v>
      </c>
      <c r="H1312">
        <v>279682</v>
      </c>
      <c r="I1312">
        <v>33767</v>
      </c>
      <c r="J1312">
        <v>83817</v>
      </c>
      <c r="K1312">
        <v>-61601</v>
      </c>
      <c r="L1312">
        <v>-3016</v>
      </c>
      <c r="M1312">
        <v>6.67</v>
      </c>
      <c r="N1312">
        <f t="shared" si="60"/>
        <v>1097639</v>
      </c>
      <c r="O1312">
        <v>19401900</v>
      </c>
      <c r="P1312" s="2">
        <f t="shared" si="61"/>
        <v>5.6573789164978692</v>
      </c>
      <c r="Q1312" s="4">
        <f t="shared" si="62"/>
        <v>12.9410673</v>
      </c>
    </row>
    <row r="1313" spans="1:17" x14ac:dyDescent="0.4">
      <c r="A1313">
        <v>20210828</v>
      </c>
      <c r="B1313" s="1">
        <v>0.3125</v>
      </c>
      <c r="C1313">
        <v>68856</v>
      </c>
      <c r="D1313">
        <v>258625</v>
      </c>
      <c r="E1313">
        <v>207561</v>
      </c>
      <c r="F1313">
        <v>154271</v>
      </c>
      <c r="G1313">
        <v>3183</v>
      </c>
      <c r="H1313">
        <v>339161</v>
      </c>
      <c r="I1313">
        <v>30556</v>
      </c>
      <c r="J1313">
        <v>121313</v>
      </c>
      <c r="K1313">
        <v>102708</v>
      </c>
      <c r="L1313">
        <v>-4569</v>
      </c>
      <c r="M1313">
        <v>6.67</v>
      </c>
      <c r="N1313">
        <f t="shared" si="60"/>
        <v>1281665</v>
      </c>
      <c r="O1313">
        <v>20008400</v>
      </c>
      <c r="P1313" s="2">
        <f t="shared" si="61"/>
        <v>6.4056346334539489</v>
      </c>
      <c r="Q1313" s="4">
        <f t="shared" si="62"/>
        <v>13.3456028</v>
      </c>
    </row>
    <row r="1314" spans="1:17" x14ac:dyDescent="0.4">
      <c r="A1314">
        <v>20210828</v>
      </c>
      <c r="B1314" s="1">
        <v>0.33333333333333331</v>
      </c>
      <c r="C1314">
        <v>112697</v>
      </c>
      <c r="D1314">
        <v>218089</v>
      </c>
      <c r="E1314">
        <v>204427</v>
      </c>
      <c r="F1314">
        <v>406802</v>
      </c>
      <c r="G1314">
        <v>63838</v>
      </c>
      <c r="H1314">
        <v>311591</v>
      </c>
      <c r="I1314">
        <v>39653</v>
      </c>
      <c r="J1314">
        <v>165982</v>
      </c>
      <c r="K1314">
        <v>339374</v>
      </c>
      <c r="L1314">
        <v>4643</v>
      </c>
      <c r="M1314">
        <v>6.69</v>
      </c>
      <c r="N1314">
        <f t="shared" si="60"/>
        <v>1867096</v>
      </c>
      <c r="O1314">
        <v>20942750</v>
      </c>
      <c r="P1314" s="2">
        <f t="shared" si="61"/>
        <v>8.9152379701806108</v>
      </c>
      <c r="Q1314" s="4">
        <f t="shared" si="62"/>
        <v>14.010699750000001</v>
      </c>
    </row>
    <row r="1315" spans="1:17" x14ac:dyDescent="0.4">
      <c r="A1315">
        <v>20210828</v>
      </c>
      <c r="B1315" s="1">
        <v>0.35416666666666669</v>
      </c>
      <c r="C1315">
        <v>61227</v>
      </c>
      <c r="D1315">
        <v>385476</v>
      </c>
      <c r="E1315">
        <v>-121101</v>
      </c>
      <c r="F1315">
        <v>342207</v>
      </c>
      <c r="G1315">
        <v>81283</v>
      </c>
      <c r="H1315">
        <v>436584</v>
      </c>
      <c r="I1315">
        <v>9761</v>
      </c>
      <c r="J1315">
        <v>177067</v>
      </c>
      <c r="K1315">
        <v>496295</v>
      </c>
      <c r="L1315">
        <v>-10497</v>
      </c>
      <c r="M1315">
        <v>6.69</v>
      </c>
      <c r="N1315">
        <f t="shared" si="60"/>
        <v>1858302</v>
      </c>
      <c r="O1315">
        <v>21402000</v>
      </c>
      <c r="P1315" s="2">
        <f t="shared" si="61"/>
        <v>8.6828427249789737</v>
      </c>
      <c r="Q1315" s="4">
        <f t="shared" si="62"/>
        <v>14.317938</v>
      </c>
    </row>
    <row r="1316" spans="1:17" x14ac:dyDescent="0.4">
      <c r="A1316">
        <v>20210828</v>
      </c>
      <c r="B1316" s="1">
        <v>0.375</v>
      </c>
      <c r="C1316">
        <v>28523</v>
      </c>
      <c r="D1316">
        <v>425151</v>
      </c>
      <c r="E1316">
        <v>-399530</v>
      </c>
      <c r="F1316">
        <v>480957</v>
      </c>
      <c r="G1316">
        <v>42262</v>
      </c>
      <c r="H1316">
        <v>326268</v>
      </c>
      <c r="I1316">
        <v>58420</v>
      </c>
      <c r="J1316">
        <v>171334</v>
      </c>
      <c r="K1316">
        <v>397372</v>
      </c>
      <c r="L1316">
        <v>-24857</v>
      </c>
      <c r="M1316">
        <v>6.75</v>
      </c>
      <c r="N1316">
        <f t="shared" si="60"/>
        <v>1505900</v>
      </c>
      <c r="O1316">
        <v>21822350</v>
      </c>
      <c r="P1316" s="2">
        <f t="shared" si="61"/>
        <v>6.9007233409784003</v>
      </c>
      <c r="Q1316" s="4">
        <f t="shared" si="62"/>
        <v>14.730086249999999</v>
      </c>
    </row>
    <row r="1317" spans="1:17" x14ac:dyDescent="0.4">
      <c r="A1317">
        <v>20210828</v>
      </c>
      <c r="B1317" s="1">
        <v>0.39583333333333331</v>
      </c>
      <c r="C1317">
        <v>45034</v>
      </c>
      <c r="D1317">
        <v>440131</v>
      </c>
      <c r="E1317">
        <v>-720205</v>
      </c>
      <c r="F1317">
        <v>758077</v>
      </c>
      <c r="G1317">
        <v>14210</v>
      </c>
      <c r="H1317">
        <v>354347</v>
      </c>
      <c r="I1317">
        <v>27725</v>
      </c>
      <c r="J1317">
        <v>151000</v>
      </c>
      <c r="K1317">
        <v>388922</v>
      </c>
      <c r="L1317">
        <v>-24349</v>
      </c>
      <c r="M1317">
        <v>6.71</v>
      </c>
      <c r="N1317">
        <f t="shared" si="60"/>
        <v>1434892</v>
      </c>
      <c r="O1317">
        <v>22428600</v>
      </c>
      <c r="P1317" s="2">
        <f t="shared" si="61"/>
        <v>6.3975994935038303</v>
      </c>
      <c r="Q1317" s="4">
        <f t="shared" si="62"/>
        <v>15.0495906</v>
      </c>
    </row>
    <row r="1318" spans="1:17" x14ac:dyDescent="0.4">
      <c r="A1318">
        <v>20210828</v>
      </c>
      <c r="B1318" s="1">
        <v>0.41666666666666669</v>
      </c>
      <c r="C1318">
        <v>-9704</v>
      </c>
      <c r="D1318">
        <v>577499</v>
      </c>
      <c r="E1318">
        <v>-869927</v>
      </c>
      <c r="F1318">
        <v>404891</v>
      </c>
      <c r="G1318">
        <v>-57297</v>
      </c>
      <c r="H1318">
        <v>358781</v>
      </c>
      <c r="I1318">
        <v>38349</v>
      </c>
      <c r="J1318">
        <v>163682</v>
      </c>
      <c r="K1318">
        <v>364682</v>
      </c>
      <c r="L1318">
        <v>-24804</v>
      </c>
      <c r="M1318">
        <v>6.68</v>
      </c>
      <c r="N1318">
        <f t="shared" si="60"/>
        <v>946152</v>
      </c>
      <c r="O1318">
        <v>22888300</v>
      </c>
      <c r="P1318" s="2">
        <f t="shared" si="61"/>
        <v>4.1337801409453743</v>
      </c>
      <c r="Q1318" s="4">
        <f t="shared" si="62"/>
        <v>15.289384399999999</v>
      </c>
    </row>
    <row r="1319" spans="1:17" x14ac:dyDescent="0.4">
      <c r="A1319">
        <v>20210828</v>
      </c>
      <c r="B1319" s="1">
        <v>0.4375</v>
      </c>
      <c r="C1319">
        <v>33467</v>
      </c>
      <c r="D1319">
        <v>236288</v>
      </c>
      <c r="E1319">
        <v>-1124410</v>
      </c>
      <c r="F1319">
        <v>265017</v>
      </c>
      <c r="G1319">
        <v>-53380</v>
      </c>
      <c r="H1319">
        <v>406886</v>
      </c>
      <c r="I1319">
        <v>1919</v>
      </c>
      <c r="J1319">
        <v>160166</v>
      </c>
      <c r="K1319">
        <v>346422</v>
      </c>
      <c r="L1319">
        <v>-25917</v>
      </c>
      <c r="M1319">
        <v>6.42</v>
      </c>
      <c r="N1319">
        <f t="shared" si="60"/>
        <v>246458</v>
      </c>
      <c r="O1319">
        <v>23843750</v>
      </c>
      <c r="P1319" s="2">
        <f t="shared" si="61"/>
        <v>1.0336377457404979</v>
      </c>
      <c r="Q1319" s="4">
        <f t="shared" si="62"/>
        <v>15.3076875</v>
      </c>
    </row>
    <row r="1320" spans="1:17" x14ac:dyDescent="0.4">
      <c r="A1320">
        <v>20210828</v>
      </c>
      <c r="B1320" s="1">
        <v>0.45833333333333331</v>
      </c>
      <c r="C1320">
        <v>39955</v>
      </c>
      <c r="D1320">
        <v>147874</v>
      </c>
      <c r="E1320">
        <v>-991608</v>
      </c>
      <c r="F1320">
        <v>198628</v>
      </c>
      <c r="G1320">
        <v>-48767</v>
      </c>
      <c r="H1320">
        <v>449156</v>
      </c>
      <c r="I1320">
        <v>-7270</v>
      </c>
      <c r="J1320">
        <v>138922</v>
      </c>
      <c r="K1320">
        <v>408567</v>
      </c>
      <c r="L1320">
        <v>-20945</v>
      </c>
      <c r="M1320">
        <v>6.45</v>
      </c>
      <c r="N1320">
        <f t="shared" si="60"/>
        <v>314512</v>
      </c>
      <c r="O1320">
        <v>24027100</v>
      </c>
      <c r="P1320" s="2">
        <f t="shared" si="61"/>
        <v>1.3089886003720799</v>
      </c>
      <c r="Q1320" s="4">
        <f t="shared" si="62"/>
        <v>15.497479500000001</v>
      </c>
    </row>
    <row r="1321" spans="1:17" x14ac:dyDescent="0.4">
      <c r="A1321">
        <v>20210828</v>
      </c>
      <c r="B1321" s="1">
        <v>0.47916666666666669</v>
      </c>
      <c r="C1321">
        <v>78877</v>
      </c>
      <c r="D1321">
        <v>12219</v>
      </c>
      <c r="E1321">
        <v>-1059029</v>
      </c>
      <c r="F1321">
        <v>198</v>
      </c>
      <c r="G1321">
        <v>-32116</v>
      </c>
      <c r="H1321">
        <v>435502</v>
      </c>
      <c r="I1321">
        <v>-15811</v>
      </c>
      <c r="J1321">
        <v>119451</v>
      </c>
      <c r="K1321">
        <v>381545</v>
      </c>
      <c r="L1321">
        <v>-17861</v>
      </c>
      <c r="M1321">
        <v>6.69</v>
      </c>
      <c r="N1321">
        <f t="shared" si="60"/>
        <v>-97025</v>
      </c>
      <c r="O1321">
        <v>23269750</v>
      </c>
      <c r="P1321" s="2">
        <f t="shared" si="61"/>
        <v>-0.41695763813534742</v>
      </c>
      <c r="Q1321" s="4">
        <f t="shared" si="62"/>
        <v>15.567462750000001</v>
      </c>
    </row>
    <row r="1322" spans="1:17" x14ac:dyDescent="0.4">
      <c r="A1322">
        <v>20210828</v>
      </c>
      <c r="B1322" s="1">
        <v>0.5</v>
      </c>
      <c r="C1322">
        <v>36297</v>
      </c>
      <c r="D1322">
        <v>100221</v>
      </c>
      <c r="E1322">
        <v>-1074795</v>
      </c>
      <c r="F1322">
        <v>-51422</v>
      </c>
      <c r="G1322">
        <v>-7334</v>
      </c>
      <c r="H1322">
        <v>474220</v>
      </c>
      <c r="I1322">
        <v>-78422</v>
      </c>
      <c r="J1322">
        <v>109822</v>
      </c>
      <c r="K1322">
        <v>173770</v>
      </c>
      <c r="L1322">
        <v>18295</v>
      </c>
      <c r="M1322">
        <v>6.57</v>
      </c>
      <c r="N1322">
        <f t="shared" si="60"/>
        <v>-299348</v>
      </c>
      <c r="O1322">
        <v>23287900</v>
      </c>
      <c r="P1322" s="2">
        <f t="shared" si="61"/>
        <v>-1.2854229020220802</v>
      </c>
      <c r="Q1322" s="4">
        <f t="shared" si="62"/>
        <v>15.3001503</v>
      </c>
    </row>
    <row r="1323" spans="1:17" x14ac:dyDescent="0.4">
      <c r="A1323">
        <v>20210828</v>
      </c>
      <c r="B1323" s="1">
        <v>0.52083333333333337</v>
      </c>
      <c r="C1323">
        <v>44800</v>
      </c>
      <c r="D1323">
        <v>174054</v>
      </c>
      <c r="E1323">
        <v>-1059259</v>
      </c>
      <c r="F1323">
        <v>-12391</v>
      </c>
      <c r="G1323">
        <v>26608</v>
      </c>
      <c r="H1323">
        <v>447845</v>
      </c>
      <c r="I1323">
        <v>-15586</v>
      </c>
      <c r="J1323">
        <v>83155</v>
      </c>
      <c r="K1323">
        <v>180715</v>
      </c>
      <c r="L1323">
        <v>17860</v>
      </c>
      <c r="M1323">
        <v>6.76</v>
      </c>
      <c r="N1323">
        <f t="shared" si="60"/>
        <v>-112199</v>
      </c>
      <c r="O1323">
        <v>23067450</v>
      </c>
      <c r="P1323" s="2">
        <f t="shared" si="61"/>
        <v>-0.48639533195043233</v>
      </c>
      <c r="Q1323" s="4">
        <f t="shared" si="62"/>
        <v>15.5935962</v>
      </c>
    </row>
    <row r="1324" spans="1:17" x14ac:dyDescent="0.4">
      <c r="A1324">
        <v>20210828</v>
      </c>
      <c r="B1324" s="1">
        <v>0.54166666666666663</v>
      </c>
      <c r="C1324">
        <v>45305</v>
      </c>
      <c r="D1324">
        <v>229037</v>
      </c>
      <c r="E1324">
        <v>-1065510</v>
      </c>
      <c r="F1324">
        <v>4027</v>
      </c>
      <c r="G1324">
        <v>-573</v>
      </c>
      <c r="H1324">
        <v>431826</v>
      </c>
      <c r="I1324">
        <v>-76801</v>
      </c>
      <c r="J1324">
        <v>95926</v>
      </c>
      <c r="K1324">
        <v>79699</v>
      </c>
      <c r="L1324">
        <v>22098</v>
      </c>
      <c r="M1324">
        <v>6.95</v>
      </c>
      <c r="N1324">
        <f t="shared" si="60"/>
        <v>-234966</v>
      </c>
      <c r="O1324">
        <v>23068550</v>
      </c>
      <c r="P1324" s="2">
        <f t="shared" si="61"/>
        <v>-1.0185555659111647</v>
      </c>
      <c r="Q1324" s="4">
        <f t="shared" si="62"/>
        <v>16.032642249999999</v>
      </c>
    </row>
    <row r="1325" spans="1:17" x14ac:dyDescent="0.4">
      <c r="A1325">
        <v>20210828</v>
      </c>
      <c r="B1325" s="1">
        <v>0.5625</v>
      </c>
      <c r="C1325">
        <v>80189</v>
      </c>
      <c r="D1325">
        <v>212593</v>
      </c>
      <c r="E1325">
        <v>-1037113</v>
      </c>
      <c r="F1325">
        <v>-70510</v>
      </c>
      <c r="G1325">
        <v>8657</v>
      </c>
      <c r="H1325">
        <v>324336</v>
      </c>
      <c r="I1325">
        <v>61345</v>
      </c>
      <c r="J1325">
        <v>91536</v>
      </c>
      <c r="K1325">
        <v>38502</v>
      </c>
      <c r="L1325">
        <v>23406</v>
      </c>
      <c r="M1325">
        <v>7.03</v>
      </c>
      <c r="N1325">
        <f t="shared" si="60"/>
        <v>-267059</v>
      </c>
      <c r="O1325">
        <v>22807250</v>
      </c>
      <c r="P1325" s="2">
        <f t="shared" si="61"/>
        <v>-1.1709390654287561</v>
      </c>
      <c r="Q1325" s="4">
        <f t="shared" si="62"/>
        <v>16.033496750000001</v>
      </c>
    </row>
    <row r="1326" spans="1:17" x14ac:dyDescent="0.4">
      <c r="A1326">
        <v>20210828</v>
      </c>
      <c r="B1326" s="1">
        <v>0.58333333333333337</v>
      </c>
      <c r="C1326">
        <v>47903</v>
      </c>
      <c r="D1326">
        <v>242846</v>
      </c>
      <c r="E1326">
        <v>-921368</v>
      </c>
      <c r="F1326">
        <v>-141448</v>
      </c>
      <c r="G1326">
        <v>14297</v>
      </c>
      <c r="H1326">
        <v>371464</v>
      </c>
      <c r="I1326">
        <v>110227</v>
      </c>
      <c r="J1326">
        <v>78860</v>
      </c>
      <c r="K1326">
        <v>84985</v>
      </c>
      <c r="L1326">
        <v>33093</v>
      </c>
      <c r="M1326">
        <v>8.39</v>
      </c>
      <c r="N1326">
        <f t="shared" si="60"/>
        <v>-79141</v>
      </c>
      <c r="O1326">
        <v>22325700</v>
      </c>
      <c r="P1326" s="2">
        <f t="shared" si="61"/>
        <v>-0.35448384597123495</v>
      </c>
      <c r="Q1326" s="4">
        <f t="shared" si="62"/>
        <v>18.731262300000001</v>
      </c>
    </row>
    <row r="1327" spans="1:17" x14ac:dyDescent="0.4">
      <c r="A1327">
        <v>20210828</v>
      </c>
      <c r="B1327" s="1">
        <v>0.60416666666666663</v>
      </c>
      <c r="C1327">
        <v>-9090</v>
      </c>
      <c r="D1327">
        <v>255977</v>
      </c>
      <c r="E1327">
        <v>-786769</v>
      </c>
      <c r="F1327">
        <v>-142428</v>
      </c>
      <c r="G1327">
        <v>22844</v>
      </c>
      <c r="H1327">
        <v>284813</v>
      </c>
      <c r="I1327">
        <v>128958</v>
      </c>
      <c r="J1327">
        <v>59273</v>
      </c>
      <c r="K1327">
        <v>150585</v>
      </c>
      <c r="L1327">
        <v>26388</v>
      </c>
      <c r="M1327">
        <v>8.39</v>
      </c>
      <c r="N1327">
        <f t="shared" si="60"/>
        <v>-9449</v>
      </c>
      <c r="O1327">
        <v>21798950</v>
      </c>
      <c r="P1327" s="2">
        <f t="shared" si="61"/>
        <v>-4.3346124469297836E-2</v>
      </c>
      <c r="Q1327" s="4">
        <f t="shared" si="62"/>
        <v>18.28931905</v>
      </c>
    </row>
    <row r="1328" spans="1:17" x14ac:dyDescent="0.4">
      <c r="A1328">
        <v>20210828</v>
      </c>
      <c r="B1328" s="1">
        <v>0.625</v>
      </c>
      <c r="C1328">
        <v>-2935</v>
      </c>
      <c r="D1328">
        <v>330076</v>
      </c>
      <c r="E1328">
        <v>-694954</v>
      </c>
      <c r="F1328">
        <v>69171</v>
      </c>
      <c r="G1328">
        <v>-8487</v>
      </c>
      <c r="H1328">
        <v>295705</v>
      </c>
      <c r="I1328">
        <v>41585</v>
      </c>
      <c r="J1328">
        <v>65725</v>
      </c>
      <c r="K1328">
        <v>230206</v>
      </c>
      <c r="L1328">
        <v>9657</v>
      </c>
      <c r="M1328">
        <v>8.8800000000000008</v>
      </c>
      <c r="N1328">
        <f t="shared" si="60"/>
        <v>335749</v>
      </c>
      <c r="O1328">
        <v>21328100</v>
      </c>
      <c r="P1328" s="2">
        <f t="shared" si="61"/>
        <v>1.5742096107951482</v>
      </c>
      <c r="Q1328" s="4">
        <f t="shared" si="62"/>
        <v>18.939352800000002</v>
      </c>
    </row>
    <row r="1329" spans="1:17" x14ac:dyDescent="0.4">
      <c r="A1329">
        <v>20210828</v>
      </c>
      <c r="B1329" s="1">
        <v>0.64583333333333337</v>
      </c>
      <c r="C1329">
        <v>93596</v>
      </c>
      <c r="D1329">
        <v>361705</v>
      </c>
      <c r="E1329">
        <v>-868814</v>
      </c>
      <c r="F1329">
        <v>-212781</v>
      </c>
      <c r="G1329">
        <v>-4440</v>
      </c>
      <c r="H1329">
        <v>242338</v>
      </c>
      <c r="I1329">
        <v>13816</v>
      </c>
      <c r="J1329">
        <v>45021</v>
      </c>
      <c r="K1329">
        <v>163397</v>
      </c>
      <c r="L1329">
        <v>-5371</v>
      </c>
      <c r="M1329">
        <v>9.76</v>
      </c>
      <c r="N1329">
        <f t="shared" si="60"/>
        <v>-171533</v>
      </c>
      <c r="O1329">
        <v>20815900</v>
      </c>
      <c r="P1329" s="2">
        <f t="shared" si="61"/>
        <v>-0.82404796333571928</v>
      </c>
      <c r="Q1329" s="4">
        <f t="shared" si="62"/>
        <v>20.3163184</v>
      </c>
    </row>
    <row r="1330" spans="1:17" x14ac:dyDescent="0.4">
      <c r="A1330">
        <v>20210828</v>
      </c>
      <c r="B1330" s="1">
        <v>0.66666666666666663</v>
      </c>
      <c r="C1330">
        <v>27028</v>
      </c>
      <c r="D1330">
        <v>374492</v>
      </c>
      <c r="E1330">
        <v>-887917</v>
      </c>
      <c r="F1330">
        <v>-443000</v>
      </c>
      <c r="G1330">
        <v>-28275</v>
      </c>
      <c r="H1330">
        <v>200959</v>
      </c>
      <c r="I1330">
        <v>-33756</v>
      </c>
      <c r="J1330">
        <v>8016</v>
      </c>
      <c r="K1330">
        <v>123201</v>
      </c>
      <c r="L1330">
        <v>-27385</v>
      </c>
      <c r="M1330">
        <v>10.27</v>
      </c>
      <c r="N1330">
        <f t="shared" si="60"/>
        <v>-686637</v>
      </c>
      <c r="O1330">
        <v>20857000</v>
      </c>
      <c r="P1330" s="2">
        <f t="shared" si="61"/>
        <v>-3.2921177542311932</v>
      </c>
      <c r="Q1330" s="4">
        <f t="shared" si="62"/>
        <v>21.420138999999999</v>
      </c>
    </row>
    <row r="1331" spans="1:17" x14ac:dyDescent="0.4">
      <c r="A1331">
        <v>20210828</v>
      </c>
      <c r="B1331" s="1">
        <v>0.6875</v>
      </c>
      <c r="C1331">
        <v>74733</v>
      </c>
      <c r="D1331">
        <v>236264</v>
      </c>
      <c r="E1331">
        <v>-861890</v>
      </c>
      <c r="F1331">
        <v>-441293</v>
      </c>
      <c r="G1331">
        <v>-3533</v>
      </c>
      <c r="H1331">
        <v>327867</v>
      </c>
      <c r="I1331">
        <v>-65266</v>
      </c>
      <c r="J1331">
        <v>-31595</v>
      </c>
      <c r="K1331">
        <v>68700</v>
      </c>
      <c r="L1331">
        <v>-29580</v>
      </c>
      <c r="M1331">
        <v>10.32</v>
      </c>
      <c r="N1331">
        <f t="shared" si="60"/>
        <v>-725593</v>
      </c>
      <c r="O1331">
        <v>20193850</v>
      </c>
      <c r="P1331" s="2">
        <f t="shared" si="61"/>
        <v>-3.5931385050399007</v>
      </c>
      <c r="Q1331" s="4">
        <f t="shared" si="62"/>
        <v>20.8400532</v>
      </c>
    </row>
    <row r="1332" spans="1:17" x14ac:dyDescent="0.4">
      <c r="A1332">
        <v>20210828</v>
      </c>
      <c r="B1332" s="1">
        <v>0.70833333333333337</v>
      </c>
      <c r="C1332">
        <v>39161</v>
      </c>
      <c r="D1332">
        <v>129695</v>
      </c>
      <c r="E1332">
        <v>-830418</v>
      </c>
      <c r="F1332">
        <v>-355165</v>
      </c>
      <c r="G1332">
        <v>-7382</v>
      </c>
      <c r="H1332">
        <v>286439</v>
      </c>
      <c r="I1332">
        <v>77298</v>
      </c>
      <c r="J1332">
        <v>-70563</v>
      </c>
      <c r="K1332">
        <v>52241</v>
      </c>
      <c r="L1332">
        <v>-15816</v>
      </c>
      <c r="M1332">
        <v>10.32</v>
      </c>
      <c r="N1332">
        <f t="shared" si="60"/>
        <v>-694510</v>
      </c>
      <c r="O1332">
        <v>20026200</v>
      </c>
      <c r="P1332" s="2">
        <f t="shared" si="61"/>
        <v>-3.4680069109466598</v>
      </c>
      <c r="Q1332" s="4">
        <f t="shared" si="62"/>
        <v>20.667038399999999</v>
      </c>
    </row>
    <row r="1333" spans="1:17" x14ac:dyDescent="0.4">
      <c r="A1333">
        <v>20210828</v>
      </c>
      <c r="B1333" s="1">
        <v>0.72916666666666663</v>
      </c>
      <c r="C1333">
        <v>39535</v>
      </c>
      <c r="D1333">
        <v>95383</v>
      </c>
      <c r="E1333">
        <v>-680412</v>
      </c>
      <c r="F1333">
        <v>-214991</v>
      </c>
      <c r="G1333">
        <v>-17245</v>
      </c>
      <c r="H1333">
        <v>405422</v>
      </c>
      <c r="I1333">
        <v>252399</v>
      </c>
      <c r="J1333">
        <v>-66484</v>
      </c>
      <c r="K1333">
        <v>70919</v>
      </c>
      <c r="L1333">
        <v>-18540</v>
      </c>
      <c r="M1333">
        <v>10.36</v>
      </c>
      <c r="N1333">
        <f t="shared" si="60"/>
        <v>-134014</v>
      </c>
      <c r="O1333">
        <v>19680500</v>
      </c>
      <c r="P1333" s="2">
        <f t="shared" si="61"/>
        <v>-0.68094814664261583</v>
      </c>
      <c r="Q1333" s="4">
        <f t="shared" si="62"/>
        <v>20.388998000000001</v>
      </c>
    </row>
    <row r="1334" spans="1:17" x14ac:dyDescent="0.4">
      <c r="A1334">
        <v>20210828</v>
      </c>
      <c r="B1334" s="1">
        <v>0.75</v>
      </c>
      <c r="C1334">
        <v>2894</v>
      </c>
      <c r="D1334">
        <v>126129</v>
      </c>
      <c r="E1334">
        <v>-797923</v>
      </c>
      <c r="F1334">
        <v>-167693</v>
      </c>
      <c r="G1334">
        <v>22349</v>
      </c>
      <c r="H1334">
        <v>506550</v>
      </c>
      <c r="I1334">
        <v>154470</v>
      </c>
      <c r="J1334">
        <v>-515</v>
      </c>
      <c r="K1334">
        <v>219912</v>
      </c>
      <c r="L1334">
        <v>-10334</v>
      </c>
      <c r="M1334">
        <v>10.36</v>
      </c>
      <c r="N1334">
        <f t="shared" si="60"/>
        <v>55839</v>
      </c>
      <c r="O1334">
        <v>19768350</v>
      </c>
      <c r="P1334" s="2">
        <f t="shared" si="61"/>
        <v>0.28246667020768046</v>
      </c>
      <c r="Q1334" s="4">
        <f t="shared" si="62"/>
        <v>20.4800106</v>
      </c>
    </row>
    <row r="1335" spans="1:17" x14ac:dyDescent="0.4">
      <c r="A1335">
        <v>20210828</v>
      </c>
      <c r="B1335" s="1">
        <v>0.77083333333333337</v>
      </c>
      <c r="C1335">
        <v>24880</v>
      </c>
      <c r="D1335">
        <v>93049</v>
      </c>
      <c r="E1335">
        <v>-644597</v>
      </c>
      <c r="F1335">
        <v>-154818</v>
      </c>
      <c r="G1335">
        <v>11838</v>
      </c>
      <c r="H1335">
        <v>275752</v>
      </c>
      <c r="I1335">
        <v>57835</v>
      </c>
      <c r="J1335">
        <v>45207</v>
      </c>
      <c r="K1335">
        <v>235713</v>
      </c>
      <c r="L1335">
        <v>-14048</v>
      </c>
      <c r="M1335">
        <v>10.36</v>
      </c>
      <c r="N1335">
        <f t="shared" si="60"/>
        <v>-69189</v>
      </c>
      <c r="O1335">
        <v>20002950</v>
      </c>
      <c r="P1335" s="2">
        <f t="shared" si="61"/>
        <v>-0.34589398063785592</v>
      </c>
      <c r="Q1335" s="4">
        <f t="shared" si="62"/>
        <v>20.723056199999998</v>
      </c>
    </row>
    <row r="1336" spans="1:17" x14ac:dyDescent="0.4">
      <c r="A1336">
        <v>20210828</v>
      </c>
      <c r="B1336" s="1">
        <v>0.79166666666666663</v>
      </c>
      <c r="C1336">
        <v>-9948</v>
      </c>
      <c r="D1336">
        <v>131185</v>
      </c>
      <c r="E1336">
        <v>-407959</v>
      </c>
      <c r="F1336">
        <v>-34455</v>
      </c>
      <c r="G1336">
        <v>23623</v>
      </c>
      <c r="H1336">
        <v>336613</v>
      </c>
      <c r="I1336">
        <v>137544</v>
      </c>
      <c r="J1336">
        <v>71018</v>
      </c>
      <c r="K1336">
        <v>278184</v>
      </c>
      <c r="L1336">
        <v>-9646</v>
      </c>
      <c r="M1336">
        <v>10.36</v>
      </c>
      <c r="N1336">
        <f t="shared" si="60"/>
        <v>516159</v>
      </c>
      <c r="O1336">
        <v>20124250</v>
      </c>
      <c r="P1336" s="2">
        <f t="shared" si="61"/>
        <v>2.5648608022659229</v>
      </c>
      <c r="Q1336" s="4">
        <f t="shared" si="62"/>
        <v>20.848723</v>
      </c>
    </row>
    <row r="1337" spans="1:17" x14ac:dyDescent="0.4">
      <c r="A1337">
        <v>20210828</v>
      </c>
      <c r="B1337" s="1">
        <v>0.8125</v>
      </c>
      <c r="C1337">
        <v>41308</v>
      </c>
      <c r="D1337">
        <v>147685</v>
      </c>
      <c r="E1337">
        <v>-49402</v>
      </c>
      <c r="F1337">
        <v>-9494</v>
      </c>
      <c r="G1337">
        <v>39183</v>
      </c>
      <c r="H1337">
        <v>468093</v>
      </c>
      <c r="I1337">
        <v>196403</v>
      </c>
      <c r="J1337">
        <v>81256</v>
      </c>
      <c r="K1337">
        <v>347923</v>
      </c>
      <c r="L1337">
        <v>-4615</v>
      </c>
      <c r="M1337">
        <v>10.36</v>
      </c>
      <c r="N1337">
        <f t="shared" si="60"/>
        <v>1258340</v>
      </c>
      <c r="O1337">
        <v>20197450</v>
      </c>
      <c r="P1337" s="2">
        <f t="shared" si="61"/>
        <v>6.2301924252814089</v>
      </c>
      <c r="Q1337" s="4">
        <f t="shared" si="62"/>
        <v>20.9245582</v>
      </c>
    </row>
    <row r="1338" spans="1:17" x14ac:dyDescent="0.4">
      <c r="A1338">
        <v>20210828</v>
      </c>
      <c r="B1338" s="1">
        <v>0.83333333333333337</v>
      </c>
      <c r="C1338">
        <v>27388</v>
      </c>
      <c r="D1338">
        <v>140678</v>
      </c>
      <c r="E1338">
        <v>-53969</v>
      </c>
      <c r="F1338">
        <v>70185</v>
      </c>
      <c r="G1338">
        <v>83202</v>
      </c>
      <c r="H1338">
        <v>487395</v>
      </c>
      <c r="I1338">
        <v>249103</v>
      </c>
      <c r="J1338">
        <v>83419</v>
      </c>
      <c r="K1338">
        <v>410042</v>
      </c>
      <c r="L1338">
        <v>-12706</v>
      </c>
      <c r="M1338">
        <v>10.32</v>
      </c>
      <c r="N1338">
        <f t="shared" si="60"/>
        <v>1484737</v>
      </c>
      <c r="O1338">
        <v>20178850</v>
      </c>
      <c r="P1338" s="2">
        <f t="shared" si="61"/>
        <v>7.3578870946560384</v>
      </c>
      <c r="Q1338" s="4">
        <f t="shared" si="62"/>
        <v>20.8245732</v>
      </c>
    </row>
    <row r="1339" spans="1:17" x14ac:dyDescent="0.4">
      <c r="A1339">
        <v>20210828</v>
      </c>
      <c r="B1339" s="1">
        <v>0.85416666666666663</v>
      </c>
      <c r="C1339">
        <v>9043</v>
      </c>
      <c r="D1339">
        <v>101364</v>
      </c>
      <c r="E1339">
        <v>19201</v>
      </c>
      <c r="F1339">
        <v>-21340</v>
      </c>
      <c r="G1339">
        <v>52146</v>
      </c>
      <c r="H1339">
        <v>284661</v>
      </c>
      <c r="I1339">
        <v>188244</v>
      </c>
      <c r="J1339">
        <v>90552</v>
      </c>
      <c r="K1339">
        <v>449116</v>
      </c>
      <c r="L1339">
        <v>-3690</v>
      </c>
      <c r="M1339">
        <v>10.17</v>
      </c>
      <c r="N1339">
        <f t="shared" si="60"/>
        <v>1169297</v>
      </c>
      <c r="O1339">
        <v>20188850</v>
      </c>
      <c r="P1339" s="2">
        <f t="shared" si="61"/>
        <v>5.7917959665855161</v>
      </c>
      <c r="Q1339" s="4">
        <f t="shared" si="62"/>
        <v>20.532060449999999</v>
      </c>
    </row>
    <row r="1340" spans="1:17" x14ac:dyDescent="0.4">
      <c r="A1340">
        <v>20210828</v>
      </c>
      <c r="B1340" s="1">
        <v>0.875</v>
      </c>
      <c r="C1340">
        <v>57486</v>
      </c>
      <c r="D1340">
        <v>147755</v>
      </c>
      <c r="E1340">
        <v>56414</v>
      </c>
      <c r="F1340">
        <v>66865</v>
      </c>
      <c r="G1340">
        <v>56297</v>
      </c>
      <c r="H1340">
        <v>599258</v>
      </c>
      <c r="I1340">
        <v>111627</v>
      </c>
      <c r="J1340">
        <v>71756</v>
      </c>
      <c r="K1340">
        <v>420587</v>
      </c>
      <c r="L1340">
        <v>-5020</v>
      </c>
      <c r="M1340">
        <v>9.9</v>
      </c>
      <c r="N1340">
        <f t="shared" si="60"/>
        <v>1583025</v>
      </c>
      <c r="O1340">
        <v>19903200</v>
      </c>
      <c r="P1340" s="2">
        <f t="shared" si="61"/>
        <v>7.9536205233329316</v>
      </c>
      <c r="Q1340" s="4">
        <f t="shared" si="62"/>
        <v>19.704167999999999</v>
      </c>
    </row>
    <row r="1341" spans="1:17" x14ac:dyDescent="0.4">
      <c r="A1341">
        <v>20210828</v>
      </c>
      <c r="B1341" s="1">
        <v>0.89583333333333337</v>
      </c>
      <c r="C1341">
        <v>26691</v>
      </c>
      <c r="D1341">
        <v>60965</v>
      </c>
      <c r="E1341">
        <v>-38942</v>
      </c>
      <c r="F1341">
        <v>137036</v>
      </c>
      <c r="G1341">
        <v>21910</v>
      </c>
      <c r="H1341">
        <v>592522</v>
      </c>
      <c r="I1341">
        <v>114345</v>
      </c>
      <c r="J1341">
        <v>46160</v>
      </c>
      <c r="K1341">
        <v>329980</v>
      </c>
      <c r="L1341">
        <v>4254</v>
      </c>
      <c r="M1341">
        <v>9.9</v>
      </c>
      <c r="N1341">
        <f t="shared" si="60"/>
        <v>1294921</v>
      </c>
      <c r="O1341">
        <v>19327250</v>
      </c>
      <c r="P1341" s="2">
        <f t="shared" si="61"/>
        <v>6.6999754233012974</v>
      </c>
      <c r="Q1341" s="4">
        <f t="shared" si="62"/>
        <v>19.1339775</v>
      </c>
    </row>
    <row r="1342" spans="1:17" x14ac:dyDescent="0.4">
      <c r="A1342">
        <v>20210828</v>
      </c>
      <c r="B1342" s="1">
        <v>0.91666666666666663</v>
      </c>
      <c r="C1342">
        <v>51900</v>
      </c>
      <c r="D1342">
        <v>56542</v>
      </c>
      <c r="E1342">
        <v>-102157</v>
      </c>
      <c r="F1342">
        <v>66954</v>
      </c>
      <c r="G1342">
        <v>36484</v>
      </c>
      <c r="H1342">
        <v>566026</v>
      </c>
      <c r="I1342">
        <v>150635</v>
      </c>
      <c r="J1342">
        <v>48182</v>
      </c>
      <c r="K1342">
        <v>308336</v>
      </c>
      <c r="L1342">
        <v>-8730</v>
      </c>
      <c r="M1342">
        <v>9.35</v>
      </c>
      <c r="N1342">
        <f t="shared" si="60"/>
        <v>1174172</v>
      </c>
      <c r="O1342">
        <v>19090500</v>
      </c>
      <c r="P1342" s="2">
        <f t="shared" si="61"/>
        <v>6.1505565595453238</v>
      </c>
      <c r="Q1342" s="4">
        <f t="shared" si="62"/>
        <v>17.849617500000001</v>
      </c>
    </row>
    <row r="1343" spans="1:17" x14ac:dyDescent="0.4">
      <c r="A1343">
        <v>20210828</v>
      </c>
      <c r="B1343" s="1">
        <v>0.9375</v>
      </c>
      <c r="C1343">
        <v>15958</v>
      </c>
      <c r="D1343">
        <v>159854</v>
      </c>
      <c r="E1343">
        <v>-69216</v>
      </c>
      <c r="F1343">
        <v>126022</v>
      </c>
      <c r="G1343">
        <v>45960</v>
      </c>
      <c r="H1343">
        <v>498351</v>
      </c>
      <c r="I1343">
        <v>143605</v>
      </c>
      <c r="J1343">
        <v>33729</v>
      </c>
      <c r="K1343">
        <v>231803</v>
      </c>
      <c r="L1343">
        <v>-2370</v>
      </c>
      <c r="M1343">
        <v>8.39</v>
      </c>
      <c r="N1343">
        <f t="shared" si="60"/>
        <v>1183696</v>
      </c>
      <c r="O1343">
        <v>19224650</v>
      </c>
      <c r="P1343" s="2">
        <f t="shared" si="61"/>
        <v>6.1571784141713897</v>
      </c>
      <c r="Q1343" s="4">
        <f t="shared" si="62"/>
        <v>16.129481349999999</v>
      </c>
    </row>
    <row r="1344" spans="1:17" x14ac:dyDescent="0.4">
      <c r="A1344">
        <v>20210828</v>
      </c>
      <c r="B1344" s="1">
        <v>0.95833333333333337</v>
      </c>
      <c r="C1344">
        <v>23217</v>
      </c>
      <c r="D1344">
        <v>87070</v>
      </c>
      <c r="E1344">
        <v>-95613</v>
      </c>
      <c r="F1344">
        <v>-3513</v>
      </c>
      <c r="G1344">
        <v>45587</v>
      </c>
      <c r="H1344">
        <v>240253</v>
      </c>
      <c r="I1344">
        <v>102392</v>
      </c>
      <c r="J1344">
        <v>22940</v>
      </c>
      <c r="K1344">
        <v>179258</v>
      </c>
      <c r="L1344">
        <v>6213</v>
      </c>
      <c r="M1344">
        <v>8.7200000000000006</v>
      </c>
      <c r="N1344">
        <f t="shared" si="60"/>
        <v>607804</v>
      </c>
      <c r="O1344">
        <v>19110800</v>
      </c>
      <c r="P1344" s="2">
        <f t="shared" si="61"/>
        <v>3.1804215417460284</v>
      </c>
      <c r="Q1344" s="4">
        <f t="shared" si="62"/>
        <v>16.6646176</v>
      </c>
    </row>
    <row r="1345" spans="1:17" x14ac:dyDescent="0.4">
      <c r="A1345">
        <v>20210828</v>
      </c>
      <c r="B1345" s="1">
        <v>0.97916666666666663</v>
      </c>
      <c r="C1345">
        <v>35516</v>
      </c>
      <c r="D1345">
        <v>93003</v>
      </c>
      <c r="E1345">
        <v>-108901</v>
      </c>
      <c r="F1345">
        <v>98825</v>
      </c>
      <c r="G1345">
        <v>51570</v>
      </c>
      <c r="H1345">
        <v>293035</v>
      </c>
      <c r="I1345">
        <v>71422</v>
      </c>
      <c r="J1345">
        <v>20957</v>
      </c>
      <c r="K1345">
        <v>188271</v>
      </c>
      <c r="L1345">
        <v>7205</v>
      </c>
      <c r="M1345">
        <v>7.49</v>
      </c>
      <c r="N1345">
        <f t="shared" si="60"/>
        <v>750903</v>
      </c>
      <c r="O1345">
        <v>18290250</v>
      </c>
      <c r="P1345" s="2">
        <f t="shared" si="61"/>
        <v>4.1054824291630787</v>
      </c>
      <c r="Q1345" s="4">
        <f t="shared" si="62"/>
        <v>13.699397250000001</v>
      </c>
    </row>
    <row r="1346" spans="1:17" x14ac:dyDescent="0.4">
      <c r="A1346">
        <v>20210829</v>
      </c>
      <c r="B1346" s="1">
        <v>0</v>
      </c>
      <c r="C1346">
        <v>23082</v>
      </c>
      <c r="D1346">
        <v>114870</v>
      </c>
      <c r="E1346">
        <v>-70458</v>
      </c>
      <c r="F1346">
        <v>-10204</v>
      </c>
      <c r="G1346">
        <v>22423</v>
      </c>
      <c r="H1346">
        <v>467305</v>
      </c>
      <c r="I1346">
        <v>-32531</v>
      </c>
      <c r="J1346">
        <v>77631</v>
      </c>
      <c r="K1346">
        <v>-24138</v>
      </c>
      <c r="L1346">
        <v>-7830</v>
      </c>
      <c r="M1346">
        <v>7.01</v>
      </c>
      <c r="N1346">
        <f t="shared" si="60"/>
        <v>560150</v>
      </c>
      <c r="O1346">
        <v>16988150</v>
      </c>
      <c r="P1346" s="2">
        <f t="shared" si="61"/>
        <v>3.2972984109511629</v>
      </c>
      <c r="Q1346" s="4">
        <f t="shared" si="62"/>
        <v>11.90869315</v>
      </c>
    </row>
    <row r="1347" spans="1:17" x14ac:dyDescent="0.4">
      <c r="A1347">
        <v>20210829</v>
      </c>
      <c r="B1347" s="1">
        <v>2.0833333333333332E-2</v>
      </c>
      <c r="C1347">
        <v>28090</v>
      </c>
      <c r="D1347">
        <v>45461</v>
      </c>
      <c r="E1347">
        <v>-115685</v>
      </c>
      <c r="F1347">
        <v>-24885</v>
      </c>
      <c r="G1347">
        <v>30284</v>
      </c>
      <c r="H1347">
        <v>271927</v>
      </c>
      <c r="I1347">
        <v>-15620</v>
      </c>
      <c r="J1347">
        <v>44621</v>
      </c>
      <c r="K1347">
        <v>-26195</v>
      </c>
      <c r="L1347">
        <v>-8000</v>
      </c>
      <c r="M1347">
        <v>6.9</v>
      </c>
      <c r="N1347">
        <f t="shared" ref="N1347:N1410" si="63">C1347+D1347+E1347+F1347+G1347+H1347+I1347+J1347+K1347+L1347</f>
        <v>229998</v>
      </c>
      <c r="O1347">
        <v>18120000</v>
      </c>
      <c r="P1347" s="2">
        <f t="shared" ref="P1347:P1410" si="64">((N1347*100)/O1347)</f>
        <v>1.2693046357615894</v>
      </c>
      <c r="Q1347" s="4">
        <f t="shared" ref="Q1347:Q1410" si="65">(M1347*O1347)/10^7</f>
        <v>12.502800000000001</v>
      </c>
    </row>
    <row r="1348" spans="1:17" x14ac:dyDescent="0.4">
      <c r="A1348">
        <v>20210829</v>
      </c>
      <c r="B1348" s="1">
        <v>4.1666666666666664E-2</v>
      </c>
      <c r="C1348">
        <v>11714</v>
      </c>
      <c r="D1348">
        <v>64197</v>
      </c>
      <c r="E1348">
        <v>-26510</v>
      </c>
      <c r="F1348">
        <v>86617</v>
      </c>
      <c r="G1348">
        <v>7703</v>
      </c>
      <c r="H1348">
        <v>126049</v>
      </c>
      <c r="I1348">
        <v>-10046</v>
      </c>
      <c r="J1348">
        <v>43015</v>
      </c>
      <c r="K1348">
        <v>-42905</v>
      </c>
      <c r="L1348">
        <v>-4218</v>
      </c>
      <c r="M1348">
        <v>6.89</v>
      </c>
      <c r="N1348">
        <f t="shared" si="63"/>
        <v>255616</v>
      </c>
      <c r="O1348">
        <v>18594300</v>
      </c>
      <c r="P1348" s="2">
        <f t="shared" si="64"/>
        <v>1.3747008491849653</v>
      </c>
      <c r="Q1348" s="4">
        <f t="shared" si="65"/>
        <v>12.811472699999999</v>
      </c>
    </row>
    <row r="1349" spans="1:17" x14ac:dyDescent="0.4">
      <c r="A1349">
        <v>20210829</v>
      </c>
      <c r="B1349" s="1">
        <v>6.25E-2</v>
      </c>
      <c r="C1349">
        <v>6972</v>
      </c>
      <c r="D1349">
        <v>29798</v>
      </c>
      <c r="E1349">
        <v>-73993</v>
      </c>
      <c r="F1349">
        <v>50300</v>
      </c>
      <c r="G1349">
        <v>38690</v>
      </c>
      <c r="H1349">
        <v>41290</v>
      </c>
      <c r="I1349">
        <v>-35201</v>
      </c>
      <c r="J1349">
        <v>47029</v>
      </c>
      <c r="K1349">
        <v>20141</v>
      </c>
      <c r="L1349">
        <v>-4963</v>
      </c>
      <c r="M1349">
        <v>6.77</v>
      </c>
      <c r="N1349">
        <f t="shared" si="63"/>
        <v>120063</v>
      </c>
      <c r="O1349">
        <v>18600050</v>
      </c>
      <c r="P1349" s="2">
        <f t="shared" si="64"/>
        <v>0.64549826478961081</v>
      </c>
      <c r="Q1349" s="4">
        <f t="shared" si="65"/>
        <v>12.592233849999998</v>
      </c>
    </row>
    <row r="1350" spans="1:17" x14ac:dyDescent="0.4">
      <c r="A1350">
        <v>20210829</v>
      </c>
      <c r="B1350" s="1">
        <v>8.3333333333333329E-2</v>
      </c>
      <c r="C1350">
        <v>-2113</v>
      </c>
      <c r="D1350">
        <v>33577</v>
      </c>
      <c r="E1350">
        <v>-94556</v>
      </c>
      <c r="F1350">
        <v>20769</v>
      </c>
      <c r="G1350">
        <v>26023</v>
      </c>
      <c r="H1350">
        <v>46279</v>
      </c>
      <c r="I1350">
        <v>-8281</v>
      </c>
      <c r="J1350">
        <v>44530</v>
      </c>
      <c r="K1350">
        <v>43366</v>
      </c>
      <c r="L1350">
        <v>-2576</v>
      </c>
      <c r="M1350">
        <v>6.77</v>
      </c>
      <c r="N1350">
        <f t="shared" si="63"/>
        <v>107018</v>
      </c>
      <c r="O1350">
        <v>18561250</v>
      </c>
      <c r="P1350" s="2">
        <f t="shared" si="64"/>
        <v>0.57656677217321028</v>
      </c>
      <c r="Q1350" s="4">
        <f t="shared" si="65"/>
        <v>12.565966249999999</v>
      </c>
    </row>
    <row r="1351" spans="1:17" x14ac:dyDescent="0.4">
      <c r="A1351">
        <v>20210829</v>
      </c>
      <c r="B1351" s="1">
        <v>0.10416666666666667</v>
      </c>
      <c r="C1351">
        <v>17670</v>
      </c>
      <c r="D1351">
        <v>14464</v>
      </c>
      <c r="E1351">
        <v>-122284</v>
      </c>
      <c r="F1351">
        <v>33026</v>
      </c>
      <c r="G1351">
        <v>52034</v>
      </c>
      <c r="H1351">
        <v>55437</v>
      </c>
      <c r="I1351">
        <v>-46340</v>
      </c>
      <c r="J1351">
        <v>30515</v>
      </c>
      <c r="K1351">
        <v>77101</v>
      </c>
      <c r="L1351">
        <v>-12026</v>
      </c>
      <c r="M1351">
        <v>6.77</v>
      </c>
      <c r="N1351">
        <f t="shared" si="63"/>
        <v>99597</v>
      </c>
      <c r="O1351">
        <v>18568400</v>
      </c>
      <c r="P1351" s="2">
        <f t="shared" si="64"/>
        <v>0.53637900950001072</v>
      </c>
      <c r="Q1351" s="4">
        <f t="shared" si="65"/>
        <v>12.570806799999998</v>
      </c>
    </row>
    <row r="1352" spans="1:17" x14ac:dyDescent="0.4">
      <c r="A1352">
        <v>20210829</v>
      </c>
      <c r="B1352" s="1">
        <v>0.125</v>
      </c>
      <c r="C1352">
        <v>48427</v>
      </c>
      <c r="D1352">
        <v>-20810</v>
      </c>
      <c r="E1352">
        <v>-157667</v>
      </c>
      <c r="F1352">
        <v>43851</v>
      </c>
      <c r="G1352">
        <v>50861</v>
      </c>
      <c r="H1352">
        <v>64939</v>
      </c>
      <c r="I1352">
        <v>-39720</v>
      </c>
      <c r="J1352">
        <v>40219</v>
      </c>
      <c r="K1352">
        <v>39861</v>
      </c>
      <c r="L1352">
        <v>-7467</v>
      </c>
      <c r="M1352">
        <v>6.89</v>
      </c>
      <c r="N1352">
        <f t="shared" si="63"/>
        <v>62494</v>
      </c>
      <c r="O1352">
        <v>18219300</v>
      </c>
      <c r="P1352" s="2">
        <f t="shared" si="64"/>
        <v>0.34300988512182135</v>
      </c>
      <c r="Q1352" s="4">
        <f t="shared" si="65"/>
        <v>12.5530977</v>
      </c>
    </row>
    <row r="1353" spans="1:17" x14ac:dyDescent="0.4">
      <c r="A1353">
        <v>20210829</v>
      </c>
      <c r="B1353" s="1">
        <v>0.14583333333333334</v>
      </c>
      <c r="C1353">
        <v>3230</v>
      </c>
      <c r="D1353">
        <v>-3242</v>
      </c>
      <c r="E1353">
        <v>-176149</v>
      </c>
      <c r="F1353">
        <v>23714</v>
      </c>
      <c r="G1353">
        <v>84811</v>
      </c>
      <c r="H1353">
        <v>9703</v>
      </c>
      <c r="I1353">
        <v>-79315</v>
      </c>
      <c r="J1353">
        <v>27232</v>
      </c>
      <c r="K1353">
        <v>127635</v>
      </c>
      <c r="L1353">
        <v>-4025</v>
      </c>
      <c r="M1353">
        <v>6.77</v>
      </c>
      <c r="N1353">
        <f t="shared" si="63"/>
        <v>13594</v>
      </c>
      <c r="O1353">
        <v>18449050</v>
      </c>
      <c r="P1353" s="2">
        <f t="shared" si="64"/>
        <v>7.3684010829825924E-2</v>
      </c>
      <c r="Q1353" s="4">
        <f t="shared" si="65"/>
        <v>12.490006849999999</v>
      </c>
    </row>
    <row r="1354" spans="1:17" x14ac:dyDescent="0.4">
      <c r="A1354">
        <v>20210829</v>
      </c>
      <c r="B1354" s="1">
        <v>0.16666666666666666</v>
      </c>
      <c r="C1354">
        <v>-14319</v>
      </c>
      <c r="D1354">
        <v>27286</v>
      </c>
      <c r="E1354">
        <v>-240867</v>
      </c>
      <c r="F1354">
        <v>68868</v>
      </c>
      <c r="G1354">
        <v>25829</v>
      </c>
      <c r="H1354">
        <v>26946</v>
      </c>
      <c r="I1354">
        <v>-46164</v>
      </c>
      <c r="J1354">
        <v>31089</v>
      </c>
      <c r="K1354">
        <v>152611</v>
      </c>
      <c r="L1354">
        <v>-3993</v>
      </c>
      <c r="M1354">
        <v>7.05</v>
      </c>
      <c r="N1354">
        <f t="shared" si="63"/>
        <v>27286</v>
      </c>
      <c r="O1354">
        <v>18564700</v>
      </c>
      <c r="P1354" s="2">
        <f t="shared" si="64"/>
        <v>0.1469778665962822</v>
      </c>
      <c r="Q1354" s="4">
        <f t="shared" si="65"/>
        <v>13.0881135</v>
      </c>
    </row>
    <row r="1355" spans="1:17" x14ac:dyDescent="0.4">
      <c r="A1355">
        <v>20210829</v>
      </c>
      <c r="B1355" s="1">
        <v>0.1875</v>
      </c>
      <c r="C1355">
        <v>34825</v>
      </c>
      <c r="D1355">
        <v>-4358</v>
      </c>
      <c r="E1355">
        <v>-343329</v>
      </c>
      <c r="F1355">
        <v>134835</v>
      </c>
      <c r="G1355">
        <v>25881</v>
      </c>
      <c r="H1355">
        <v>-5605</v>
      </c>
      <c r="I1355">
        <v>-76675</v>
      </c>
      <c r="J1355">
        <v>25391</v>
      </c>
      <c r="K1355">
        <v>125805</v>
      </c>
      <c r="L1355">
        <v>-7649</v>
      </c>
      <c r="M1355">
        <v>7.05</v>
      </c>
      <c r="N1355">
        <f t="shared" si="63"/>
        <v>-90879</v>
      </c>
      <c r="O1355">
        <v>18312900</v>
      </c>
      <c r="P1355" s="2">
        <f t="shared" si="64"/>
        <v>-0.4962567370542077</v>
      </c>
      <c r="Q1355" s="4">
        <f t="shared" si="65"/>
        <v>12.9105945</v>
      </c>
    </row>
    <row r="1356" spans="1:17" x14ac:dyDescent="0.4">
      <c r="A1356">
        <v>20210829</v>
      </c>
      <c r="B1356" s="1">
        <v>0.20833333333333334</v>
      </c>
      <c r="C1356">
        <v>27302</v>
      </c>
      <c r="D1356">
        <v>14383</v>
      </c>
      <c r="E1356">
        <v>-327725</v>
      </c>
      <c r="F1356">
        <v>31232</v>
      </c>
      <c r="G1356">
        <v>-3570</v>
      </c>
      <c r="H1356">
        <v>64999</v>
      </c>
      <c r="I1356">
        <v>-53254</v>
      </c>
      <c r="J1356">
        <v>27725</v>
      </c>
      <c r="K1356">
        <v>191852</v>
      </c>
      <c r="L1356">
        <v>-5836</v>
      </c>
      <c r="M1356">
        <v>6.89</v>
      </c>
      <c r="N1356">
        <f t="shared" si="63"/>
        <v>-32892</v>
      </c>
      <c r="O1356">
        <v>17646200</v>
      </c>
      <c r="P1356" s="2">
        <f t="shared" si="64"/>
        <v>-0.18639707132413777</v>
      </c>
      <c r="Q1356" s="4">
        <f t="shared" si="65"/>
        <v>12.158231799999999</v>
      </c>
    </row>
    <row r="1357" spans="1:17" x14ac:dyDescent="0.4">
      <c r="A1357">
        <v>20210829</v>
      </c>
      <c r="B1357" s="1">
        <v>0.22916666666666666</v>
      </c>
      <c r="C1357">
        <v>-34034</v>
      </c>
      <c r="D1357">
        <v>-12645</v>
      </c>
      <c r="E1357">
        <v>-340428</v>
      </c>
      <c r="F1357">
        <v>-58711</v>
      </c>
      <c r="G1357">
        <v>15661</v>
      </c>
      <c r="H1357">
        <v>139409</v>
      </c>
      <c r="I1357">
        <v>1782</v>
      </c>
      <c r="J1357">
        <v>54052</v>
      </c>
      <c r="K1357">
        <v>151937</v>
      </c>
      <c r="L1357">
        <v>-2648</v>
      </c>
      <c r="M1357">
        <v>6.89</v>
      </c>
      <c r="N1357">
        <f t="shared" si="63"/>
        <v>-85625</v>
      </c>
      <c r="O1357">
        <v>17254300</v>
      </c>
      <c r="P1357" s="2">
        <f t="shared" si="64"/>
        <v>-0.49625310792092409</v>
      </c>
      <c r="Q1357" s="4">
        <f t="shared" si="65"/>
        <v>11.8882127</v>
      </c>
    </row>
    <row r="1358" spans="1:17" x14ac:dyDescent="0.4">
      <c r="A1358">
        <v>20210829</v>
      </c>
      <c r="B1358" s="1">
        <v>0.25</v>
      </c>
      <c r="C1358">
        <v>101111</v>
      </c>
      <c r="D1358">
        <v>58776</v>
      </c>
      <c r="E1358">
        <v>-332550</v>
      </c>
      <c r="F1358">
        <v>-33505</v>
      </c>
      <c r="G1358">
        <v>21697</v>
      </c>
      <c r="H1358">
        <v>71149</v>
      </c>
      <c r="I1358">
        <v>-3310</v>
      </c>
      <c r="J1358">
        <v>90294</v>
      </c>
      <c r="K1358">
        <v>218445</v>
      </c>
      <c r="L1358">
        <v>-18446</v>
      </c>
      <c r="M1358">
        <v>6.67</v>
      </c>
      <c r="N1358">
        <f t="shared" si="63"/>
        <v>173661</v>
      </c>
      <c r="O1358">
        <v>17388950</v>
      </c>
      <c r="P1358" s="2">
        <f t="shared" si="64"/>
        <v>0.99868594711009007</v>
      </c>
      <c r="Q1358" s="4">
        <f t="shared" si="65"/>
        <v>11.59842965</v>
      </c>
    </row>
    <row r="1359" spans="1:17" x14ac:dyDescent="0.4">
      <c r="A1359">
        <v>20210829</v>
      </c>
      <c r="B1359" s="1">
        <v>0.27083333333333331</v>
      </c>
      <c r="C1359">
        <v>59898</v>
      </c>
      <c r="D1359">
        <v>196961</v>
      </c>
      <c r="E1359">
        <v>-389036</v>
      </c>
      <c r="F1359">
        <v>-202785</v>
      </c>
      <c r="G1359">
        <v>24615</v>
      </c>
      <c r="H1359">
        <v>190357</v>
      </c>
      <c r="I1359">
        <v>5772</v>
      </c>
      <c r="J1359">
        <v>92786</v>
      </c>
      <c r="K1359">
        <v>151416</v>
      </c>
      <c r="L1359">
        <v>-33945</v>
      </c>
      <c r="M1359">
        <v>6.59</v>
      </c>
      <c r="N1359">
        <f t="shared" si="63"/>
        <v>96039</v>
      </c>
      <c r="O1359">
        <v>17568700</v>
      </c>
      <c r="P1359" s="2">
        <f t="shared" si="64"/>
        <v>0.54664830067107983</v>
      </c>
      <c r="Q1359" s="4">
        <f t="shared" si="65"/>
        <v>11.5777733</v>
      </c>
    </row>
    <row r="1360" spans="1:17" x14ac:dyDescent="0.4">
      <c r="A1360">
        <v>20210829</v>
      </c>
      <c r="B1360" s="1">
        <v>0.29166666666666669</v>
      </c>
      <c r="C1360">
        <v>123635</v>
      </c>
      <c r="D1360">
        <v>402343</v>
      </c>
      <c r="E1360">
        <v>-456995</v>
      </c>
      <c r="F1360">
        <v>-302510</v>
      </c>
      <c r="G1360">
        <v>62263</v>
      </c>
      <c r="H1360">
        <v>382738</v>
      </c>
      <c r="I1360">
        <v>9557</v>
      </c>
      <c r="J1360">
        <v>108939</v>
      </c>
      <c r="K1360">
        <v>34343</v>
      </c>
      <c r="L1360">
        <v>-35619</v>
      </c>
      <c r="M1360">
        <v>6.53</v>
      </c>
      <c r="N1360">
        <f t="shared" si="63"/>
        <v>328694</v>
      </c>
      <c r="O1360">
        <v>18209000</v>
      </c>
      <c r="P1360" s="2">
        <f t="shared" si="64"/>
        <v>1.805118348069636</v>
      </c>
      <c r="Q1360" s="4">
        <f t="shared" si="65"/>
        <v>11.890477000000001</v>
      </c>
    </row>
    <row r="1361" spans="1:17" x14ac:dyDescent="0.4">
      <c r="A1361">
        <v>20210829</v>
      </c>
      <c r="B1361" s="1">
        <v>0.3125</v>
      </c>
      <c r="C1361">
        <v>106513</v>
      </c>
      <c r="D1361">
        <v>474714</v>
      </c>
      <c r="E1361">
        <v>-233026</v>
      </c>
      <c r="F1361">
        <v>-136915</v>
      </c>
      <c r="G1361">
        <v>87634</v>
      </c>
      <c r="H1361">
        <v>281333</v>
      </c>
      <c r="I1361">
        <v>-4538</v>
      </c>
      <c r="J1361">
        <v>106250</v>
      </c>
      <c r="K1361">
        <v>58908</v>
      </c>
      <c r="L1361">
        <v>-45189</v>
      </c>
      <c r="M1361">
        <v>6.02</v>
      </c>
      <c r="N1361">
        <f t="shared" si="63"/>
        <v>695684</v>
      </c>
      <c r="O1361">
        <v>18522850</v>
      </c>
      <c r="P1361" s="2">
        <f t="shared" si="64"/>
        <v>3.7558151148446379</v>
      </c>
      <c r="Q1361" s="4">
        <f t="shared" si="65"/>
        <v>11.150755699999998</v>
      </c>
    </row>
    <row r="1362" spans="1:17" x14ac:dyDescent="0.4">
      <c r="A1362">
        <v>20210829</v>
      </c>
      <c r="B1362" s="1">
        <v>0.33333333333333331</v>
      </c>
      <c r="C1362">
        <v>144669</v>
      </c>
      <c r="D1362">
        <v>429631</v>
      </c>
      <c r="E1362">
        <v>-107232</v>
      </c>
      <c r="F1362">
        <v>-11240</v>
      </c>
      <c r="G1362">
        <v>76183</v>
      </c>
      <c r="H1362">
        <v>262886</v>
      </c>
      <c r="I1362">
        <v>88055</v>
      </c>
      <c r="J1362">
        <v>131575</v>
      </c>
      <c r="K1362">
        <v>95975</v>
      </c>
      <c r="L1362">
        <v>-40743</v>
      </c>
      <c r="M1362">
        <v>5.9</v>
      </c>
      <c r="N1362">
        <f t="shared" si="63"/>
        <v>1069759</v>
      </c>
      <c r="O1362">
        <v>19510400</v>
      </c>
      <c r="P1362" s="2">
        <f t="shared" si="64"/>
        <v>5.4830193127767757</v>
      </c>
      <c r="Q1362" s="4">
        <f t="shared" si="65"/>
        <v>11.511136</v>
      </c>
    </row>
    <row r="1363" spans="1:17" x14ac:dyDescent="0.4">
      <c r="A1363">
        <v>20210829</v>
      </c>
      <c r="B1363" s="1">
        <v>0.35416666666666669</v>
      </c>
      <c r="C1363">
        <v>203137</v>
      </c>
      <c r="D1363">
        <v>368164</v>
      </c>
      <c r="E1363">
        <v>-134314</v>
      </c>
      <c r="F1363">
        <v>51153</v>
      </c>
      <c r="G1363">
        <v>141223</v>
      </c>
      <c r="H1363">
        <v>223920</v>
      </c>
      <c r="I1363">
        <v>95671</v>
      </c>
      <c r="J1363">
        <v>149167</v>
      </c>
      <c r="K1363">
        <v>223448</v>
      </c>
      <c r="L1363">
        <v>-49608</v>
      </c>
      <c r="M1363">
        <v>5.9</v>
      </c>
      <c r="N1363">
        <f t="shared" si="63"/>
        <v>1271961</v>
      </c>
      <c r="O1363">
        <v>20009350</v>
      </c>
      <c r="P1363" s="2">
        <f t="shared" si="64"/>
        <v>6.3568331804881222</v>
      </c>
      <c r="Q1363" s="4">
        <f t="shared" si="65"/>
        <v>11.8055165</v>
      </c>
    </row>
    <row r="1364" spans="1:17" x14ac:dyDescent="0.4">
      <c r="A1364">
        <v>20210829</v>
      </c>
      <c r="B1364" s="1">
        <v>0.375</v>
      </c>
      <c r="C1364">
        <v>169689</v>
      </c>
      <c r="D1364">
        <v>281140</v>
      </c>
      <c r="E1364">
        <v>-628273</v>
      </c>
      <c r="F1364">
        <v>-33082</v>
      </c>
      <c r="G1364">
        <v>184670</v>
      </c>
      <c r="H1364">
        <v>161956</v>
      </c>
      <c r="I1364">
        <v>143913</v>
      </c>
      <c r="J1364">
        <v>138311</v>
      </c>
      <c r="K1364">
        <v>155883</v>
      </c>
      <c r="L1364">
        <v>-31834</v>
      </c>
      <c r="M1364">
        <v>5.85</v>
      </c>
      <c r="N1364">
        <f t="shared" si="63"/>
        <v>542373</v>
      </c>
      <c r="O1364">
        <v>20665600</v>
      </c>
      <c r="P1364" s="2">
        <f t="shared" si="64"/>
        <v>2.6245209430164138</v>
      </c>
      <c r="Q1364" s="4">
        <f t="shared" si="65"/>
        <v>12.089376</v>
      </c>
    </row>
    <row r="1365" spans="1:17" x14ac:dyDescent="0.4">
      <c r="A1365">
        <v>20210829</v>
      </c>
      <c r="B1365" s="1">
        <v>0.39583333333333331</v>
      </c>
      <c r="C1365">
        <v>112057</v>
      </c>
      <c r="D1365">
        <v>219774</v>
      </c>
      <c r="E1365">
        <v>-851985</v>
      </c>
      <c r="F1365">
        <v>118362</v>
      </c>
      <c r="G1365">
        <v>209493</v>
      </c>
      <c r="H1365">
        <v>184499</v>
      </c>
      <c r="I1365">
        <v>220474</v>
      </c>
      <c r="J1365">
        <v>113798</v>
      </c>
      <c r="K1365">
        <v>192166</v>
      </c>
      <c r="L1365">
        <v>-38666</v>
      </c>
      <c r="M1365">
        <v>5.85</v>
      </c>
      <c r="N1365">
        <f t="shared" si="63"/>
        <v>479972</v>
      </c>
      <c r="O1365">
        <v>21114000</v>
      </c>
      <c r="P1365" s="2">
        <f t="shared" si="64"/>
        <v>2.2732405039310408</v>
      </c>
      <c r="Q1365" s="4">
        <f t="shared" si="65"/>
        <v>12.351689999999998</v>
      </c>
    </row>
    <row r="1366" spans="1:17" x14ac:dyDescent="0.4">
      <c r="A1366">
        <v>20210829</v>
      </c>
      <c r="B1366" s="1">
        <v>0.41666666666666669</v>
      </c>
      <c r="C1366">
        <v>96897</v>
      </c>
      <c r="D1366">
        <v>141159</v>
      </c>
      <c r="E1366">
        <v>-827722</v>
      </c>
      <c r="F1366">
        <v>46296</v>
      </c>
      <c r="G1366">
        <v>275124</v>
      </c>
      <c r="H1366">
        <v>151121</v>
      </c>
      <c r="I1366">
        <v>268716</v>
      </c>
      <c r="J1366">
        <v>85964</v>
      </c>
      <c r="K1366">
        <v>272196</v>
      </c>
      <c r="L1366">
        <v>-30261</v>
      </c>
      <c r="M1366">
        <v>5.84</v>
      </c>
      <c r="N1366">
        <f t="shared" si="63"/>
        <v>479490</v>
      </c>
      <c r="O1366">
        <v>21462200</v>
      </c>
      <c r="P1366" s="2">
        <f t="shared" si="64"/>
        <v>2.2341139305383417</v>
      </c>
      <c r="Q1366" s="4">
        <f t="shared" si="65"/>
        <v>12.533924799999999</v>
      </c>
    </row>
    <row r="1367" spans="1:17" x14ac:dyDescent="0.4">
      <c r="A1367">
        <v>20210829</v>
      </c>
      <c r="B1367" s="1">
        <v>0.4375</v>
      </c>
      <c r="C1367">
        <v>114480</v>
      </c>
      <c r="D1367">
        <v>59428</v>
      </c>
      <c r="E1367">
        <v>-903982</v>
      </c>
      <c r="F1367">
        <v>26103</v>
      </c>
      <c r="G1367">
        <v>248933</v>
      </c>
      <c r="H1367">
        <v>314693</v>
      </c>
      <c r="I1367">
        <v>217793</v>
      </c>
      <c r="J1367">
        <v>16298</v>
      </c>
      <c r="K1367">
        <v>304040</v>
      </c>
      <c r="L1367">
        <v>-36183</v>
      </c>
      <c r="M1367">
        <v>5.9</v>
      </c>
      <c r="N1367">
        <f t="shared" si="63"/>
        <v>361603</v>
      </c>
      <c r="O1367">
        <v>21889500</v>
      </c>
      <c r="P1367" s="2">
        <f t="shared" si="64"/>
        <v>1.6519472806596771</v>
      </c>
      <c r="Q1367" s="4">
        <f t="shared" si="65"/>
        <v>12.914805000000001</v>
      </c>
    </row>
    <row r="1368" spans="1:17" x14ac:dyDescent="0.4">
      <c r="A1368">
        <v>20210829</v>
      </c>
      <c r="B1368" s="1">
        <v>0.45833333333333331</v>
      </c>
      <c r="C1368">
        <v>99056</v>
      </c>
      <c r="D1368">
        <v>180593</v>
      </c>
      <c r="E1368">
        <v>-404386</v>
      </c>
      <c r="F1368">
        <v>-65776</v>
      </c>
      <c r="G1368">
        <v>189595</v>
      </c>
      <c r="H1368">
        <v>298878</v>
      </c>
      <c r="I1368">
        <v>56524</v>
      </c>
      <c r="J1368">
        <v>30195</v>
      </c>
      <c r="K1368">
        <v>310464</v>
      </c>
      <c r="L1368">
        <v>42476</v>
      </c>
      <c r="M1368">
        <v>5.9</v>
      </c>
      <c r="N1368">
        <f t="shared" si="63"/>
        <v>737619</v>
      </c>
      <c r="O1368">
        <v>22202500</v>
      </c>
      <c r="P1368" s="2">
        <f t="shared" si="64"/>
        <v>3.3222339826596103</v>
      </c>
      <c r="Q1368" s="4">
        <f t="shared" si="65"/>
        <v>13.099475000000002</v>
      </c>
    </row>
    <row r="1369" spans="1:17" x14ac:dyDescent="0.4">
      <c r="A1369">
        <v>20210829</v>
      </c>
      <c r="B1369" s="1">
        <v>0.47916666666666669</v>
      </c>
      <c r="C1369">
        <v>127516</v>
      </c>
      <c r="D1369">
        <v>214582</v>
      </c>
      <c r="E1369">
        <v>55207</v>
      </c>
      <c r="F1369">
        <v>31460</v>
      </c>
      <c r="G1369">
        <v>177291</v>
      </c>
      <c r="H1369">
        <v>283251</v>
      </c>
      <c r="I1369">
        <v>21648</v>
      </c>
      <c r="J1369">
        <v>33349</v>
      </c>
      <c r="K1369">
        <v>260997</v>
      </c>
      <c r="L1369">
        <v>33351</v>
      </c>
      <c r="M1369">
        <v>5.91</v>
      </c>
      <c r="N1369">
        <f t="shared" si="63"/>
        <v>1238652</v>
      </c>
      <c r="O1369">
        <v>22200250</v>
      </c>
      <c r="P1369" s="2">
        <f t="shared" si="64"/>
        <v>5.5794506818616911</v>
      </c>
      <c r="Q1369" s="4">
        <f t="shared" si="65"/>
        <v>13.120347750000001</v>
      </c>
    </row>
    <row r="1370" spans="1:17" x14ac:dyDescent="0.4">
      <c r="A1370">
        <v>20210829</v>
      </c>
      <c r="B1370" s="1">
        <v>0.5</v>
      </c>
      <c r="C1370">
        <v>87008</v>
      </c>
      <c r="D1370">
        <v>261621</v>
      </c>
      <c r="E1370">
        <v>147577</v>
      </c>
      <c r="F1370">
        <v>-70031</v>
      </c>
      <c r="G1370">
        <v>168745</v>
      </c>
      <c r="H1370">
        <v>229294</v>
      </c>
      <c r="I1370">
        <v>-26700</v>
      </c>
      <c r="J1370">
        <v>1035</v>
      </c>
      <c r="K1370">
        <v>100376</v>
      </c>
      <c r="L1370">
        <v>42682</v>
      </c>
      <c r="M1370">
        <v>6.03</v>
      </c>
      <c r="N1370">
        <f t="shared" si="63"/>
        <v>941607</v>
      </c>
      <c r="O1370">
        <v>22036050</v>
      </c>
      <c r="P1370" s="2">
        <f t="shared" si="64"/>
        <v>4.2730298760440277</v>
      </c>
      <c r="Q1370" s="4">
        <f t="shared" si="65"/>
        <v>13.287738149999999</v>
      </c>
    </row>
    <row r="1371" spans="1:17" x14ac:dyDescent="0.4">
      <c r="A1371">
        <v>20210829</v>
      </c>
      <c r="B1371" s="1">
        <v>0.52083333333333337</v>
      </c>
      <c r="C1371">
        <v>137600</v>
      </c>
      <c r="D1371">
        <v>222070</v>
      </c>
      <c r="E1371">
        <v>421575</v>
      </c>
      <c r="F1371">
        <v>-39727</v>
      </c>
      <c r="G1371">
        <v>150369</v>
      </c>
      <c r="H1371">
        <v>206277</v>
      </c>
      <c r="I1371">
        <v>50692</v>
      </c>
      <c r="J1371">
        <v>-20704</v>
      </c>
      <c r="K1371">
        <v>149170</v>
      </c>
      <c r="L1371">
        <v>33123</v>
      </c>
      <c r="M1371">
        <v>5.96</v>
      </c>
      <c r="N1371">
        <f t="shared" si="63"/>
        <v>1310445</v>
      </c>
      <c r="O1371">
        <v>22111100</v>
      </c>
      <c r="P1371" s="2">
        <f t="shared" si="64"/>
        <v>5.9266386566023401</v>
      </c>
      <c r="Q1371" s="4">
        <f t="shared" si="65"/>
        <v>13.1782156</v>
      </c>
    </row>
    <row r="1372" spans="1:17" x14ac:dyDescent="0.4">
      <c r="A1372">
        <v>20210829</v>
      </c>
      <c r="B1372" s="1">
        <v>0.54166666666666663</v>
      </c>
      <c r="C1372">
        <v>120572</v>
      </c>
      <c r="D1372">
        <v>283453</v>
      </c>
      <c r="E1372">
        <v>520419</v>
      </c>
      <c r="F1372">
        <v>-93794</v>
      </c>
      <c r="G1372">
        <v>124813</v>
      </c>
      <c r="H1372">
        <v>140768</v>
      </c>
      <c r="I1372">
        <v>-34759</v>
      </c>
      <c r="J1372">
        <v>-38045</v>
      </c>
      <c r="K1372">
        <v>143659</v>
      </c>
      <c r="L1372">
        <v>42464</v>
      </c>
      <c r="M1372">
        <v>6.47</v>
      </c>
      <c r="N1372">
        <f t="shared" si="63"/>
        <v>1209550</v>
      </c>
      <c r="O1372">
        <v>21757100</v>
      </c>
      <c r="P1372" s="2">
        <f t="shared" si="64"/>
        <v>5.5593346539750241</v>
      </c>
      <c r="Q1372" s="4">
        <f t="shared" si="65"/>
        <v>14.0768437</v>
      </c>
    </row>
    <row r="1373" spans="1:17" x14ac:dyDescent="0.4">
      <c r="A1373">
        <v>20210829</v>
      </c>
      <c r="B1373" s="1">
        <v>0.5625</v>
      </c>
      <c r="C1373">
        <v>176058</v>
      </c>
      <c r="D1373">
        <v>242847</v>
      </c>
      <c r="E1373">
        <v>347778</v>
      </c>
      <c r="F1373">
        <v>69432</v>
      </c>
      <c r="G1373">
        <v>138616</v>
      </c>
      <c r="H1373">
        <v>268939</v>
      </c>
      <c r="I1373">
        <v>37571</v>
      </c>
      <c r="J1373">
        <v>-27201</v>
      </c>
      <c r="K1373">
        <v>162679</v>
      </c>
      <c r="L1373">
        <v>39613</v>
      </c>
      <c r="M1373">
        <v>6.63</v>
      </c>
      <c r="N1373">
        <f t="shared" si="63"/>
        <v>1456332</v>
      </c>
      <c r="O1373">
        <v>21553450</v>
      </c>
      <c r="P1373" s="2">
        <f t="shared" si="64"/>
        <v>6.7568393923014645</v>
      </c>
      <c r="Q1373" s="4">
        <f t="shared" si="65"/>
        <v>14.289937350000001</v>
      </c>
    </row>
    <row r="1374" spans="1:17" x14ac:dyDescent="0.4">
      <c r="A1374">
        <v>20210829</v>
      </c>
      <c r="B1374" s="1">
        <v>0.58333333333333337</v>
      </c>
      <c r="C1374">
        <v>130847</v>
      </c>
      <c r="D1374">
        <v>325630</v>
      </c>
      <c r="E1374">
        <v>588712</v>
      </c>
      <c r="F1374">
        <v>41932</v>
      </c>
      <c r="G1374">
        <v>111562</v>
      </c>
      <c r="H1374">
        <v>247540</v>
      </c>
      <c r="I1374">
        <v>134709</v>
      </c>
      <c r="J1374">
        <v>-20992</v>
      </c>
      <c r="K1374">
        <v>94274</v>
      </c>
      <c r="L1374">
        <v>43905</v>
      </c>
      <c r="M1374">
        <v>6.76</v>
      </c>
      <c r="N1374">
        <f t="shared" si="63"/>
        <v>1698119</v>
      </c>
      <c r="O1374">
        <v>21215250</v>
      </c>
      <c r="P1374" s="2">
        <f t="shared" si="64"/>
        <v>8.0042375178232632</v>
      </c>
      <c r="Q1374" s="4">
        <f t="shared" si="65"/>
        <v>14.341509</v>
      </c>
    </row>
    <row r="1375" spans="1:17" x14ac:dyDescent="0.4">
      <c r="A1375">
        <v>20210829</v>
      </c>
      <c r="B1375" s="1">
        <v>0.60416666666666663</v>
      </c>
      <c r="C1375">
        <v>72894</v>
      </c>
      <c r="D1375">
        <v>342404</v>
      </c>
      <c r="E1375">
        <v>93280</v>
      </c>
      <c r="F1375">
        <v>95108</v>
      </c>
      <c r="G1375">
        <v>46434</v>
      </c>
      <c r="H1375">
        <v>167687</v>
      </c>
      <c r="I1375">
        <v>188510</v>
      </c>
      <c r="J1375">
        <v>-40902</v>
      </c>
      <c r="K1375">
        <v>-74331</v>
      </c>
      <c r="L1375">
        <v>33480</v>
      </c>
      <c r="M1375">
        <v>6.76</v>
      </c>
      <c r="N1375">
        <f t="shared" si="63"/>
        <v>924564</v>
      </c>
      <c r="O1375">
        <v>21534600</v>
      </c>
      <c r="P1375" s="2">
        <f t="shared" si="64"/>
        <v>4.2933883146192642</v>
      </c>
      <c r="Q1375" s="4">
        <f t="shared" si="65"/>
        <v>14.5573896</v>
      </c>
    </row>
    <row r="1376" spans="1:17" x14ac:dyDescent="0.4">
      <c r="A1376">
        <v>20210829</v>
      </c>
      <c r="B1376" s="1">
        <v>0.625</v>
      </c>
      <c r="C1376">
        <v>9174</v>
      </c>
      <c r="D1376">
        <v>349582</v>
      </c>
      <c r="E1376">
        <v>406235</v>
      </c>
      <c r="F1376">
        <v>-32321</v>
      </c>
      <c r="G1376">
        <v>5981</v>
      </c>
      <c r="H1376">
        <v>325362</v>
      </c>
      <c r="I1376">
        <v>218275</v>
      </c>
      <c r="J1376">
        <v>-50087</v>
      </c>
      <c r="K1376">
        <v>82377</v>
      </c>
      <c r="L1376">
        <v>38817</v>
      </c>
      <c r="M1376">
        <v>7.15</v>
      </c>
      <c r="N1376">
        <f t="shared" si="63"/>
        <v>1353395</v>
      </c>
      <c r="O1376">
        <v>21006600</v>
      </c>
      <c r="P1376" s="2">
        <f t="shared" si="64"/>
        <v>6.4427132425047366</v>
      </c>
      <c r="Q1376" s="4">
        <f t="shared" si="65"/>
        <v>15.019719</v>
      </c>
    </row>
    <row r="1377" spans="1:17" x14ac:dyDescent="0.4">
      <c r="A1377">
        <v>20210829</v>
      </c>
      <c r="B1377" s="1">
        <v>0.64583333333333337</v>
      </c>
      <c r="C1377">
        <v>61783</v>
      </c>
      <c r="D1377">
        <v>339153</v>
      </c>
      <c r="E1377">
        <v>237436</v>
      </c>
      <c r="F1377">
        <v>-181199</v>
      </c>
      <c r="G1377">
        <v>-12339</v>
      </c>
      <c r="H1377">
        <v>172046</v>
      </c>
      <c r="I1377">
        <v>122608</v>
      </c>
      <c r="J1377">
        <v>-63605</v>
      </c>
      <c r="K1377">
        <v>62438</v>
      </c>
      <c r="L1377">
        <v>29693</v>
      </c>
      <c r="M1377">
        <v>7.34</v>
      </c>
      <c r="N1377">
        <f t="shared" si="63"/>
        <v>768014</v>
      </c>
      <c r="O1377">
        <v>20613750</v>
      </c>
      <c r="P1377" s="2">
        <f t="shared" si="64"/>
        <v>3.7257364623127769</v>
      </c>
      <c r="Q1377" s="4">
        <f t="shared" si="65"/>
        <v>15.130492500000001</v>
      </c>
    </row>
    <row r="1378" spans="1:17" x14ac:dyDescent="0.4">
      <c r="A1378">
        <v>20210829</v>
      </c>
      <c r="B1378" s="1">
        <v>0.66666666666666663</v>
      </c>
      <c r="C1378">
        <v>52430</v>
      </c>
      <c r="D1378">
        <v>213761</v>
      </c>
      <c r="E1378">
        <v>437202</v>
      </c>
      <c r="F1378">
        <v>-183886</v>
      </c>
      <c r="G1378">
        <v>-21490</v>
      </c>
      <c r="H1378">
        <v>-49778</v>
      </c>
      <c r="I1378">
        <v>122759</v>
      </c>
      <c r="J1378">
        <v>-102912</v>
      </c>
      <c r="K1378">
        <v>-28035</v>
      </c>
      <c r="L1378">
        <v>43338</v>
      </c>
      <c r="M1378">
        <v>8.99</v>
      </c>
      <c r="N1378">
        <f t="shared" si="63"/>
        <v>483389</v>
      </c>
      <c r="O1378">
        <v>21039800</v>
      </c>
      <c r="P1378" s="2">
        <f t="shared" si="64"/>
        <v>2.2974980750767591</v>
      </c>
      <c r="Q1378" s="4">
        <f t="shared" si="65"/>
        <v>18.914780199999999</v>
      </c>
    </row>
    <row r="1379" spans="1:17" x14ac:dyDescent="0.4">
      <c r="A1379">
        <v>20210829</v>
      </c>
      <c r="B1379" s="1">
        <v>0.6875</v>
      </c>
      <c r="C1379">
        <v>52297</v>
      </c>
      <c r="D1379">
        <v>156568</v>
      </c>
      <c r="E1379">
        <v>758135</v>
      </c>
      <c r="F1379">
        <v>-251136</v>
      </c>
      <c r="G1379">
        <v>-24709</v>
      </c>
      <c r="H1379">
        <v>-80921</v>
      </c>
      <c r="I1379">
        <v>154208</v>
      </c>
      <c r="J1379">
        <v>-134413</v>
      </c>
      <c r="K1379">
        <v>-146543</v>
      </c>
      <c r="L1379">
        <v>29716</v>
      </c>
      <c r="M1379">
        <v>9.8699999999999992</v>
      </c>
      <c r="N1379">
        <f t="shared" si="63"/>
        <v>513202</v>
      </c>
      <c r="O1379">
        <v>20430300</v>
      </c>
      <c r="P1379" s="2">
        <f t="shared" si="64"/>
        <v>2.5119650714869581</v>
      </c>
      <c r="Q1379" s="4">
        <f t="shared" si="65"/>
        <v>20.164706099999997</v>
      </c>
    </row>
    <row r="1380" spans="1:17" x14ac:dyDescent="0.4">
      <c r="A1380">
        <v>20210829</v>
      </c>
      <c r="B1380" s="1">
        <v>0.70833333333333337</v>
      </c>
      <c r="C1380">
        <v>44963</v>
      </c>
      <c r="D1380">
        <v>58861</v>
      </c>
      <c r="E1380">
        <v>666787</v>
      </c>
      <c r="F1380">
        <v>-265559</v>
      </c>
      <c r="G1380">
        <v>-76735</v>
      </c>
      <c r="H1380">
        <v>-157855</v>
      </c>
      <c r="I1380">
        <v>57228</v>
      </c>
      <c r="J1380">
        <v>-131885</v>
      </c>
      <c r="K1380">
        <v>-174794</v>
      </c>
      <c r="L1380">
        <v>10882</v>
      </c>
      <c r="M1380">
        <v>9.8699999999999992</v>
      </c>
      <c r="N1380">
        <f t="shared" si="63"/>
        <v>31893</v>
      </c>
      <c r="O1380">
        <v>20341650</v>
      </c>
      <c r="P1380" s="2">
        <f t="shared" si="64"/>
        <v>0.15678669134509737</v>
      </c>
      <c r="Q1380" s="4">
        <f t="shared" si="65"/>
        <v>20.077208549999998</v>
      </c>
    </row>
    <row r="1381" spans="1:17" x14ac:dyDescent="0.4">
      <c r="A1381">
        <v>20210829</v>
      </c>
      <c r="B1381" s="1">
        <v>0.72916666666666663</v>
      </c>
      <c r="C1381">
        <v>39527</v>
      </c>
      <c r="D1381">
        <v>-18245</v>
      </c>
      <c r="E1381">
        <v>87206</v>
      </c>
      <c r="F1381">
        <v>-34393</v>
      </c>
      <c r="G1381">
        <v>-41780</v>
      </c>
      <c r="H1381">
        <v>226391</v>
      </c>
      <c r="I1381">
        <v>88573</v>
      </c>
      <c r="J1381">
        <v>-114540</v>
      </c>
      <c r="K1381">
        <v>-190403</v>
      </c>
      <c r="L1381">
        <v>3200</v>
      </c>
      <c r="M1381">
        <v>10.32</v>
      </c>
      <c r="N1381">
        <f t="shared" si="63"/>
        <v>45536</v>
      </c>
      <c r="O1381">
        <v>19890700</v>
      </c>
      <c r="P1381" s="2">
        <f t="shared" si="64"/>
        <v>0.22893110850799619</v>
      </c>
      <c r="Q1381" s="4">
        <f t="shared" si="65"/>
        <v>20.5272024</v>
      </c>
    </row>
    <row r="1382" spans="1:17" x14ac:dyDescent="0.4">
      <c r="A1382">
        <v>20210829</v>
      </c>
      <c r="B1382" s="1">
        <v>0.75</v>
      </c>
      <c r="C1382">
        <v>-26785</v>
      </c>
      <c r="D1382">
        <v>31288</v>
      </c>
      <c r="E1382">
        <v>-9167</v>
      </c>
      <c r="F1382">
        <v>-147175</v>
      </c>
      <c r="G1382">
        <v>-55437</v>
      </c>
      <c r="H1382">
        <v>333953</v>
      </c>
      <c r="I1382">
        <v>85548</v>
      </c>
      <c r="J1382">
        <v>-28944</v>
      </c>
      <c r="K1382">
        <v>-39429</v>
      </c>
      <c r="L1382">
        <v>4193</v>
      </c>
      <c r="M1382">
        <v>10.32</v>
      </c>
      <c r="N1382">
        <f t="shared" si="63"/>
        <v>148045</v>
      </c>
      <c r="O1382">
        <v>20000450</v>
      </c>
      <c r="P1382" s="2">
        <f t="shared" si="64"/>
        <v>0.74020834531223045</v>
      </c>
      <c r="Q1382" s="4">
        <f t="shared" si="65"/>
        <v>20.640464399999999</v>
      </c>
    </row>
    <row r="1383" spans="1:17" x14ac:dyDescent="0.4">
      <c r="A1383">
        <v>20210829</v>
      </c>
      <c r="B1383" s="1">
        <v>0.77083333333333337</v>
      </c>
      <c r="C1383">
        <v>-17872</v>
      </c>
      <c r="D1383">
        <v>3570</v>
      </c>
      <c r="E1383">
        <v>81703</v>
      </c>
      <c r="F1383">
        <v>-110616</v>
      </c>
      <c r="G1383">
        <v>-58116</v>
      </c>
      <c r="H1383">
        <v>185932</v>
      </c>
      <c r="I1383">
        <v>-8392</v>
      </c>
      <c r="J1383">
        <v>51473</v>
      </c>
      <c r="K1383">
        <v>52927</v>
      </c>
      <c r="L1383">
        <v>6625</v>
      </c>
      <c r="M1383">
        <v>10.35</v>
      </c>
      <c r="N1383">
        <f t="shared" si="63"/>
        <v>187234</v>
      </c>
      <c r="O1383">
        <v>20083850</v>
      </c>
      <c r="P1383" s="2">
        <f t="shared" si="64"/>
        <v>0.93226149368771427</v>
      </c>
      <c r="Q1383" s="4">
        <f t="shared" si="65"/>
        <v>20.786784749999999</v>
      </c>
    </row>
    <row r="1384" spans="1:17" x14ac:dyDescent="0.4">
      <c r="A1384">
        <v>20210829</v>
      </c>
      <c r="B1384" s="1">
        <v>0.79166666666666663</v>
      </c>
      <c r="C1384">
        <v>-16843</v>
      </c>
      <c r="D1384">
        <v>21980</v>
      </c>
      <c r="E1384">
        <v>192943</v>
      </c>
      <c r="F1384">
        <v>-65133</v>
      </c>
      <c r="G1384">
        <v>-18466</v>
      </c>
      <c r="H1384">
        <v>255098</v>
      </c>
      <c r="I1384">
        <v>47748</v>
      </c>
      <c r="J1384">
        <v>49834</v>
      </c>
      <c r="K1384">
        <v>41670</v>
      </c>
      <c r="L1384">
        <v>-9148</v>
      </c>
      <c r="M1384">
        <v>10.32</v>
      </c>
      <c r="N1384">
        <f t="shared" si="63"/>
        <v>499683</v>
      </c>
      <c r="O1384">
        <v>20023200</v>
      </c>
      <c r="P1384" s="2">
        <f t="shared" si="64"/>
        <v>2.4955201965719764</v>
      </c>
      <c r="Q1384" s="4">
        <f t="shared" si="65"/>
        <v>20.6639424</v>
      </c>
    </row>
    <row r="1385" spans="1:17" x14ac:dyDescent="0.4">
      <c r="A1385">
        <v>20210829</v>
      </c>
      <c r="B1385" s="1">
        <v>0.8125</v>
      </c>
      <c r="C1385">
        <v>11996</v>
      </c>
      <c r="D1385">
        <v>10577</v>
      </c>
      <c r="E1385">
        <v>316062</v>
      </c>
      <c r="F1385">
        <v>16982</v>
      </c>
      <c r="G1385">
        <v>1801</v>
      </c>
      <c r="H1385">
        <v>325630</v>
      </c>
      <c r="I1385">
        <v>33801</v>
      </c>
      <c r="J1385">
        <v>71373</v>
      </c>
      <c r="K1385">
        <v>105567</v>
      </c>
      <c r="L1385">
        <v>-195</v>
      </c>
      <c r="M1385">
        <v>10.27</v>
      </c>
      <c r="N1385">
        <f t="shared" si="63"/>
        <v>893594</v>
      </c>
      <c r="O1385">
        <v>19969100</v>
      </c>
      <c r="P1385" s="2">
        <f t="shared" si="64"/>
        <v>4.474883695309253</v>
      </c>
      <c r="Q1385" s="4">
        <f t="shared" si="65"/>
        <v>20.508265699999999</v>
      </c>
    </row>
    <row r="1386" spans="1:17" x14ac:dyDescent="0.4">
      <c r="A1386">
        <v>20210829</v>
      </c>
      <c r="B1386" s="1">
        <v>0.83333333333333337</v>
      </c>
      <c r="C1386">
        <v>5804</v>
      </c>
      <c r="D1386">
        <v>-22362</v>
      </c>
      <c r="E1386">
        <v>264049</v>
      </c>
      <c r="F1386">
        <v>126645</v>
      </c>
      <c r="G1386">
        <v>11683</v>
      </c>
      <c r="H1386">
        <v>502585</v>
      </c>
      <c r="I1386">
        <v>37690</v>
      </c>
      <c r="J1386">
        <v>68333</v>
      </c>
      <c r="K1386">
        <v>152923</v>
      </c>
      <c r="L1386">
        <v>-14050</v>
      </c>
      <c r="M1386">
        <v>9.98</v>
      </c>
      <c r="N1386">
        <f t="shared" si="63"/>
        <v>1133300</v>
      </c>
      <c r="O1386">
        <v>19891550</v>
      </c>
      <c r="P1386" s="2">
        <f t="shared" si="64"/>
        <v>5.6973941196136044</v>
      </c>
      <c r="Q1386" s="4">
        <f t="shared" si="65"/>
        <v>19.851766900000001</v>
      </c>
    </row>
    <row r="1387" spans="1:17" x14ac:dyDescent="0.4">
      <c r="A1387">
        <v>20210829</v>
      </c>
      <c r="B1387" s="1">
        <v>0.85416666666666663</v>
      </c>
      <c r="C1387">
        <v>-32654</v>
      </c>
      <c r="D1387">
        <v>12547</v>
      </c>
      <c r="E1387">
        <v>190847</v>
      </c>
      <c r="F1387">
        <v>81846</v>
      </c>
      <c r="G1387">
        <v>12302</v>
      </c>
      <c r="H1387">
        <v>325451</v>
      </c>
      <c r="I1387">
        <v>14032</v>
      </c>
      <c r="J1387">
        <v>82853</v>
      </c>
      <c r="K1387">
        <v>184864</v>
      </c>
      <c r="L1387">
        <v>-1264</v>
      </c>
      <c r="M1387">
        <v>9.9700000000000006</v>
      </c>
      <c r="N1387">
        <f t="shared" si="63"/>
        <v>870824</v>
      </c>
      <c r="O1387">
        <v>19720250</v>
      </c>
      <c r="P1387" s="2">
        <f t="shared" si="64"/>
        <v>4.4158872225250692</v>
      </c>
      <c r="Q1387" s="4">
        <f t="shared" si="65"/>
        <v>19.66108925</v>
      </c>
    </row>
    <row r="1388" spans="1:17" x14ac:dyDescent="0.4">
      <c r="A1388">
        <v>20210829</v>
      </c>
      <c r="B1388" s="1">
        <v>0.875</v>
      </c>
      <c r="C1388">
        <v>20334</v>
      </c>
      <c r="D1388">
        <v>65552</v>
      </c>
      <c r="E1388">
        <v>196103</v>
      </c>
      <c r="F1388">
        <v>171840</v>
      </c>
      <c r="G1388">
        <v>39946</v>
      </c>
      <c r="H1388">
        <v>390405</v>
      </c>
      <c r="I1388">
        <v>11562</v>
      </c>
      <c r="J1388">
        <v>71636</v>
      </c>
      <c r="K1388">
        <v>244668</v>
      </c>
      <c r="L1388">
        <v>-16804</v>
      </c>
      <c r="M1388">
        <v>9.61</v>
      </c>
      <c r="N1388">
        <f t="shared" si="63"/>
        <v>1195242</v>
      </c>
      <c r="O1388">
        <v>19319300</v>
      </c>
      <c r="P1388" s="2">
        <f t="shared" si="64"/>
        <v>6.1867769536163317</v>
      </c>
      <c r="Q1388" s="4">
        <f t="shared" si="65"/>
        <v>18.565847300000001</v>
      </c>
    </row>
    <row r="1389" spans="1:17" x14ac:dyDescent="0.4">
      <c r="A1389">
        <v>20210829</v>
      </c>
      <c r="B1389" s="1">
        <v>0.89583333333333337</v>
      </c>
      <c r="C1389">
        <v>33369</v>
      </c>
      <c r="D1389">
        <v>38269</v>
      </c>
      <c r="E1389">
        <v>123384</v>
      </c>
      <c r="F1389">
        <v>164965</v>
      </c>
      <c r="G1389">
        <v>41276</v>
      </c>
      <c r="H1389">
        <v>331861</v>
      </c>
      <c r="I1389">
        <v>-42793</v>
      </c>
      <c r="J1389">
        <v>60642</v>
      </c>
      <c r="K1389">
        <v>164825</v>
      </c>
      <c r="L1389">
        <v>-3131</v>
      </c>
      <c r="M1389">
        <v>9.57</v>
      </c>
      <c r="N1389">
        <f t="shared" si="63"/>
        <v>912667</v>
      </c>
      <c r="O1389">
        <v>18846100</v>
      </c>
      <c r="P1389" s="2">
        <f t="shared" si="64"/>
        <v>4.8427366935334097</v>
      </c>
      <c r="Q1389" s="4">
        <f t="shared" si="65"/>
        <v>18.035717699999999</v>
      </c>
    </row>
    <row r="1390" spans="1:17" x14ac:dyDescent="0.4">
      <c r="A1390">
        <v>20210829</v>
      </c>
      <c r="B1390" s="1">
        <v>0.91666666666666663</v>
      </c>
      <c r="C1390">
        <v>41840</v>
      </c>
      <c r="D1390">
        <v>24846</v>
      </c>
      <c r="E1390">
        <v>35212</v>
      </c>
      <c r="F1390">
        <v>136177</v>
      </c>
      <c r="G1390">
        <v>22565</v>
      </c>
      <c r="H1390">
        <v>539989</v>
      </c>
      <c r="I1390">
        <v>13783</v>
      </c>
      <c r="J1390">
        <v>48057</v>
      </c>
      <c r="K1390">
        <v>128930</v>
      </c>
      <c r="L1390">
        <v>-15943</v>
      </c>
      <c r="M1390">
        <v>9.61</v>
      </c>
      <c r="N1390">
        <f t="shared" si="63"/>
        <v>975456</v>
      </c>
      <c r="O1390">
        <v>18506900</v>
      </c>
      <c r="P1390" s="2">
        <f t="shared" si="64"/>
        <v>5.2707692806466779</v>
      </c>
      <c r="Q1390" s="4">
        <f t="shared" si="65"/>
        <v>17.785130899999999</v>
      </c>
    </row>
    <row r="1391" spans="1:17" x14ac:dyDescent="0.4">
      <c r="A1391">
        <v>20210829</v>
      </c>
      <c r="B1391" s="1">
        <v>0.9375</v>
      </c>
      <c r="C1391">
        <v>28702</v>
      </c>
      <c r="D1391">
        <v>-26031</v>
      </c>
      <c r="E1391">
        <v>40577</v>
      </c>
      <c r="F1391">
        <v>225261</v>
      </c>
      <c r="G1391">
        <v>11737</v>
      </c>
      <c r="H1391">
        <v>464108</v>
      </c>
      <c r="I1391">
        <v>-79860</v>
      </c>
      <c r="J1391">
        <v>39743</v>
      </c>
      <c r="K1391">
        <v>107983</v>
      </c>
      <c r="L1391">
        <v>-979</v>
      </c>
      <c r="M1391">
        <v>8.7100000000000009</v>
      </c>
      <c r="N1391">
        <f t="shared" si="63"/>
        <v>811241</v>
      </c>
      <c r="O1391">
        <v>18300550</v>
      </c>
      <c r="P1391" s="2">
        <f t="shared" si="64"/>
        <v>4.4328777003969826</v>
      </c>
      <c r="Q1391" s="4">
        <f t="shared" si="65"/>
        <v>15.939779050000004</v>
      </c>
    </row>
    <row r="1392" spans="1:17" x14ac:dyDescent="0.4">
      <c r="A1392">
        <v>20210829</v>
      </c>
      <c r="B1392" s="1">
        <v>0.95833333333333337</v>
      </c>
      <c r="C1392">
        <v>3847</v>
      </c>
      <c r="D1392">
        <v>40242</v>
      </c>
      <c r="E1392">
        <v>104237</v>
      </c>
      <c r="F1392">
        <v>202476</v>
      </c>
      <c r="G1392">
        <v>14575</v>
      </c>
      <c r="H1392">
        <v>351528</v>
      </c>
      <c r="I1392">
        <v>-49008</v>
      </c>
      <c r="J1392">
        <v>28463</v>
      </c>
      <c r="K1392">
        <v>125578</v>
      </c>
      <c r="L1392">
        <v>-23679</v>
      </c>
      <c r="M1392">
        <v>7.62</v>
      </c>
      <c r="N1392">
        <f t="shared" si="63"/>
        <v>798259</v>
      </c>
      <c r="O1392">
        <v>18172700</v>
      </c>
      <c r="P1392" s="2">
        <f t="shared" si="64"/>
        <v>4.3926274026424252</v>
      </c>
      <c r="Q1392" s="4">
        <f t="shared" si="65"/>
        <v>13.8475974</v>
      </c>
    </row>
    <row r="1393" spans="1:17" x14ac:dyDescent="0.4">
      <c r="A1393">
        <v>20210829</v>
      </c>
      <c r="B1393" s="1">
        <v>0.97916666666666663</v>
      </c>
      <c r="C1393">
        <v>50250</v>
      </c>
      <c r="D1393">
        <v>3858</v>
      </c>
      <c r="E1393">
        <v>309393</v>
      </c>
      <c r="F1393">
        <v>184273</v>
      </c>
      <c r="G1393">
        <v>11223</v>
      </c>
      <c r="H1393">
        <v>521334</v>
      </c>
      <c r="I1393">
        <v>-17070</v>
      </c>
      <c r="J1393">
        <v>23999</v>
      </c>
      <c r="K1393">
        <v>136591</v>
      </c>
      <c r="L1393">
        <v>-9684</v>
      </c>
      <c r="M1393">
        <v>7.11</v>
      </c>
      <c r="N1393">
        <f t="shared" si="63"/>
        <v>1214167</v>
      </c>
      <c r="O1393">
        <v>17775400</v>
      </c>
      <c r="P1393" s="2">
        <f t="shared" si="64"/>
        <v>6.83060296814699</v>
      </c>
      <c r="Q1393" s="4">
        <f t="shared" si="65"/>
        <v>12.638309400000001</v>
      </c>
    </row>
    <row r="1394" spans="1:17" x14ac:dyDescent="0.4">
      <c r="A1394">
        <v>20210830</v>
      </c>
      <c r="B1394" s="1">
        <v>0</v>
      </c>
      <c r="C1394">
        <v>12637</v>
      </c>
      <c r="D1394">
        <v>63981</v>
      </c>
      <c r="E1394">
        <v>-27726</v>
      </c>
      <c r="F1394">
        <v>83551</v>
      </c>
      <c r="G1394">
        <v>2007</v>
      </c>
      <c r="H1394">
        <v>390744</v>
      </c>
      <c r="I1394">
        <v>-44964</v>
      </c>
      <c r="J1394">
        <v>10737</v>
      </c>
      <c r="K1394">
        <v>57564</v>
      </c>
      <c r="L1394">
        <v>-22597</v>
      </c>
      <c r="M1394">
        <v>6.93</v>
      </c>
      <c r="N1394">
        <f t="shared" si="63"/>
        <v>525934</v>
      </c>
      <c r="O1394">
        <v>18242350</v>
      </c>
      <c r="P1394" s="2">
        <f t="shared" si="64"/>
        <v>2.8830386435958086</v>
      </c>
      <c r="Q1394" s="4">
        <f t="shared" si="65"/>
        <v>12.64194855</v>
      </c>
    </row>
    <row r="1395" spans="1:17" x14ac:dyDescent="0.4">
      <c r="A1395">
        <v>20210830</v>
      </c>
      <c r="B1395" s="1">
        <v>2.0833333333333332E-2</v>
      </c>
      <c r="C1395">
        <v>32293</v>
      </c>
      <c r="D1395">
        <v>44057</v>
      </c>
      <c r="E1395">
        <v>-36236</v>
      </c>
      <c r="F1395">
        <v>143988</v>
      </c>
      <c r="G1395">
        <v>13661</v>
      </c>
      <c r="H1395">
        <v>165653</v>
      </c>
      <c r="I1395">
        <v>-2664</v>
      </c>
      <c r="J1395">
        <v>4659</v>
      </c>
      <c r="K1395">
        <v>48001</v>
      </c>
      <c r="L1395">
        <v>-15545</v>
      </c>
      <c r="M1395">
        <v>6.89</v>
      </c>
      <c r="N1395">
        <f t="shared" si="63"/>
        <v>397867</v>
      </c>
      <c r="O1395">
        <v>19593000</v>
      </c>
      <c r="P1395" s="2">
        <f t="shared" si="64"/>
        <v>2.0306589087939568</v>
      </c>
      <c r="Q1395" s="4">
        <f t="shared" si="65"/>
        <v>13.499577</v>
      </c>
    </row>
    <row r="1396" spans="1:17" x14ac:dyDescent="0.4">
      <c r="A1396">
        <v>20210830</v>
      </c>
      <c r="B1396" s="1">
        <v>4.1666666666666664E-2</v>
      </c>
      <c r="C1396">
        <v>41459</v>
      </c>
      <c r="D1396">
        <v>18194</v>
      </c>
      <c r="E1396">
        <v>-57066</v>
      </c>
      <c r="F1396">
        <v>148977</v>
      </c>
      <c r="G1396">
        <v>16723</v>
      </c>
      <c r="H1396">
        <v>112118</v>
      </c>
      <c r="I1396">
        <v>23450</v>
      </c>
      <c r="J1396">
        <v>5493</v>
      </c>
      <c r="K1396">
        <v>35348</v>
      </c>
      <c r="L1396">
        <v>-21139</v>
      </c>
      <c r="M1396">
        <v>6.85</v>
      </c>
      <c r="N1396">
        <f t="shared" si="63"/>
        <v>323557</v>
      </c>
      <c r="O1396">
        <v>20234000</v>
      </c>
      <c r="P1396" s="2">
        <f t="shared" si="64"/>
        <v>1.59907581298804</v>
      </c>
      <c r="Q1396" s="4">
        <f t="shared" si="65"/>
        <v>13.860290000000001</v>
      </c>
    </row>
    <row r="1397" spans="1:17" x14ac:dyDescent="0.4">
      <c r="A1397">
        <v>20210830</v>
      </c>
      <c r="B1397" s="1">
        <v>6.25E-2</v>
      </c>
      <c r="C1397">
        <v>26918</v>
      </c>
      <c r="D1397">
        <v>42987</v>
      </c>
      <c r="E1397">
        <v>-18102</v>
      </c>
      <c r="F1397">
        <v>172105</v>
      </c>
      <c r="G1397">
        <v>-8687</v>
      </c>
      <c r="H1397">
        <v>30213</v>
      </c>
      <c r="I1397">
        <v>24894</v>
      </c>
      <c r="J1397">
        <v>-11298</v>
      </c>
      <c r="K1397">
        <v>1646</v>
      </c>
      <c r="L1397">
        <v>-15820</v>
      </c>
      <c r="M1397">
        <v>6.8</v>
      </c>
      <c r="N1397">
        <f t="shared" si="63"/>
        <v>244856</v>
      </c>
      <c r="O1397">
        <v>20471250</v>
      </c>
      <c r="P1397" s="2">
        <f t="shared" si="64"/>
        <v>1.1960969652561519</v>
      </c>
      <c r="Q1397" s="4">
        <f t="shared" si="65"/>
        <v>13.920450000000001</v>
      </c>
    </row>
    <row r="1398" spans="1:17" x14ac:dyDescent="0.4">
      <c r="A1398">
        <v>20210830</v>
      </c>
      <c r="B1398" s="1">
        <v>8.3333333333333329E-2</v>
      </c>
      <c r="C1398">
        <v>40232</v>
      </c>
      <c r="D1398">
        <v>-8457</v>
      </c>
      <c r="E1398">
        <v>6284</v>
      </c>
      <c r="F1398">
        <v>223242</v>
      </c>
      <c r="G1398">
        <v>8236</v>
      </c>
      <c r="H1398">
        <v>17930</v>
      </c>
      <c r="I1398">
        <v>-3540</v>
      </c>
      <c r="J1398">
        <v>-6204</v>
      </c>
      <c r="K1398">
        <v>48746</v>
      </c>
      <c r="L1398">
        <v>-19587</v>
      </c>
      <c r="M1398">
        <v>6.74</v>
      </c>
      <c r="N1398">
        <f t="shared" si="63"/>
        <v>306882</v>
      </c>
      <c r="O1398">
        <v>20601550</v>
      </c>
      <c r="P1398" s="2">
        <f t="shared" si="64"/>
        <v>1.4896063645696562</v>
      </c>
      <c r="Q1398" s="4">
        <f t="shared" si="65"/>
        <v>13.885444700000001</v>
      </c>
    </row>
    <row r="1399" spans="1:17" x14ac:dyDescent="0.4">
      <c r="A1399">
        <v>20210830</v>
      </c>
      <c r="B1399" s="1">
        <v>0.10416666666666667</v>
      </c>
      <c r="C1399">
        <v>19267</v>
      </c>
      <c r="D1399">
        <v>37917</v>
      </c>
      <c r="E1399">
        <v>-36475</v>
      </c>
      <c r="F1399">
        <v>169492</v>
      </c>
      <c r="G1399">
        <v>26672</v>
      </c>
      <c r="H1399">
        <v>31721</v>
      </c>
      <c r="I1399">
        <v>-14149</v>
      </c>
      <c r="J1399">
        <v>-6368</v>
      </c>
      <c r="K1399">
        <v>53912</v>
      </c>
      <c r="L1399">
        <v>-16288</v>
      </c>
      <c r="M1399">
        <v>6.69</v>
      </c>
      <c r="N1399">
        <f t="shared" si="63"/>
        <v>265701</v>
      </c>
      <c r="O1399">
        <v>20747850</v>
      </c>
      <c r="P1399" s="2">
        <f t="shared" si="64"/>
        <v>1.2806194376766749</v>
      </c>
      <c r="Q1399" s="4">
        <f t="shared" si="65"/>
        <v>13.880311649999999</v>
      </c>
    </row>
    <row r="1400" spans="1:17" x14ac:dyDescent="0.4">
      <c r="A1400">
        <v>20210830</v>
      </c>
      <c r="B1400" s="1">
        <v>0.125</v>
      </c>
      <c r="C1400">
        <v>7779</v>
      </c>
      <c r="D1400">
        <v>-49483</v>
      </c>
      <c r="E1400">
        <v>-85391</v>
      </c>
      <c r="F1400">
        <v>175682</v>
      </c>
      <c r="G1400">
        <v>31169</v>
      </c>
      <c r="H1400">
        <v>-15290</v>
      </c>
      <c r="I1400">
        <v>-30218</v>
      </c>
      <c r="J1400">
        <v>-6252</v>
      </c>
      <c r="K1400">
        <v>85045</v>
      </c>
      <c r="L1400">
        <v>-18776</v>
      </c>
      <c r="M1400">
        <v>6.74</v>
      </c>
      <c r="N1400">
        <f t="shared" si="63"/>
        <v>94265</v>
      </c>
      <c r="O1400">
        <v>20706500</v>
      </c>
      <c r="P1400" s="2">
        <f t="shared" si="64"/>
        <v>0.45524352256537803</v>
      </c>
      <c r="Q1400" s="4">
        <f t="shared" si="65"/>
        <v>13.956181000000001</v>
      </c>
    </row>
    <row r="1401" spans="1:17" x14ac:dyDescent="0.4">
      <c r="A1401">
        <v>20210830</v>
      </c>
      <c r="B1401" s="1">
        <v>0.14583333333333334</v>
      </c>
      <c r="C1401">
        <v>15872</v>
      </c>
      <c r="D1401">
        <v>-51071</v>
      </c>
      <c r="E1401">
        <v>-94862</v>
      </c>
      <c r="F1401">
        <v>190853</v>
      </c>
      <c r="G1401">
        <v>26005</v>
      </c>
      <c r="H1401">
        <v>-2557</v>
      </c>
      <c r="I1401">
        <v>39723</v>
      </c>
      <c r="J1401">
        <v>-9282</v>
      </c>
      <c r="K1401">
        <v>95064</v>
      </c>
      <c r="L1401">
        <v>-5212</v>
      </c>
      <c r="M1401">
        <v>6.78</v>
      </c>
      <c r="N1401">
        <f t="shared" si="63"/>
        <v>204533</v>
      </c>
      <c r="O1401">
        <v>20702400</v>
      </c>
      <c r="P1401" s="2">
        <f t="shared" si="64"/>
        <v>0.98796757863822549</v>
      </c>
      <c r="Q1401" s="4">
        <f t="shared" si="65"/>
        <v>14.036227200000001</v>
      </c>
    </row>
    <row r="1402" spans="1:17" x14ac:dyDescent="0.4">
      <c r="A1402">
        <v>20210830</v>
      </c>
      <c r="B1402" s="1">
        <v>0.16666666666666666</v>
      </c>
      <c r="C1402">
        <v>12635</v>
      </c>
      <c r="D1402">
        <v>-4238</v>
      </c>
      <c r="E1402">
        <v>-159004</v>
      </c>
      <c r="F1402">
        <v>206102</v>
      </c>
      <c r="G1402">
        <v>18368</v>
      </c>
      <c r="H1402">
        <v>-33301</v>
      </c>
      <c r="I1402">
        <v>15708</v>
      </c>
      <c r="J1402">
        <v>-30408</v>
      </c>
      <c r="K1402">
        <v>46484</v>
      </c>
      <c r="L1402">
        <v>-18364</v>
      </c>
      <c r="M1402">
        <v>6.74</v>
      </c>
      <c r="N1402">
        <f t="shared" si="63"/>
        <v>53982</v>
      </c>
      <c r="O1402">
        <v>20601450</v>
      </c>
      <c r="P1402" s="2">
        <f t="shared" si="64"/>
        <v>0.26203009982307068</v>
      </c>
      <c r="Q1402" s="4">
        <f t="shared" si="65"/>
        <v>13.8853773</v>
      </c>
    </row>
    <row r="1403" spans="1:17" x14ac:dyDescent="0.4">
      <c r="A1403">
        <v>20210830</v>
      </c>
      <c r="B1403" s="1">
        <v>0.1875</v>
      </c>
      <c r="C1403">
        <v>41187</v>
      </c>
      <c r="D1403">
        <v>-3803</v>
      </c>
      <c r="E1403">
        <v>-56616</v>
      </c>
      <c r="F1403">
        <v>79303</v>
      </c>
      <c r="G1403">
        <v>11050</v>
      </c>
      <c r="H1403">
        <v>-24275</v>
      </c>
      <c r="I1403">
        <v>-18190</v>
      </c>
      <c r="J1403">
        <v>-28346</v>
      </c>
      <c r="K1403">
        <v>101196</v>
      </c>
      <c r="L1403">
        <v>-18691</v>
      </c>
      <c r="M1403">
        <v>6.86</v>
      </c>
      <c r="N1403">
        <f t="shared" si="63"/>
        <v>82815</v>
      </c>
      <c r="O1403">
        <v>20681200</v>
      </c>
      <c r="P1403" s="2">
        <f t="shared" si="64"/>
        <v>0.40043614490455098</v>
      </c>
      <c r="Q1403" s="4">
        <f t="shared" si="65"/>
        <v>14.187303200000001</v>
      </c>
    </row>
    <row r="1404" spans="1:17" x14ac:dyDescent="0.4">
      <c r="A1404">
        <v>20210830</v>
      </c>
      <c r="B1404" s="1">
        <v>0.20833333333333334</v>
      </c>
      <c r="C1404">
        <v>7118</v>
      </c>
      <c r="D1404">
        <v>15361</v>
      </c>
      <c r="E1404">
        <v>-41933</v>
      </c>
      <c r="F1404">
        <v>69877</v>
      </c>
      <c r="G1404">
        <v>21345</v>
      </c>
      <c r="H1404">
        <v>-66144</v>
      </c>
      <c r="I1404">
        <v>-10959</v>
      </c>
      <c r="J1404">
        <v>31474</v>
      </c>
      <c r="K1404">
        <v>123692</v>
      </c>
      <c r="L1404">
        <v>-16438</v>
      </c>
      <c r="M1404">
        <v>6.86</v>
      </c>
      <c r="N1404">
        <f t="shared" si="63"/>
        <v>133393</v>
      </c>
      <c r="O1404">
        <v>20698850</v>
      </c>
      <c r="P1404" s="2">
        <f t="shared" si="64"/>
        <v>0.64444643059880136</v>
      </c>
      <c r="Q1404" s="4">
        <f t="shared" si="65"/>
        <v>14.199411100000001</v>
      </c>
    </row>
    <row r="1405" spans="1:17" x14ac:dyDescent="0.4">
      <c r="A1405">
        <v>20210830</v>
      </c>
      <c r="B1405" s="1">
        <v>0.22916666666666666</v>
      </c>
      <c r="C1405">
        <v>13239</v>
      </c>
      <c r="D1405">
        <v>9003</v>
      </c>
      <c r="E1405">
        <v>11510</v>
      </c>
      <c r="F1405">
        <v>180165</v>
      </c>
      <c r="G1405">
        <v>12172</v>
      </c>
      <c r="H1405">
        <v>28804</v>
      </c>
      <c r="I1405">
        <v>56013</v>
      </c>
      <c r="J1405">
        <v>30732</v>
      </c>
      <c r="K1405">
        <v>199047</v>
      </c>
      <c r="L1405">
        <v>-18256</v>
      </c>
      <c r="M1405">
        <v>6.86</v>
      </c>
      <c r="N1405">
        <f t="shared" si="63"/>
        <v>522429</v>
      </c>
      <c r="O1405">
        <v>20669050</v>
      </c>
      <c r="P1405" s="2">
        <f t="shared" si="64"/>
        <v>2.5275907697741311</v>
      </c>
      <c r="Q1405" s="4">
        <f t="shared" si="65"/>
        <v>14.178968299999999</v>
      </c>
    </row>
    <row r="1406" spans="1:17" x14ac:dyDescent="0.4">
      <c r="A1406">
        <v>20210830</v>
      </c>
      <c r="B1406" s="1">
        <v>0.25</v>
      </c>
      <c r="C1406">
        <v>-61347</v>
      </c>
      <c r="D1406">
        <v>54428</v>
      </c>
      <c r="E1406">
        <v>89133</v>
      </c>
      <c r="F1406">
        <v>66688</v>
      </c>
      <c r="G1406">
        <v>-4184</v>
      </c>
      <c r="H1406">
        <v>-50305</v>
      </c>
      <c r="I1406">
        <v>-33100</v>
      </c>
      <c r="J1406">
        <v>53032</v>
      </c>
      <c r="K1406">
        <v>154917</v>
      </c>
      <c r="L1406">
        <v>-11640</v>
      </c>
      <c r="M1406">
        <v>6.86</v>
      </c>
      <c r="N1406">
        <f t="shared" si="63"/>
        <v>257622</v>
      </c>
      <c r="O1406">
        <v>21252650</v>
      </c>
      <c r="P1406" s="2">
        <f t="shared" si="64"/>
        <v>1.2121876565981184</v>
      </c>
      <c r="Q1406" s="4">
        <f t="shared" si="65"/>
        <v>14.579317899999999</v>
      </c>
    </row>
    <row r="1407" spans="1:17" x14ac:dyDescent="0.4">
      <c r="A1407">
        <v>20210830</v>
      </c>
      <c r="B1407" s="1">
        <v>0.27083333333333331</v>
      </c>
      <c r="C1407">
        <v>-46159</v>
      </c>
      <c r="D1407">
        <v>23394</v>
      </c>
      <c r="E1407">
        <v>129294</v>
      </c>
      <c r="F1407">
        <v>24690</v>
      </c>
      <c r="G1407">
        <v>-19420</v>
      </c>
      <c r="H1407">
        <v>-160574</v>
      </c>
      <c r="I1407">
        <v>-65117</v>
      </c>
      <c r="J1407">
        <v>48509</v>
      </c>
      <c r="K1407">
        <v>48913</v>
      </c>
      <c r="L1407">
        <v>-19932</v>
      </c>
      <c r="M1407">
        <v>6.74</v>
      </c>
      <c r="N1407">
        <f t="shared" si="63"/>
        <v>-36402</v>
      </c>
      <c r="O1407">
        <v>22062450</v>
      </c>
      <c r="P1407" s="2">
        <f t="shared" si="64"/>
        <v>-0.16499527477682668</v>
      </c>
      <c r="Q1407" s="4">
        <f t="shared" si="65"/>
        <v>14.8700913</v>
      </c>
    </row>
    <row r="1408" spans="1:17" x14ac:dyDescent="0.4">
      <c r="A1408">
        <v>20210830</v>
      </c>
      <c r="B1408" s="1">
        <v>0.29166666666666669</v>
      </c>
      <c r="C1408">
        <v>-42251</v>
      </c>
      <c r="D1408">
        <v>81626</v>
      </c>
      <c r="E1408">
        <v>327644</v>
      </c>
      <c r="F1408">
        <v>-41192</v>
      </c>
      <c r="G1408">
        <v>-26638</v>
      </c>
      <c r="H1408">
        <v>-147870</v>
      </c>
      <c r="I1408">
        <v>-157508</v>
      </c>
      <c r="J1408">
        <v>29743</v>
      </c>
      <c r="K1408">
        <v>83736</v>
      </c>
      <c r="L1408">
        <v>3649</v>
      </c>
      <c r="M1408">
        <v>6.85</v>
      </c>
      <c r="N1408">
        <f t="shared" si="63"/>
        <v>110939</v>
      </c>
      <c r="O1408">
        <v>22983850</v>
      </c>
      <c r="P1408" s="2">
        <f t="shared" si="64"/>
        <v>0.48268240525412409</v>
      </c>
      <c r="Q1408" s="4">
        <f t="shared" si="65"/>
        <v>15.74393725</v>
      </c>
    </row>
    <row r="1409" spans="1:17" x14ac:dyDescent="0.4">
      <c r="A1409">
        <v>20210830</v>
      </c>
      <c r="B1409" s="1">
        <v>0.3125</v>
      </c>
      <c r="C1409">
        <v>-77452</v>
      </c>
      <c r="D1409">
        <v>123321</v>
      </c>
      <c r="E1409">
        <v>393047</v>
      </c>
      <c r="F1409">
        <v>-105035</v>
      </c>
      <c r="G1409">
        <v>-30002</v>
      </c>
      <c r="H1409">
        <v>-100318</v>
      </c>
      <c r="I1409">
        <v>-33119</v>
      </c>
      <c r="J1409">
        <v>14130</v>
      </c>
      <c r="K1409">
        <v>346954</v>
      </c>
      <c r="L1409">
        <v>-6346</v>
      </c>
      <c r="M1409">
        <v>6.92</v>
      </c>
      <c r="N1409">
        <f t="shared" si="63"/>
        <v>525180</v>
      </c>
      <c r="O1409">
        <v>23520550</v>
      </c>
      <c r="P1409" s="2">
        <f t="shared" si="64"/>
        <v>2.232855949371932</v>
      </c>
      <c r="Q1409" s="4">
        <f t="shared" si="65"/>
        <v>16.276220599999998</v>
      </c>
    </row>
    <row r="1410" spans="1:17" x14ac:dyDescent="0.4">
      <c r="A1410">
        <v>20210830</v>
      </c>
      <c r="B1410" s="1">
        <v>0.33333333333333331</v>
      </c>
      <c r="C1410">
        <v>3048</v>
      </c>
      <c r="D1410">
        <v>-4839</v>
      </c>
      <c r="E1410">
        <v>350225</v>
      </c>
      <c r="F1410">
        <v>19482</v>
      </c>
      <c r="G1410">
        <v>-60591</v>
      </c>
      <c r="H1410">
        <v>-217159</v>
      </c>
      <c r="I1410">
        <v>54339</v>
      </c>
      <c r="J1410">
        <v>53894</v>
      </c>
      <c r="K1410">
        <v>379993</v>
      </c>
      <c r="L1410">
        <v>17471</v>
      </c>
      <c r="M1410">
        <v>7.23</v>
      </c>
      <c r="N1410">
        <f t="shared" si="63"/>
        <v>595863</v>
      </c>
      <c r="O1410">
        <v>25131500</v>
      </c>
      <c r="P1410" s="2">
        <f t="shared" si="64"/>
        <v>2.3709806418240058</v>
      </c>
      <c r="Q1410" s="4">
        <f t="shared" si="65"/>
        <v>18.170074499999998</v>
      </c>
    </row>
    <row r="1411" spans="1:17" x14ac:dyDescent="0.4">
      <c r="A1411">
        <v>20210830</v>
      </c>
      <c r="B1411" s="1">
        <v>0.35416666666666669</v>
      </c>
      <c r="C1411">
        <v>-28980</v>
      </c>
      <c r="D1411">
        <v>4538</v>
      </c>
      <c r="E1411">
        <v>215115</v>
      </c>
      <c r="F1411">
        <v>-29065</v>
      </c>
      <c r="G1411">
        <v>-89531</v>
      </c>
      <c r="H1411">
        <v>-253392</v>
      </c>
      <c r="I1411">
        <v>-31673</v>
      </c>
      <c r="J1411">
        <v>83259</v>
      </c>
      <c r="K1411">
        <v>187731</v>
      </c>
      <c r="L1411">
        <v>-1036</v>
      </c>
      <c r="M1411">
        <v>8.39</v>
      </c>
      <c r="N1411">
        <f t="shared" ref="N1411:N1474" si="66">C1411+D1411+E1411+F1411+G1411+H1411+I1411+J1411+K1411+L1411</f>
        <v>56966</v>
      </c>
      <c r="O1411">
        <v>25303850</v>
      </c>
      <c r="P1411" s="2">
        <f t="shared" ref="P1411:P1474" si="67">((N1411*100)/O1411)</f>
        <v>0.22512779675820083</v>
      </c>
      <c r="Q1411" s="4">
        <f t="shared" ref="Q1411:Q1474" si="68">(M1411*O1411)/10^7</f>
        <v>21.229930150000001</v>
      </c>
    </row>
    <row r="1412" spans="1:17" x14ac:dyDescent="0.4">
      <c r="A1412">
        <v>20210830</v>
      </c>
      <c r="B1412" s="1">
        <v>0.375</v>
      </c>
      <c r="C1412">
        <v>77610</v>
      </c>
      <c r="D1412">
        <v>262686</v>
      </c>
      <c r="E1412">
        <v>-16850</v>
      </c>
      <c r="F1412">
        <v>-137967</v>
      </c>
      <c r="G1412">
        <v>-46602</v>
      </c>
      <c r="H1412">
        <v>-230801</v>
      </c>
      <c r="I1412">
        <v>-65930</v>
      </c>
      <c r="J1412">
        <v>91502</v>
      </c>
      <c r="K1412">
        <v>247468</v>
      </c>
      <c r="L1412">
        <v>-8945</v>
      </c>
      <c r="M1412">
        <v>8.67</v>
      </c>
      <c r="N1412">
        <f t="shared" si="66"/>
        <v>172171</v>
      </c>
      <c r="O1412">
        <v>26228850</v>
      </c>
      <c r="P1412" s="2">
        <f t="shared" si="67"/>
        <v>0.6564184094994634</v>
      </c>
      <c r="Q1412" s="4">
        <f t="shared" si="68"/>
        <v>22.74041295</v>
      </c>
    </row>
    <row r="1413" spans="1:17" x14ac:dyDescent="0.4">
      <c r="A1413">
        <v>20210830</v>
      </c>
      <c r="B1413" s="1">
        <v>0.39583333333333331</v>
      </c>
      <c r="C1413">
        <v>97281</v>
      </c>
      <c r="D1413">
        <v>257768</v>
      </c>
      <c r="E1413">
        <v>-181691</v>
      </c>
      <c r="F1413">
        <v>-104273</v>
      </c>
      <c r="G1413">
        <v>-13297</v>
      </c>
      <c r="H1413">
        <v>-101471</v>
      </c>
      <c r="I1413">
        <v>24963</v>
      </c>
      <c r="J1413">
        <v>82736</v>
      </c>
      <c r="K1413">
        <v>244805</v>
      </c>
      <c r="L1413">
        <v>-2758</v>
      </c>
      <c r="M1413">
        <v>8.39</v>
      </c>
      <c r="N1413">
        <f t="shared" si="66"/>
        <v>304063</v>
      </c>
      <c r="O1413">
        <v>26464700</v>
      </c>
      <c r="P1413" s="2">
        <f t="shared" si="67"/>
        <v>1.1489380193238541</v>
      </c>
      <c r="Q1413" s="4">
        <f t="shared" si="68"/>
        <v>22.203883300000005</v>
      </c>
    </row>
    <row r="1414" spans="1:17" x14ac:dyDescent="0.4">
      <c r="A1414">
        <v>20210830</v>
      </c>
      <c r="B1414" s="1">
        <v>0.41666666666666669</v>
      </c>
      <c r="C1414">
        <v>126779</v>
      </c>
      <c r="D1414">
        <v>251501</v>
      </c>
      <c r="E1414">
        <v>-412011</v>
      </c>
      <c r="F1414">
        <v>-134461</v>
      </c>
      <c r="G1414">
        <v>25542</v>
      </c>
      <c r="H1414">
        <v>-93814</v>
      </c>
      <c r="I1414">
        <v>8395</v>
      </c>
      <c r="J1414">
        <v>68879</v>
      </c>
      <c r="K1414">
        <v>130764</v>
      </c>
      <c r="L1414">
        <v>8244</v>
      </c>
      <c r="M1414">
        <v>8.39</v>
      </c>
      <c r="N1414">
        <f t="shared" si="66"/>
        <v>-20182</v>
      </c>
      <c r="O1414">
        <v>26589550</v>
      </c>
      <c r="P1414" s="2">
        <f t="shared" si="67"/>
        <v>-7.5901999093628894E-2</v>
      </c>
      <c r="Q1414" s="4">
        <f t="shared" si="68"/>
        <v>22.308632450000005</v>
      </c>
    </row>
    <row r="1415" spans="1:17" x14ac:dyDescent="0.4">
      <c r="A1415">
        <v>20210830</v>
      </c>
      <c r="B1415" s="1">
        <v>0.4375</v>
      </c>
      <c r="C1415">
        <v>75769</v>
      </c>
      <c r="D1415">
        <v>232911</v>
      </c>
      <c r="E1415">
        <v>-549950</v>
      </c>
      <c r="F1415">
        <v>-217810</v>
      </c>
      <c r="G1415">
        <v>89443</v>
      </c>
      <c r="H1415">
        <v>-141215</v>
      </c>
      <c r="I1415">
        <v>-65838</v>
      </c>
      <c r="J1415">
        <v>63182</v>
      </c>
      <c r="K1415">
        <v>-40829</v>
      </c>
      <c r="L1415">
        <v>11172</v>
      </c>
      <c r="M1415">
        <v>8.39</v>
      </c>
      <c r="N1415">
        <f t="shared" si="66"/>
        <v>-543165</v>
      </c>
      <c r="O1415">
        <v>26720200</v>
      </c>
      <c r="P1415" s="2">
        <f t="shared" si="67"/>
        <v>-2.03278792823407</v>
      </c>
      <c r="Q1415" s="4">
        <f t="shared" si="68"/>
        <v>22.418247800000003</v>
      </c>
    </row>
    <row r="1416" spans="1:17" x14ac:dyDescent="0.4">
      <c r="A1416">
        <v>20210830</v>
      </c>
      <c r="B1416" s="1">
        <v>0.45833333333333331</v>
      </c>
      <c r="C1416">
        <v>52077</v>
      </c>
      <c r="D1416">
        <v>-35755</v>
      </c>
      <c r="E1416">
        <v>-597392</v>
      </c>
      <c r="F1416">
        <v>-400857</v>
      </c>
      <c r="G1416">
        <v>101005</v>
      </c>
      <c r="H1416">
        <v>-131859</v>
      </c>
      <c r="I1416">
        <v>-58760</v>
      </c>
      <c r="J1416">
        <v>54102</v>
      </c>
      <c r="K1416">
        <v>-55242</v>
      </c>
      <c r="L1416">
        <v>6960</v>
      </c>
      <c r="M1416">
        <v>9.4600000000000009</v>
      </c>
      <c r="N1416">
        <f t="shared" si="66"/>
        <v>-1065721</v>
      </c>
      <c r="O1416">
        <v>26894250</v>
      </c>
      <c r="P1416" s="2">
        <f t="shared" si="67"/>
        <v>-3.9626351357632208</v>
      </c>
      <c r="Q1416" s="4">
        <f t="shared" si="68"/>
        <v>25.441960500000004</v>
      </c>
    </row>
    <row r="1417" spans="1:17" x14ac:dyDescent="0.4">
      <c r="A1417">
        <v>20210830</v>
      </c>
      <c r="B1417" s="1">
        <v>0.47916666666666669</v>
      </c>
      <c r="C1417">
        <v>86830</v>
      </c>
      <c r="D1417">
        <v>-16481</v>
      </c>
      <c r="E1417">
        <v>-752774</v>
      </c>
      <c r="F1417">
        <v>-433200</v>
      </c>
      <c r="G1417">
        <v>117006</v>
      </c>
      <c r="H1417">
        <v>-107845</v>
      </c>
      <c r="I1417">
        <v>69490</v>
      </c>
      <c r="J1417">
        <v>52469</v>
      </c>
      <c r="K1417">
        <v>-68402</v>
      </c>
      <c r="L1417">
        <v>6219</v>
      </c>
      <c r="M1417">
        <v>9.4</v>
      </c>
      <c r="N1417">
        <f t="shared" si="66"/>
        <v>-1046688</v>
      </c>
      <c r="O1417">
        <v>26883150</v>
      </c>
      <c r="P1417" s="2">
        <f t="shared" si="67"/>
        <v>-3.8934723051428124</v>
      </c>
      <c r="Q1417" s="4">
        <f t="shared" si="68"/>
        <v>25.270161000000002</v>
      </c>
    </row>
    <row r="1418" spans="1:17" x14ac:dyDescent="0.4">
      <c r="A1418">
        <v>20210830</v>
      </c>
      <c r="B1418" s="1">
        <v>0.5</v>
      </c>
      <c r="C1418">
        <v>105032</v>
      </c>
      <c r="D1418">
        <v>250845</v>
      </c>
      <c r="E1418">
        <v>-982321</v>
      </c>
      <c r="F1418">
        <v>-452687</v>
      </c>
      <c r="G1418">
        <v>88281</v>
      </c>
      <c r="H1418">
        <v>-47468</v>
      </c>
      <c r="I1418">
        <v>49902</v>
      </c>
      <c r="J1418">
        <v>15874</v>
      </c>
      <c r="K1418">
        <v>79030</v>
      </c>
      <c r="L1418">
        <v>4770</v>
      </c>
      <c r="M1418">
        <v>9.08</v>
      </c>
      <c r="N1418">
        <f t="shared" si="66"/>
        <v>-888742</v>
      </c>
      <c r="O1418">
        <v>26716000</v>
      </c>
      <c r="P1418" s="2">
        <f t="shared" si="67"/>
        <v>-3.3266282377601439</v>
      </c>
      <c r="Q1418" s="4">
        <f t="shared" si="68"/>
        <v>24.258127999999999</v>
      </c>
    </row>
    <row r="1419" spans="1:17" x14ac:dyDescent="0.4">
      <c r="A1419">
        <v>20210830</v>
      </c>
      <c r="B1419" s="1">
        <v>0.52083333333333337</v>
      </c>
      <c r="C1419">
        <v>115320</v>
      </c>
      <c r="D1419">
        <v>430988</v>
      </c>
      <c r="E1419">
        <v>-914629</v>
      </c>
      <c r="F1419">
        <v>-390997</v>
      </c>
      <c r="G1419">
        <v>59417</v>
      </c>
      <c r="H1419">
        <v>-59156</v>
      </c>
      <c r="I1419">
        <v>78076</v>
      </c>
      <c r="J1419">
        <v>45160</v>
      </c>
      <c r="K1419">
        <v>115125</v>
      </c>
      <c r="L1419">
        <v>5283</v>
      </c>
      <c r="M1419">
        <v>9.4499999999999993</v>
      </c>
      <c r="N1419">
        <f t="shared" si="66"/>
        <v>-515413</v>
      </c>
      <c r="O1419">
        <v>26612100</v>
      </c>
      <c r="P1419" s="2">
        <f t="shared" si="67"/>
        <v>-1.93676184893338</v>
      </c>
      <c r="Q1419" s="4">
        <f t="shared" si="68"/>
        <v>25.148434499999997</v>
      </c>
    </row>
    <row r="1420" spans="1:17" x14ac:dyDescent="0.4">
      <c r="A1420">
        <v>20210830</v>
      </c>
      <c r="B1420" s="1">
        <v>0.54166666666666663</v>
      </c>
      <c r="C1420">
        <v>47530</v>
      </c>
      <c r="D1420">
        <v>471948</v>
      </c>
      <c r="E1420">
        <v>-963361</v>
      </c>
      <c r="F1420">
        <v>-342170</v>
      </c>
      <c r="G1420">
        <v>3751</v>
      </c>
      <c r="H1420">
        <v>-84163</v>
      </c>
      <c r="I1420">
        <v>28469</v>
      </c>
      <c r="J1420">
        <v>60336</v>
      </c>
      <c r="K1420">
        <v>141422</v>
      </c>
      <c r="L1420">
        <v>-12317</v>
      </c>
      <c r="M1420">
        <v>10.23</v>
      </c>
      <c r="N1420">
        <f t="shared" si="66"/>
        <v>-648555</v>
      </c>
      <c r="O1420">
        <v>25598550</v>
      </c>
      <c r="P1420" s="2">
        <f t="shared" si="67"/>
        <v>-2.5335614712552079</v>
      </c>
      <c r="Q1420" s="4">
        <f t="shared" si="68"/>
        <v>26.18731665</v>
      </c>
    </row>
    <row r="1421" spans="1:17" x14ac:dyDescent="0.4">
      <c r="A1421">
        <v>20210830</v>
      </c>
      <c r="B1421" s="1">
        <v>0.5625</v>
      </c>
      <c r="C1421">
        <v>54148</v>
      </c>
      <c r="D1421">
        <v>431128</v>
      </c>
      <c r="E1421">
        <v>-838436</v>
      </c>
      <c r="F1421">
        <v>-348274</v>
      </c>
      <c r="G1421">
        <v>52844</v>
      </c>
      <c r="H1421">
        <v>-6322</v>
      </c>
      <c r="I1421">
        <v>33382</v>
      </c>
      <c r="J1421">
        <v>39919</v>
      </c>
      <c r="K1421">
        <v>-32602</v>
      </c>
      <c r="L1421">
        <v>-16156</v>
      </c>
      <c r="M1421">
        <v>10.49</v>
      </c>
      <c r="N1421">
        <f t="shared" si="66"/>
        <v>-630369</v>
      </c>
      <c r="O1421">
        <v>25443000</v>
      </c>
      <c r="P1421" s="2">
        <f t="shared" si="67"/>
        <v>-2.4775733993632825</v>
      </c>
      <c r="Q1421" s="4">
        <f t="shared" si="68"/>
        <v>26.689706999999999</v>
      </c>
    </row>
    <row r="1422" spans="1:17" x14ac:dyDescent="0.4">
      <c r="A1422">
        <v>20210830</v>
      </c>
      <c r="B1422" s="1">
        <v>0.58333333333333337</v>
      </c>
      <c r="C1422">
        <v>108403</v>
      </c>
      <c r="D1422">
        <v>385267</v>
      </c>
      <c r="E1422">
        <v>-599078</v>
      </c>
      <c r="F1422">
        <v>-277359</v>
      </c>
      <c r="G1422">
        <v>114452</v>
      </c>
      <c r="H1422">
        <v>118163</v>
      </c>
      <c r="I1422">
        <v>-54064</v>
      </c>
      <c r="J1422">
        <v>-8184</v>
      </c>
      <c r="K1422">
        <v>23246</v>
      </c>
      <c r="L1422">
        <v>-19631</v>
      </c>
      <c r="M1422">
        <v>10.74</v>
      </c>
      <c r="N1422">
        <f t="shared" si="66"/>
        <v>-208785</v>
      </c>
      <c r="O1422">
        <v>24912150</v>
      </c>
      <c r="P1422" s="2">
        <f t="shared" si="67"/>
        <v>-0.83808503079822494</v>
      </c>
      <c r="Q1422" s="4">
        <f t="shared" si="68"/>
        <v>26.755649099999999</v>
      </c>
    </row>
    <row r="1423" spans="1:17" x14ac:dyDescent="0.4">
      <c r="A1423">
        <v>20210830</v>
      </c>
      <c r="B1423" s="1">
        <v>0.60416666666666663</v>
      </c>
      <c r="C1423">
        <v>103146</v>
      </c>
      <c r="D1423">
        <v>419870</v>
      </c>
      <c r="E1423">
        <v>-671828</v>
      </c>
      <c r="F1423">
        <v>-307411</v>
      </c>
      <c r="G1423">
        <v>77899</v>
      </c>
      <c r="H1423">
        <v>114593</v>
      </c>
      <c r="I1423">
        <v>-19036</v>
      </c>
      <c r="J1423">
        <v>-37360</v>
      </c>
      <c r="K1423">
        <v>10682</v>
      </c>
      <c r="L1423">
        <v>-24276</v>
      </c>
      <c r="M1423">
        <v>10.74</v>
      </c>
      <c r="N1423">
        <f t="shared" si="66"/>
        <v>-333721</v>
      </c>
      <c r="O1423">
        <v>24657000</v>
      </c>
      <c r="P1423" s="2">
        <f t="shared" si="67"/>
        <v>-1.3534533803787971</v>
      </c>
      <c r="Q1423" s="4">
        <f t="shared" si="68"/>
        <v>26.481618000000001</v>
      </c>
    </row>
    <row r="1424" spans="1:17" x14ac:dyDescent="0.4">
      <c r="A1424">
        <v>20210830</v>
      </c>
      <c r="B1424" s="1">
        <v>0.625</v>
      </c>
      <c r="C1424">
        <v>40501</v>
      </c>
      <c r="D1424">
        <v>278149</v>
      </c>
      <c r="E1424">
        <v>-632329</v>
      </c>
      <c r="F1424">
        <v>-178825</v>
      </c>
      <c r="G1424">
        <v>31175</v>
      </c>
      <c r="H1424">
        <v>202518</v>
      </c>
      <c r="I1424">
        <v>56364</v>
      </c>
      <c r="J1424">
        <v>-51522</v>
      </c>
      <c r="K1424">
        <v>8559</v>
      </c>
      <c r="L1424">
        <v>-2819</v>
      </c>
      <c r="M1424">
        <v>10.84</v>
      </c>
      <c r="N1424">
        <f t="shared" si="66"/>
        <v>-248229</v>
      </c>
      <c r="O1424">
        <v>24509150</v>
      </c>
      <c r="P1424" s="2">
        <f t="shared" si="67"/>
        <v>-1.0128013415397923</v>
      </c>
      <c r="Q1424" s="4">
        <f t="shared" si="68"/>
        <v>26.567918599999999</v>
      </c>
    </row>
    <row r="1425" spans="1:17" x14ac:dyDescent="0.4">
      <c r="A1425">
        <v>20210830</v>
      </c>
      <c r="B1425" s="1">
        <v>0.64583333333333337</v>
      </c>
      <c r="C1425">
        <v>94941</v>
      </c>
      <c r="D1425">
        <v>196526</v>
      </c>
      <c r="E1425">
        <v>-886994</v>
      </c>
      <c r="F1425">
        <v>-457200</v>
      </c>
      <c r="G1425">
        <v>-4125</v>
      </c>
      <c r="H1425">
        <v>156821</v>
      </c>
      <c r="I1425">
        <v>-73633</v>
      </c>
      <c r="J1425">
        <v>-90397</v>
      </c>
      <c r="K1425">
        <v>-43045</v>
      </c>
      <c r="L1425">
        <v>-9115</v>
      </c>
      <c r="M1425">
        <v>12.79</v>
      </c>
      <c r="N1425">
        <f t="shared" si="66"/>
        <v>-1116221</v>
      </c>
      <c r="O1425">
        <v>23724700</v>
      </c>
      <c r="P1425" s="2">
        <f t="shared" si="67"/>
        <v>-4.7048898405459285</v>
      </c>
      <c r="Q1425" s="4">
        <f t="shared" si="68"/>
        <v>30.343891299999999</v>
      </c>
    </row>
    <row r="1426" spans="1:17" x14ac:dyDescent="0.4">
      <c r="A1426">
        <v>20210830</v>
      </c>
      <c r="B1426" s="1">
        <v>0.66666666666666663</v>
      </c>
      <c r="C1426">
        <v>52164</v>
      </c>
      <c r="D1426">
        <v>230552</v>
      </c>
      <c r="E1426">
        <v>-1088373</v>
      </c>
      <c r="F1426">
        <v>-532521</v>
      </c>
      <c r="G1426">
        <v>-22896</v>
      </c>
      <c r="H1426">
        <v>22395</v>
      </c>
      <c r="I1426">
        <v>-8214</v>
      </c>
      <c r="J1426">
        <v>-117578</v>
      </c>
      <c r="K1426">
        <v>-42416</v>
      </c>
      <c r="L1426">
        <v>-9568</v>
      </c>
      <c r="M1426">
        <v>14.48</v>
      </c>
      <c r="N1426">
        <f t="shared" si="66"/>
        <v>-1516455</v>
      </c>
      <c r="O1426">
        <v>24037150</v>
      </c>
      <c r="P1426" s="2">
        <f t="shared" si="67"/>
        <v>-6.3087970079647544</v>
      </c>
      <c r="Q1426" s="4">
        <f t="shared" si="68"/>
        <v>34.805793199999997</v>
      </c>
    </row>
    <row r="1427" spans="1:17" x14ac:dyDescent="0.4">
      <c r="A1427">
        <v>20210830</v>
      </c>
      <c r="B1427" s="1">
        <v>0.6875</v>
      </c>
      <c r="C1427">
        <v>31867</v>
      </c>
      <c r="D1427">
        <v>293746</v>
      </c>
      <c r="E1427">
        <v>-1114872</v>
      </c>
      <c r="F1427">
        <v>-307760</v>
      </c>
      <c r="G1427">
        <v>-29667</v>
      </c>
      <c r="H1427">
        <v>-88874</v>
      </c>
      <c r="I1427">
        <v>451137</v>
      </c>
      <c r="J1427">
        <v>-182870</v>
      </c>
      <c r="K1427">
        <v>-69768</v>
      </c>
      <c r="L1427">
        <v>-15568</v>
      </c>
      <c r="M1427">
        <v>18</v>
      </c>
      <c r="N1427">
        <f t="shared" si="66"/>
        <v>-1032629</v>
      </c>
      <c r="O1427">
        <v>23407350</v>
      </c>
      <c r="P1427" s="2">
        <f t="shared" si="67"/>
        <v>-4.4115587625254458</v>
      </c>
      <c r="Q1427" s="4">
        <f t="shared" si="68"/>
        <v>42.133229999999998</v>
      </c>
    </row>
    <row r="1428" spans="1:17" x14ac:dyDescent="0.4">
      <c r="A1428">
        <v>20210830</v>
      </c>
      <c r="B1428" s="1">
        <v>0.70833333333333337</v>
      </c>
      <c r="C1428">
        <v>-21031</v>
      </c>
      <c r="D1428">
        <v>272941</v>
      </c>
      <c r="E1428">
        <v>-1078830</v>
      </c>
      <c r="F1428">
        <v>-196008</v>
      </c>
      <c r="G1428">
        <v>84</v>
      </c>
      <c r="H1428">
        <v>-103</v>
      </c>
      <c r="I1428">
        <v>139141</v>
      </c>
      <c r="J1428">
        <v>-163296</v>
      </c>
      <c r="K1428">
        <v>-208526</v>
      </c>
      <c r="L1428">
        <v>-14205</v>
      </c>
      <c r="M1428">
        <v>14.78</v>
      </c>
      <c r="N1428">
        <f t="shared" si="66"/>
        <v>-1269833</v>
      </c>
      <c r="O1428">
        <v>22862850</v>
      </c>
      <c r="P1428" s="2">
        <f t="shared" si="67"/>
        <v>-5.5541325775220498</v>
      </c>
      <c r="Q1428" s="4">
        <f t="shared" si="68"/>
        <v>33.791292300000002</v>
      </c>
    </row>
    <row r="1429" spans="1:17" x14ac:dyDescent="0.4">
      <c r="A1429">
        <v>20210830</v>
      </c>
      <c r="B1429" s="1">
        <v>0.72916666666666663</v>
      </c>
      <c r="C1429">
        <v>-11098</v>
      </c>
      <c r="D1429">
        <v>140193</v>
      </c>
      <c r="E1429">
        <v>-1026169</v>
      </c>
      <c r="F1429">
        <v>-179599</v>
      </c>
      <c r="G1429">
        <v>5455</v>
      </c>
      <c r="H1429">
        <v>129226</v>
      </c>
      <c r="I1429">
        <v>168083</v>
      </c>
      <c r="J1429">
        <v>-135366</v>
      </c>
      <c r="K1429">
        <v>-177155</v>
      </c>
      <c r="L1429">
        <v>-14841</v>
      </c>
      <c r="M1429">
        <v>15.54</v>
      </c>
      <c r="N1429">
        <f t="shared" si="66"/>
        <v>-1101271</v>
      </c>
      <c r="O1429">
        <v>22519050</v>
      </c>
      <c r="P1429" s="2">
        <f t="shared" si="67"/>
        <v>-4.8903972414466859</v>
      </c>
      <c r="Q1429" s="4">
        <f t="shared" si="68"/>
        <v>34.994603699999999</v>
      </c>
    </row>
    <row r="1430" spans="1:17" x14ac:dyDescent="0.4">
      <c r="A1430">
        <v>20210830</v>
      </c>
      <c r="B1430" s="1">
        <v>0.75</v>
      </c>
      <c r="C1430">
        <v>19382</v>
      </c>
      <c r="D1430">
        <v>120643</v>
      </c>
      <c r="E1430">
        <v>-1404376</v>
      </c>
      <c r="F1430">
        <v>-73135</v>
      </c>
      <c r="G1430">
        <v>-20634</v>
      </c>
      <c r="H1430">
        <v>107084</v>
      </c>
      <c r="I1430">
        <v>81142</v>
      </c>
      <c r="J1430">
        <v>-47108</v>
      </c>
      <c r="K1430">
        <v>-4788</v>
      </c>
      <c r="L1430">
        <v>-18397</v>
      </c>
      <c r="M1430">
        <v>15.69</v>
      </c>
      <c r="N1430">
        <f t="shared" si="66"/>
        <v>-1240187</v>
      </c>
      <c r="O1430">
        <v>22340650</v>
      </c>
      <c r="P1430" s="2">
        <f t="shared" si="67"/>
        <v>-5.5512574611750329</v>
      </c>
      <c r="Q1430" s="4">
        <f t="shared" si="68"/>
        <v>35.052479849999997</v>
      </c>
    </row>
    <row r="1431" spans="1:17" x14ac:dyDescent="0.4">
      <c r="A1431">
        <v>20210830</v>
      </c>
      <c r="B1431" s="1">
        <v>0.77083333333333337</v>
      </c>
      <c r="C1431">
        <v>-5410</v>
      </c>
      <c r="D1431">
        <v>119504</v>
      </c>
      <c r="E1431">
        <v>-1112112</v>
      </c>
      <c r="F1431">
        <v>-48038</v>
      </c>
      <c r="G1431">
        <v>-34444</v>
      </c>
      <c r="H1431">
        <v>-16296</v>
      </c>
      <c r="I1431">
        <v>7079</v>
      </c>
      <c r="J1431">
        <v>-9261</v>
      </c>
      <c r="K1431">
        <v>-3719</v>
      </c>
      <c r="L1431">
        <v>-20428</v>
      </c>
      <c r="M1431">
        <v>15</v>
      </c>
      <c r="N1431">
        <f t="shared" si="66"/>
        <v>-1123125</v>
      </c>
      <c r="O1431">
        <v>22448300</v>
      </c>
      <c r="P1431" s="2">
        <f t="shared" si="67"/>
        <v>-5.0031628230200056</v>
      </c>
      <c r="Q1431" s="4">
        <f t="shared" si="68"/>
        <v>33.672449999999998</v>
      </c>
    </row>
    <row r="1432" spans="1:17" x14ac:dyDescent="0.4">
      <c r="A1432">
        <v>20210830</v>
      </c>
      <c r="B1432" s="1">
        <v>0.79166666666666663</v>
      </c>
      <c r="C1432">
        <v>24780</v>
      </c>
      <c r="D1432">
        <v>120182</v>
      </c>
      <c r="E1432">
        <v>-1090902</v>
      </c>
      <c r="F1432">
        <v>20836</v>
      </c>
      <c r="G1432">
        <v>-19729</v>
      </c>
      <c r="H1432">
        <v>-34164</v>
      </c>
      <c r="I1432">
        <v>30767</v>
      </c>
      <c r="J1432">
        <v>9708</v>
      </c>
      <c r="K1432">
        <v>34733</v>
      </c>
      <c r="L1432">
        <v>-23602</v>
      </c>
      <c r="M1432">
        <v>12.16</v>
      </c>
      <c r="N1432">
        <f t="shared" si="66"/>
        <v>-927391</v>
      </c>
      <c r="O1432">
        <v>22593800</v>
      </c>
      <c r="P1432" s="2">
        <f t="shared" si="67"/>
        <v>-4.1046260478538361</v>
      </c>
      <c r="Q1432" s="4">
        <f t="shared" si="68"/>
        <v>27.4740608</v>
      </c>
    </row>
    <row r="1433" spans="1:17" x14ac:dyDescent="0.4">
      <c r="A1433">
        <v>20210830</v>
      </c>
      <c r="B1433" s="1">
        <v>0.8125</v>
      </c>
      <c r="C1433">
        <v>28150</v>
      </c>
      <c r="D1433">
        <v>95582</v>
      </c>
      <c r="E1433">
        <v>-1244214</v>
      </c>
      <c r="F1433">
        <v>86009</v>
      </c>
      <c r="G1433">
        <v>7732</v>
      </c>
      <c r="H1433">
        <v>55624</v>
      </c>
      <c r="I1433">
        <v>53596</v>
      </c>
      <c r="J1433">
        <v>3502</v>
      </c>
      <c r="K1433">
        <v>74381</v>
      </c>
      <c r="L1433">
        <v>-16117</v>
      </c>
      <c r="M1433">
        <v>11.35</v>
      </c>
      <c r="N1433">
        <f t="shared" si="66"/>
        <v>-855755</v>
      </c>
      <c r="O1433">
        <v>22255950</v>
      </c>
      <c r="P1433" s="2">
        <f t="shared" si="67"/>
        <v>-3.8450616576690728</v>
      </c>
      <c r="Q1433" s="4">
        <f t="shared" si="68"/>
        <v>25.260503249999999</v>
      </c>
    </row>
    <row r="1434" spans="1:17" x14ac:dyDescent="0.4">
      <c r="A1434">
        <v>20210830</v>
      </c>
      <c r="B1434" s="1">
        <v>0.83333333333333337</v>
      </c>
      <c r="C1434">
        <v>32024</v>
      </c>
      <c r="D1434">
        <v>87171</v>
      </c>
      <c r="E1434">
        <v>-1249680</v>
      </c>
      <c r="F1434">
        <v>91068</v>
      </c>
      <c r="G1434">
        <v>21919</v>
      </c>
      <c r="H1434">
        <v>173037</v>
      </c>
      <c r="I1434">
        <v>95725</v>
      </c>
      <c r="J1434">
        <v>19592</v>
      </c>
      <c r="K1434">
        <v>51495</v>
      </c>
      <c r="L1434">
        <v>-23989</v>
      </c>
      <c r="M1434">
        <v>10.38</v>
      </c>
      <c r="N1434">
        <f t="shared" si="66"/>
        <v>-701638</v>
      </c>
      <c r="O1434">
        <v>21707600</v>
      </c>
      <c r="P1434" s="2">
        <f t="shared" si="67"/>
        <v>-3.2322228159722863</v>
      </c>
      <c r="Q1434" s="4">
        <f t="shared" si="68"/>
        <v>22.532488800000003</v>
      </c>
    </row>
    <row r="1435" spans="1:17" x14ac:dyDescent="0.4">
      <c r="A1435">
        <v>20210830</v>
      </c>
      <c r="B1435" s="1">
        <v>0.85416666666666663</v>
      </c>
      <c r="C1435">
        <v>85493</v>
      </c>
      <c r="D1435">
        <v>73271</v>
      </c>
      <c r="E1435">
        <v>-859602</v>
      </c>
      <c r="F1435">
        <v>137652</v>
      </c>
      <c r="G1435">
        <v>11614</v>
      </c>
      <c r="H1435">
        <v>-7404</v>
      </c>
      <c r="I1435">
        <v>79536</v>
      </c>
      <c r="J1435">
        <v>12159</v>
      </c>
      <c r="K1435">
        <v>146155</v>
      </c>
      <c r="L1435">
        <v>-13761</v>
      </c>
      <c r="M1435">
        <v>10.17</v>
      </c>
      <c r="N1435">
        <f t="shared" si="66"/>
        <v>-334887</v>
      </c>
      <c r="O1435">
        <v>21862950</v>
      </c>
      <c r="P1435" s="2">
        <f t="shared" si="67"/>
        <v>-1.531755778611761</v>
      </c>
      <c r="Q1435" s="4">
        <f t="shared" si="68"/>
        <v>22.234620150000001</v>
      </c>
    </row>
    <row r="1436" spans="1:17" x14ac:dyDescent="0.4">
      <c r="A1436">
        <v>20210830</v>
      </c>
      <c r="B1436" s="1">
        <v>0.875</v>
      </c>
      <c r="C1436">
        <v>100981</v>
      </c>
      <c r="D1436">
        <v>94909</v>
      </c>
      <c r="E1436">
        <v>-721962</v>
      </c>
      <c r="F1436">
        <v>78181</v>
      </c>
      <c r="G1436">
        <v>10721</v>
      </c>
      <c r="H1436">
        <v>63004</v>
      </c>
      <c r="I1436">
        <v>43421</v>
      </c>
      <c r="J1436">
        <v>33418</v>
      </c>
      <c r="K1436">
        <v>82490</v>
      </c>
      <c r="L1436">
        <v>-20879</v>
      </c>
      <c r="M1436">
        <v>9.99</v>
      </c>
      <c r="N1436">
        <f t="shared" si="66"/>
        <v>-235716</v>
      </c>
      <c r="O1436">
        <v>21776750</v>
      </c>
      <c r="P1436" s="2">
        <f t="shared" si="67"/>
        <v>-1.0824204713742869</v>
      </c>
      <c r="Q1436" s="4">
        <f t="shared" si="68"/>
        <v>21.754973249999999</v>
      </c>
    </row>
    <row r="1437" spans="1:17" x14ac:dyDescent="0.4">
      <c r="A1437">
        <v>20210830</v>
      </c>
      <c r="B1437" s="1">
        <v>0.89583333333333337</v>
      </c>
      <c r="C1437">
        <v>78339</v>
      </c>
      <c r="D1437">
        <v>62543</v>
      </c>
      <c r="E1437">
        <v>-252236</v>
      </c>
      <c r="F1437">
        <v>93676</v>
      </c>
      <c r="G1437">
        <v>15640</v>
      </c>
      <c r="H1437">
        <v>88084</v>
      </c>
      <c r="I1437">
        <v>69365</v>
      </c>
      <c r="J1437">
        <v>5571</v>
      </c>
      <c r="K1437">
        <v>48552</v>
      </c>
      <c r="L1437">
        <v>-13601</v>
      </c>
      <c r="M1437">
        <v>9.7799999999999994</v>
      </c>
      <c r="N1437">
        <f t="shared" si="66"/>
        <v>195933</v>
      </c>
      <c r="O1437">
        <v>21766950</v>
      </c>
      <c r="P1437" s="2">
        <f t="shared" si="67"/>
        <v>0.90013989098151093</v>
      </c>
      <c r="Q1437" s="4">
        <f t="shared" si="68"/>
        <v>21.288077099999999</v>
      </c>
    </row>
    <row r="1438" spans="1:17" x14ac:dyDescent="0.4">
      <c r="A1438">
        <v>20210830</v>
      </c>
      <c r="B1438" s="1">
        <v>0.91666666666666663</v>
      </c>
      <c r="C1438">
        <v>145542</v>
      </c>
      <c r="D1438">
        <v>104033</v>
      </c>
      <c r="E1438">
        <v>-658493</v>
      </c>
      <c r="F1438">
        <v>56644</v>
      </c>
      <c r="G1438">
        <v>-3077</v>
      </c>
      <c r="H1438">
        <v>63115</v>
      </c>
      <c r="I1438">
        <v>-5605</v>
      </c>
      <c r="J1438">
        <v>11713</v>
      </c>
      <c r="K1438">
        <v>30929</v>
      </c>
      <c r="L1438">
        <v>-27992</v>
      </c>
      <c r="M1438">
        <v>9.76</v>
      </c>
      <c r="N1438">
        <f t="shared" si="66"/>
        <v>-283191</v>
      </c>
      <c r="O1438">
        <v>21331000</v>
      </c>
      <c r="P1438" s="2">
        <f t="shared" si="67"/>
        <v>-1.3276030190802119</v>
      </c>
      <c r="Q1438" s="4">
        <f t="shared" si="68"/>
        <v>20.819056</v>
      </c>
    </row>
    <row r="1439" spans="1:17" x14ac:dyDescent="0.4">
      <c r="A1439">
        <v>20210830</v>
      </c>
      <c r="B1439" s="1">
        <v>0.9375</v>
      </c>
      <c r="C1439">
        <v>89956</v>
      </c>
      <c r="D1439">
        <v>34081</v>
      </c>
      <c r="E1439">
        <v>-21922</v>
      </c>
      <c r="F1439">
        <v>18437</v>
      </c>
      <c r="G1439">
        <v>14525</v>
      </c>
      <c r="H1439">
        <v>177298</v>
      </c>
      <c r="I1439">
        <v>34711</v>
      </c>
      <c r="J1439">
        <v>-4183</v>
      </c>
      <c r="K1439">
        <v>2270</v>
      </c>
      <c r="L1439">
        <v>-22579</v>
      </c>
      <c r="M1439">
        <v>9.68</v>
      </c>
      <c r="N1439">
        <f t="shared" si="66"/>
        <v>322594</v>
      </c>
      <c r="O1439">
        <v>21263750</v>
      </c>
      <c r="P1439" s="2">
        <f t="shared" si="67"/>
        <v>1.5171077538063606</v>
      </c>
      <c r="Q1439" s="4">
        <f t="shared" si="68"/>
        <v>20.583310000000001</v>
      </c>
    </row>
    <row r="1440" spans="1:17" x14ac:dyDescent="0.4">
      <c r="A1440">
        <v>20210830</v>
      </c>
      <c r="B1440" s="1">
        <v>0.95833333333333337</v>
      </c>
      <c r="C1440">
        <v>136816</v>
      </c>
      <c r="D1440">
        <v>4400</v>
      </c>
      <c r="E1440">
        <v>-81088</v>
      </c>
      <c r="F1440">
        <v>33039</v>
      </c>
      <c r="G1440">
        <v>15897</v>
      </c>
      <c r="H1440">
        <v>22814</v>
      </c>
      <c r="I1440">
        <v>49136</v>
      </c>
      <c r="J1440">
        <v>-8400</v>
      </c>
      <c r="K1440">
        <v>-21020</v>
      </c>
      <c r="L1440">
        <v>-18981</v>
      </c>
      <c r="M1440">
        <v>8.86</v>
      </c>
      <c r="N1440">
        <f t="shared" si="66"/>
        <v>132613</v>
      </c>
      <c r="O1440">
        <v>20940100</v>
      </c>
      <c r="P1440" s="2">
        <f t="shared" si="67"/>
        <v>0.63329688014861441</v>
      </c>
      <c r="Q1440" s="4">
        <f t="shared" si="68"/>
        <v>18.552928600000001</v>
      </c>
    </row>
    <row r="1441" spans="1:17" x14ac:dyDescent="0.4">
      <c r="A1441">
        <v>20210830</v>
      </c>
      <c r="B1441" s="1">
        <v>0.97916666666666663</v>
      </c>
      <c r="C1441">
        <v>110783</v>
      </c>
      <c r="D1441">
        <v>86939</v>
      </c>
      <c r="E1441">
        <v>-15171</v>
      </c>
      <c r="F1441">
        <v>47531</v>
      </c>
      <c r="G1441">
        <v>48646</v>
      </c>
      <c r="H1441">
        <v>240663</v>
      </c>
      <c r="I1441">
        <v>19379</v>
      </c>
      <c r="J1441">
        <v>-15369</v>
      </c>
      <c r="K1441">
        <v>-30237</v>
      </c>
      <c r="L1441">
        <v>-13130</v>
      </c>
      <c r="M1441">
        <v>7.51</v>
      </c>
      <c r="N1441">
        <f t="shared" si="66"/>
        <v>480034</v>
      </c>
      <c r="O1441">
        <v>19784150</v>
      </c>
      <c r="P1441" s="2">
        <f t="shared" si="67"/>
        <v>2.4263564520082994</v>
      </c>
      <c r="Q1441" s="4">
        <f t="shared" si="68"/>
        <v>14.857896650000001</v>
      </c>
    </row>
    <row r="1442" spans="1:17" x14ac:dyDescent="0.4">
      <c r="A1442">
        <v>20210831</v>
      </c>
      <c r="B1442" s="1">
        <v>0</v>
      </c>
      <c r="C1442">
        <v>83453</v>
      </c>
      <c r="D1442">
        <v>95560</v>
      </c>
      <c r="E1442">
        <v>60231</v>
      </c>
      <c r="F1442">
        <v>83775</v>
      </c>
      <c r="G1442">
        <v>16899</v>
      </c>
      <c r="H1442">
        <v>239978</v>
      </c>
      <c r="I1442">
        <v>80462</v>
      </c>
      <c r="J1442">
        <v>-21951</v>
      </c>
      <c r="K1442">
        <v>46480</v>
      </c>
      <c r="L1442">
        <v>-21400</v>
      </c>
      <c r="M1442">
        <v>7.26</v>
      </c>
      <c r="N1442">
        <f t="shared" si="66"/>
        <v>663487</v>
      </c>
      <c r="O1442">
        <v>18827700</v>
      </c>
      <c r="P1442" s="2">
        <f t="shared" si="67"/>
        <v>3.5239939026009548</v>
      </c>
      <c r="Q1442" s="4">
        <f t="shared" si="68"/>
        <v>13.668910199999999</v>
      </c>
    </row>
    <row r="1443" spans="1:17" x14ac:dyDescent="0.4">
      <c r="A1443">
        <v>20210831</v>
      </c>
      <c r="B1443" s="1">
        <v>2.0833333333333332E-2</v>
      </c>
      <c r="C1443">
        <v>85093</v>
      </c>
      <c r="D1443">
        <v>79859</v>
      </c>
      <c r="E1443">
        <v>146197</v>
      </c>
      <c r="F1443">
        <v>149661</v>
      </c>
      <c r="G1443">
        <v>24863</v>
      </c>
      <c r="H1443">
        <v>91269</v>
      </c>
      <c r="I1443">
        <v>42101</v>
      </c>
      <c r="J1443">
        <v>-35985</v>
      </c>
      <c r="K1443">
        <v>-46591</v>
      </c>
      <c r="L1443">
        <v>-17737</v>
      </c>
      <c r="M1443">
        <v>7.26</v>
      </c>
      <c r="N1443">
        <f t="shared" si="66"/>
        <v>518730</v>
      </c>
      <c r="O1443">
        <v>20319050</v>
      </c>
      <c r="P1443" s="2">
        <f t="shared" si="67"/>
        <v>2.5529244723547606</v>
      </c>
      <c r="Q1443" s="4">
        <f t="shared" si="68"/>
        <v>14.7516303</v>
      </c>
    </row>
    <row r="1444" spans="1:17" x14ac:dyDescent="0.4">
      <c r="A1444">
        <v>20210831</v>
      </c>
      <c r="B1444" s="1">
        <v>4.1666666666666664E-2</v>
      </c>
      <c r="C1444">
        <v>91388</v>
      </c>
      <c r="D1444">
        <v>109353</v>
      </c>
      <c r="E1444">
        <v>118758</v>
      </c>
      <c r="F1444">
        <v>90172</v>
      </c>
      <c r="G1444">
        <v>53013</v>
      </c>
      <c r="H1444">
        <v>83688</v>
      </c>
      <c r="I1444">
        <v>138861</v>
      </c>
      <c r="J1444">
        <v>-21780</v>
      </c>
      <c r="K1444">
        <v>7242</v>
      </c>
      <c r="L1444">
        <v>-13057</v>
      </c>
      <c r="M1444">
        <v>7.37</v>
      </c>
      <c r="N1444">
        <f t="shared" si="66"/>
        <v>657638</v>
      </c>
      <c r="O1444">
        <v>20643200</v>
      </c>
      <c r="P1444" s="2">
        <f t="shared" si="67"/>
        <v>3.1857367074872114</v>
      </c>
      <c r="Q1444" s="4">
        <f t="shared" si="68"/>
        <v>15.2140384</v>
      </c>
    </row>
    <row r="1445" spans="1:17" x14ac:dyDescent="0.4">
      <c r="A1445">
        <v>20210831</v>
      </c>
      <c r="B1445" s="1">
        <v>6.25E-2</v>
      </c>
      <c r="C1445">
        <v>82267</v>
      </c>
      <c r="D1445">
        <v>149274</v>
      </c>
      <c r="E1445">
        <v>146742</v>
      </c>
      <c r="F1445">
        <v>112110</v>
      </c>
      <c r="G1445">
        <v>43575</v>
      </c>
      <c r="H1445">
        <v>9834</v>
      </c>
      <c r="I1445">
        <v>63680</v>
      </c>
      <c r="J1445">
        <v>-19034</v>
      </c>
      <c r="K1445">
        <v>10019</v>
      </c>
      <c r="L1445">
        <v>-11437</v>
      </c>
      <c r="M1445">
        <v>7.23</v>
      </c>
      <c r="N1445">
        <f t="shared" si="66"/>
        <v>587030</v>
      </c>
      <c r="O1445">
        <v>20861300</v>
      </c>
      <c r="P1445" s="2">
        <f t="shared" si="67"/>
        <v>2.8139665313283446</v>
      </c>
      <c r="Q1445" s="4">
        <f t="shared" si="68"/>
        <v>15.082719900000001</v>
      </c>
    </row>
    <row r="1446" spans="1:17" x14ac:dyDescent="0.4">
      <c r="A1446">
        <v>20210831</v>
      </c>
      <c r="B1446" s="1">
        <v>8.3333333333333329E-2</v>
      </c>
      <c r="C1446">
        <v>81880</v>
      </c>
      <c r="D1446">
        <v>142820</v>
      </c>
      <c r="E1446">
        <v>193763</v>
      </c>
      <c r="F1446">
        <v>140337</v>
      </c>
      <c r="G1446">
        <v>33061</v>
      </c>
      <c r="H1446">
        <v>3327</v>
      </c>
      <c r="I1446">
        <v>72639</v>
      </c>
      <c r="J1446">
        <v>-20314</v>
      </c>
      <c r="K1446">
        <v>13621</v>
      </c>
      <c r="L1446">
        <v>-5957</v>
      </c>
      <c r="M1446">
        <v>7.17</v>
      </c>
      <c r="N1446">
        <f t="shared" si="66"/>
        <v>655177</v>
      </c>
      <c r="O1446">
        <v>21104450</v>
      </c>
      <c r="P1446" s="2">
        <f t="shared" si="67"/>
        <v>3.1044495355244983</v>
      </c>
      <c r="Q1446" s="4">
        <f t="shared" si="68"/>
        <v>15.131890650000001</v>
      </c>
    </row>
    <row r="1447" spans="1:17" x14ac:dyDescent="0.4">
      <c r="A1447">
        <v>20210831</v>
      </c>
      <c r="B1447" s="1">
        <v>0.10416666666666667</v>
      </c>
      <c r="C1447">
        <v>94688</v>
      </c>
      <c r="D1447">
        <v>163291</v>
      </c>
      <c r="E1447">
        <v>29143</v>
      </c>
      <c r="F1447">
        <v>139320</v>
      </c>
      <c r="G1447">
        <v>31343</v>
      </c>
      <c r="H1447">
        <v>-1972</v>
      </c>
      <c r="I1447">
        <v>-38571</v>
      </c>
      <c r="J1447">
        <v>1488</v>
      </c>
      <c r="K1447">
        <v>64712</v>
      </c>
      <c r="L1447">
        <v>-11142</v>
      </c>
      <c r="M1447">
        <v>7.03</v>
      </c>
      <c r="N1447">
        <f t="shared" si="66"/>
        <v>472300</v>
      </c>
      <c r="O1447">
        <v>21248150</v>
      </c>
      <c r="P1447" s="2">
        <f t="shared" si="67"/>
        <v>2.2227817480580661</v>
      </c>
      <c r="Q1447" s="4">
        <f t="shared" si="68"/>
        <v>14.937449450000001</v>
      </c>
    </row>
    <row r="1448" spans="1:17" x14ac:dyDescent="0.4">
      <c r="A1448">
        <v>20210831</v>
      </c>
      <c r="B1448" s="1">
        <v>0.125</v>
      </c>
      <c r="C1448">
        <v>87171</v>
      </c>
      <c r="D1448">
        <v>107537</v>
      </c>
      <c r="E1448">
        <v>147775</v>
      </c>
      <c r="F1448">
        <v>176117</v>
      </c>
      <c r="G1448">
        <v>47805</v>
      </c>
      <c r="H1448">
        <v>-21768</v>
      </c>
      <c r="I1448">
        <v>35550</v>
      </c>
      <c r="J1448">
        <v>15042</v>
      </c>
      <c r="K1448">
        <v>69074</v>
      </c>
      <c r="L1448">
        <v>-18119</v>
      </c>
      <c r="M1448">
        <v>7.03</v>
      </c>
      <c r="N1448">
        <f t="shared" si="66"/>
        <v>646184</v>
      </c>
      <c r="O1448">
        <v>21175300</v>
      </c>
      <c r="P1448" s="2">
        <f t="shared" si="67"/>
        <v>3.0515931297313381</v>
      </c>
      <c r="Q1448" s="4">
        <f t="shared" si="68"/>
        <v>14.886235900000001</v>
      </c>
    </row>
    <row r="1449" spans="1:17" x14ac:dyDescent="0.4">
      <c r="A1449">
        <v>20210831</v>
      </c>
      <c r="B1449" s="1">
        <v>0.14583333333333334</v>
      </c>
      <c r="C1449">
        <v>104873</v>
      </c>
      <c r="D1449">
        <v>187026</v>
      </c>
      <c r="E1449">
        <v>159615</v>
      </c>
      <c r="F1449">
        <v>143654</v>
      </c>
      <c r="G1449">
        <v>64726</v>
      </c>
      <c r="H1449">
        <v>40567</v>
      </c>
      <c r="I1449">
        <v>-20993</v>
      </c>
      <c r="J1449">
        <v>26039</v>
      </c>
      <c r="K1449">
        <v>95737</v>
      </c>
      <c r="L1449">
        <v>-8466</v>
      </c>
      <c r="M1449">
        <v>7.03</v>
      </c>
      <c r="N1449">
        <f t="shared" si="66"/>
        <v>792778</v>
      </c>
      <c r="O1449">
        <v>21184050</v>
      </c>
      <c r="P1449" s="2">
        <f t="shared" si="67"/>
        <v>3.7423344450187761</v>
      </c>
      <c r="Q1449" s="4">
        <f t="shared" si="68"/>
        <v>14.892387149999999</v>
      </c>
    </row>
    <row r="1450" spans="1:17" x14ac:dyDescent="0.4">
      <c r="A1450">
        <v>20210831</v>
      </c>
      <c r="B1450" s="1">
        <v>0.16666666666666666</v>
      </c>
      <c r="C1450">
        <v>115322</v>
      </c>
      <c r="D1450">
        <v>148868</v>
      </c>
      <c r="E1450">
        <v>145569</v>
      </c>
      <c r="F1450">
        <v>159681</v>
      </c>
      <c r="G1450">
        <v>13529</v>
      </c>
      <c r="H1450">
        <v>78548</v>
      </c>
      <c r="I1450">
        <v>-7381</v>
      </c>
      <c r="J1450">
        <v>18700</v>
      </c>
      <c r="K1450">
        <v>130553</v>
      </c>
      <c r="L1450">
        <v>-13023</v>
      </c>
      <c r="M1450">
        <v>7.03</v>
      </c>
      <c r="N1450">
        <f t="shared" si="66"/>
        <v>790366</v>
      </c>
      <c r="O1450">
        <v>21324650</v>
      </c>
      <c r="P1450" s="2">
        <f t="shared" si="67"/>
        <v>3.7063492249579713</v>
      </c>
      <c r="Q1450" s="4">
        <f t="shared" si="68"/>
        <v>14.99122895</v>
      </c>
    </row>
    <row r="1451" spans="1:17" x14ac:dyDescent="0.4">
      <c r="A1451">
        <v>20210831</v>
      </c>
      <c r="B1451" s="1">
        <v>0.1875</v>
      </c>
      <c r="C1451">
        <v>81096</v>
      </c>
      <c r="D1451">
        <v>152340</v>
      </c>
      <c r="E1451">
        <v>171956</v>
      </c>
      <c r="F1451">
        <v>11551</v>
      </c>
      <c r="G1451">
        <v>11973</v>
      </c>
      <c r="H1451">
        <v>57832</v>
      </c>
      <c r="I1451">
        <v>-4225</v>
      </c>
      <c r="J1451">
        <v>15696</v>
      </c>
      <c r="K1451">
        <v>130329</v>
      </c>
      <c r="L1451">
        <v>-8593</v>
      </c>
      <c r="M1451">
        <v>7.11</v>
      </c>
      <c r="N1451">
        <f t="shared" si="66"/>
        <v>619955</v>
      </c>
      <c r="O1451">
        <v>21258900</v>
      </c>
      <c r="P1451" s="2">
        <f t="shared" si="67"/>
        <v>2.9162139151131998</v>
      </c>
      <c r="Q1451" s="4">
        <f t="shared" si="68"/>
        <v>15.115077899999999</v>
      </c>
    </row>
    <row r="1452" spans="1:17" x14ac:dyDescent="0.4">
      <c r="A1452">
        <v>20210831</v>
      </c>
      <c r="B1452" s="1">
        <v>0.20833333333333334</v>
      </c>
      <c r="C1452">
        <v>105800</v>
      </c>
      <c r="D1452">
        <v>167556</v>
      </c>
      <c r="E1452">
        <v>37970</v>
      </c>
      <c r="F1452">
        <v>-9268</v>
      </c>
      <c r="G1452">
        <v>11913</v>
      </c>
      <c r="H1452">
        <v>120467</v>
      </c>
      <c r="I1452">
        <v>-113640</v>
      </c>
      <c r="J1452">
        <v>5520</v>
      </c>
      <c r="K1452">
        <v>64052</v>
      </c>
      <c r="L1452">
        <v>-14036</v>
      </c>
      <c r="M1452">
        <v>7.22</v>
      </c>
      <c r="N1452">
        <f t="shared" si="66"/>
        <v>376334</v>
      </c>
      <c r="O1452">
        <v>21200400</v>
      </c>
      <c r="P1452" s="2">
        <f t="shared" si="67"/>
        <v>1.7751268843984076</v>
      </c>
      <c r="Q1452" s="4">
        <f t="shared" si="68"/>
        <v>15.3066888</v>
      </c>
    </row>
    <row r="1453" spans="1:17" x14ac:dyDescent="0.4">
      <c r="A1453">
        <v>20210831</v>
      </c>
      <c r="B1453" s="1">
        <v>0.22916666666666666</v>
      </c>
      <c r="C1453">
        <v>38446</v>
      </c>
      <c r="D1453">
        <v>95871</v>
      </c>
      <c r="E1453">
        <v>24584</v>
      </c>
      <c r="F1453">
        <v>65259</v>
      </c>
      <c r="G1453">
        <v>36618</v>
      </c>
      <c r="H1453">
        <v>178155</v>
      </c>
      <c r="I1453">
        <v>-11937</v>
      </c>
      <c r="J1453">
        <v>-5121</v>
      </c>
      <c r="K1453">
        <v>65531</v>
      </c>
      <c r="L1453">
        <v>-5966</v>
      </c>
      <c r="M1453">
        <v>7.22</v>
      </c>
      <c r="N1453">
        <f t="shared" si="66"/>
        <v>481440</v>
      </c>
      <c r="O1453">
        <v>21217150</v>
      </c>
      <c r="P1453" s="2">
        <f t="shared" si="67"/>
        <v>2.2691077736642291</v>
      </c>
      <c r="Q1453" s="4">
        <f t="shared" si="68"/>
        <v>15.318782300000001</v>
      </c>
    </row>
    <row r="1454" spans="1:17" x14ac:dyDescent="0.4">
      <c r="A1454">
        <v>20210831</v>
      </c>
      <c r="B1454" s="1">
        <v>0.25</v>
      </c>
      <c r="C1454">
        <v>42171</v>
      </c>
      <c r="D1454">
        <v>171321</v>
      </c>
      <c r="E1454">
        <v>-66306</v>
      </c>
      <c r="F1454">
        <v>39794</v>
      </c>
      <c r="G1454">
        <v>46482</v>
      </c>
      <c r="H1454">
        <v>30077</v>
      </c>
      <c r="I1454">
        <v>-49761</v>
      </c>
      <c r="J1454">
        <v>30348</v>
      </c>
      <c r="K1454">
        <v>61865</v>
      </c>
      <c r="L1454">
        <v>-6236</v>
      </c>
      <c r="M1454">
        <v>7.11</v>
      </c>
      <c r="N1454">
        <f t="shared" si="66"/>
        <v>299755</v>
      </c>
      <c r="O1454">
        <v>21810250</v>
      </c>
      <c r="P1454" s="2">
        <f t="shared" si="67"/>
        <v>1.3743767265391273</v>
      </c>
      <c r="Q1454" s="4">
        <f t="shared" si="68"/>
        <v>15.50708775</v>
      </c>
    </row>
    <row r="1455" spans="1:17" x14ac:dyDescent="0.4">
      <c r="A1455">
        <v>20210831</v>
      </c>
      <c r="B1455" s="1">
        <v>0.27083333333333331</v>
      </c>
      <c r="C1455">
        <v>53643</v>
      </c>
      <c r="D1455">
        <v>155959</v>
      </c>
      <c r="E1455">
        <v>19833</v>
      </c>
      <c r="F1455">
        <v>-74461</v>
      </c>
      <c r="G1455">
        <v>46481</v>
      </c>
      <c r="H1455">
        <v>4656</v>
      </c>
      <c r="I1455">
        <v>-25466</v>
      </c>
      <c r="J1455">
        <v>32935</v>
      </c>
      <c r="K1455">
        <v>-104522</v>
      </c>
      <c r="L1455">
        <v>236</v>
      </c>
      <c r="M1455">
        <v>7.11</v>
      </c>
      <c r="N1455">
        <f t="shared" si="66"/>
        <v>109294</v>
      </c>
      <c r="O1455">
        <v>22341450</v>
      </c>
      <c r="P1455" s="2">
        <f t="shared" si="67"/>
        <v>0.48919832866711876</v>
      </c>
      <c r="Q1455" s="4">
        <f t="shared" si="68"/>
        <v>15.88477095</v>
      </c>
    </row>
    <row r="1456" spans="1:17" x14ac:dyDescent="0.4">
      <c r="A1456">
        <v>20210831</v>
      </c>
      <c r="B1456" s="1">
        <v>0.29166666666666669</v>
      </c>
      <c r="C1456">
        <v>38212</v>
      </c>
      <c r="D1456">
        <v>212158</v>
      </c>
      <c r="E1456">
        <v>129197</v>
      </c>
      <c r="F1456">
        <v>-59384</v>
      </c>
      <c r="G1456">
        <v>51352</v>
      </c>
      <c r="H1456">
        <v>91470</v>
      </c>
      <c r="I1456">
        <v>-76399</v>
      </c>
      <c r="J1456">
        <v>75319</v>
      </c>
      <c r="K1456">
        <v>-132012</v>
      </c>
      <c r="L1456">
        <v>14809</v>
      </c>
      <c r="M1456">
        <v>7.22</v>
      </c>
      <c r="N1456">
        <f t="shared" si="66"/>
        <v>344722</v>
      </c>
      <c r="O1456">
        <v>22970600</v>
      </c>
      <c r="P1456" s="2">
        <f t="shared" si="67"/>
        <v>1.5007096027095506</v>
      </c>
      <c r="Q1456" s="4">
        <f t="shared" si="68"/>
        <v>16.584773200000001</v>
      </c>
    </row>
    <row r="1457" spans="1:17" x14ac:dyDescent="0.4">
      <c r="A1457">
        <v>20210831</v>
      </c>
      <c r="B1457" s="1">
        <v>0.3125</v>
      </c>
      <c r="C1457">
        <v>20729</v>
      </c>
      <c r="D1457">
        <v>351985</v>
      </c>
      <c r="E1457">
        <v>190681</v>
      </c>
      <c r="F1457">
        <v>-5413</v>
      </c>
      <c r="G1457">
        <v>56542</v>
      </c>
      <c r="H1457">
        <v>233072</v>
      </c>
      <c r="I1457">
        <v>68137</v>
      </c>
      <c r="J1457">
        <v>91128</v>
      </c>
      <c r="K1457">
        <v>4915</v>
      </c>
      <c r="L1457">
        <v>6606</v>
      </c>
      <c r="M1457">
        <v>7.73</v>
      </c>
      <c r="N1457">
        <f t="shared" si="66"/>
        <v>1018382</v>
      </c>
      <c r="O1457">
        <v>23303900</v>
      </c>
      <c r="P1457" s="2">
        <f t="shared" si="67"/>
        <v>4.3700067370697608</v>
      </c>
      <c r="Q1457" s="4">
        <f t="shared" si="68"/>
        <v>18.013914700000001</v>
      </c>
    </row>
    <row r="1458" spans="1:17" x14ac:dyDescent="0.4">
      <c r="A1458">
        <v>20210831</v>
      </c>
      <c r="B1458" s="1">
        <v>0.33333333333333331</v>
      </c>
      <c r="C1458">
        <v>60721</v>
      </c>
      <c r="D1458">
        <v>307170</v>
      </c>
      <c r="E1458">
        <v>470616</v>
      </c>
      <c r="F1458">
        <v>245567</v>
      </c>
      <c r="G1458">
        <v>95454</v>
      </c>
      <c r="H1458">
        <v>139894</v>
      </c>
      <c r="I1458">
        <v>94379</v>
      </c>
      <c r="J1458">
        <v>109953</v>
      </c>
      <c r="K1458">
        <v>36311</v>
      </c>
      <c r="L1458">
        <v>24579</v>
      </c>
      <c r="M1458">
        <v>7.95</v>
      </c>
      <c r="N1458">
        <f t="shared" si="66"/>
        <v>1584644</v>
      </c>
      <c r="O1458">
        <v>24761350</v>
      </c>
      <c r="P1458" s="2">
        <f t="shared" si="67"/>
        <v>6.3996672233137533</v>
      </c>
      <c r="Q1458" s="4">
        <f t="shared" si="68"/>
        <v>19.685273250000002</v>
      </c>
    </row>
    <row r="1459" spans="1:17" x14ac:dyDescent="0.4">
      <c r="A1459">
        <v>20210831</v>
      </c>
      <c r="B1459" s="1">
        <v>0.35416666666666669</v>
      </c>
      <c r="C1459">
        <v>82953</v>
      </c>
      <c r="D1459">
        <v>332219</v>
      </c>
      <c r="E1459">
        <v>506485</v>
      </c>
      <c r="F1459">
        <v>190122</v>
      </c>
      <c r="G1459">
        <v>98324</v>
      </c>
      <c r="H1459">
        <v>113146</v>
      </c>
      <c r="I1459">
        <v>115182</v>
      </c>
      <c r="J1459">
        <v>135831</v>
      </c>
      <c r="K1459">
        <v>185325</v>
      </c>
      <c r="L1459">
        <v>9099</v>
      </c>
      <c r="M1459">
        <v>8.56</v>
      </c>
      <c r="N1459">
        <f t="shared" si="66"/>
        <v>1768686</v>
      </c>
      <c r="O1459">
        <v>25017250</v>
      </c>
      <c r="P1459" s="2">
        <f t="shared" si="67"/>
        <v>7.0698657926031041</v>
      </c>
      <c r="Q1459" s="4">
        <f t="shared" si="68"/>
        <v>21.414766</v>
      </c>
    </row>
    <row r="1460" spans="1:17" x14ac:dyDescent="0.4">
      <c r="A1460">
        <v>20210831</v>
      </c>
      <c r="B1460" s="1">
        <v>0.375</v>
      </c>
      <c r="C1460">
        <v>140879</v>
      </c>
      <c r="D1460">
        <v>420992</v>
      </c>
      <c r="E1460">
        <v>545247</v>
      </c>
      <c r="F1460">
        <v>379907</v>
      </c>
      <c r="G1460">
        <v>88028</v>
      </c>
      <c r="H1460">
        <v>196638</v>
      </c>
      <c r="I1460">
        <v>86604</v>
      </c>
      <c r="J1460">
        <v>147773</v>
      </c>
      <c r="K1460">
        <v>223702</v>
      </c>
      <c r="L1460">
        <v>1936</v>
      </c>
      <c r="M1460">
        <v>9.69</v>
      </c>
      <c r="N1460">
        <f t="shared" si="66"/>
        <v>2231706</v>
      </c>
      <c r="O1460">
        <v>25921150</v>
      </c>
      <c r="P1460" s="2">
        <f t="shared" si="67"/>
        <v>8.6095948675116656</v>
      </c>
      <c r="Q1460" s="4">
        <f t="shared" si="68"/>
        <v>25.117594350000001</v>
      </c>
    </row>
    <row r="1461" spans="1:17" x14ac:dyDescent="0.4">
      <c r="A1461">
        <v>20210831</v>
      </c>
      <c r="B1461" s="1">
        <v>0.39583333333333331</v>
      </c>
      <c r="C1461">
        <v>43169</v>
      </c>
      <c r="D1461">
        <v>439563</v>
      </c>
      <c r="E1461">
        <v>481705</v>
      </c>
      <c r="F1461">
        <v>304227</v>
      </c>
      <c r="G1461">
        <v>119917</v>
      </c>
      <c r="H1461">
        <v>378214</v>
      </c>
      <c r="I1461">
        <v>184091</v>
      </c>
      <c r="J1461">
        <v>172624</v>
      </c>
      <c r="K1461">
        <v>142152</v>
      </c>
      <c r="L1461">
        <v>3870</v>
      </c>
      <c r="M1461">
        <v>9.65</v>
      </c>
      <c r="N1461">
        <f t="shared" si="66"/>
        <v>2269532</v>
      </c>
      <c r="O1461">
        <v>26087050</v>
      </c>
      <c r="P1461" s="2">
        <f t="shared" si="67"/>
        <v>8.6998414922346523</v>
      </c>
      <c r="Q1461" s="4">
        <f t="shared" si="68"/>
        <v>25.174003249999998</v>
      </c>
    </row>
    <row r="1462" spans="1:17" x14ac:dyDescent="0.4">
      <c r="A1462">
        <v>20210831</v>
      </c>
      <c r="B1462" s="1">
        <v>0.41666666666666669</v>
      </c>
      <c r="C1462">
        <v>43011</v>
      </c>
      <c r="D1462">
        <v>480068</v>
      </c>
      <c r="E1462">
        <v>424850</v>
      </c>
      <c r="F1462">
        <v>207171</v>
      </c>
      <c r="G1462">
        <v>133247</v>
      </c>
      <c r="H1462">
        <v>296966</v>
      </c>
      <c r="I1462">
        <v>269178</v>
      </c>
      <c r="J1462">
        <v>164164</v>
      </c>
      <c r="K1462">
        <v>138802</v>
      </c>
      <c r="L1462">
        <v>4138</v>
      </c>
      <c r="M1462">
        <v>9.61</v>
      </c>
      <c r="N1462">
        <f t="shared" si="66"/>
        <v>2161595</v>
      </c>
      <c r="O1462">
        <v>26107250</v>
      </c>
      <c r="P1462" s="2">
        <f t="shared" si="67"/>
        <v>8.2796732708347296</v>
      </c>
      <c r="Q1462" s="4">
        <f t="shared" si="68"/>
        <v>25.089067249999999</v>
      </c>
    </row>
    <row r="1463" spans="1:17" x14ac:dyDescent="0.4">
      <c r="A1463">
        <v>20210831</v>
      </c>
      <c r="B1463" s="1">
        <v>0.4375</v>
      </c>
      <c r="C1463">
        <v>88121</v>
      </c>
      <c r="D1463">
        <v>612245</v>
      </c>
      <c r="E1463">
        <v>134213</v>
      </c>
      <c r="F1463">
        <v>115343</v>
      </c>
      <c r="G1463">
        <v>156904</v>
      </c>
      <c r="H1463">
        <v>299148</v>
      </c>
      <c r="I1463">
        <v>264075</v>
      </c>
      <c r="J1463">
        <v>154007</v>
      </c>
      <c r="K1463">
        <v>166442</v>
      </c>
      <c r="L1463">
        <v>6434</v>
      </c>
      <c r="M1463">
        <v>9.61</v>
      </c>
      <c r="N1463">
        <f t="shared" si="66"/>
        <v>1996932</v>
      </c>
      <c r="O1463">
        <v>26334450</v>
      </c>
      <c r="P1463" s="2">
        <f t="shared" si="67"/>
        <v>7.5829645198589679</v>
      </c>
      <c r="Q1463" s="4">
        <f t="shared" si="68"/>
        <v>25.307406449999998</v>
      </c>
    </row>
    <row r="1464" spans="1:17" x14ac:dyDescent="0.4">
      <c r="A1464">
        <v>20210831</v>
      </c>
      <c r="B1464" s="1">
        <v>0.45833333333333331</v>
      </c>
      <c r="C1464">
        <v>46184</v>
      </c>
      <c r="D1464">
        <v>816194</v>
      </c>
      <c r="E1464">
        <v>-251367</v>
      </c>
      <c r="F1464">
        <v>-63588</v>
      </c>
      <c r="G1464">
        <v>156974</v>
      </c>
      <c r="H1464">
        <v>224024</v>
      </c>
      <c r="I1464">
        <v>324220</v>
      </c>
      <c r="J1464">
        <v>143317</v>
      </c>
      <c r="K1464">
        <v>187889</v>
      </c>
      <c r="L1464">
        <v>-25551</v>
      </c>
      <c r="M1464">
        <v>9.7799999999999994</v>
      </c>
      <c r="N1464">
        <f t="shared" si="66"/>
        <v>1558296</v>
      </c>
      <c r="O1464">
        <v>26560050</v>
      </c>
      <c r="P1464" s="2">
        <f t="shared" si="67"/>
        <v>5.8670672683221605</v>
      </c>
      <c r="Q1464" s="4">
        <f t="shared" si="68"/>
        <v>25.975728899999996</v>
      </c>
    </row>
    <row r="1465" spans="1:17" x14ac:dyDescent="0.4">
      <c r="A1465">
        <v>20210831</v>
      </c>
      <c r="B1465" s="1">
        <v>0.47916666666666669</v>
      </c>
      <c r="C1465">
        <v>-7153</v>
      </c>
      <c r="D1465">
        <v>882059</v>
      </c>
      <c r="E1465">
        <v>-186217</v>
      </c>
      <c r="F1465">
        <v>-159590</v>
      </c>
      <c r="G1465">
        <v>197592</v>
      </c>
      <c r="H1465">
        <v>199136</v>
      </c>
      <c r="I1465">
        <v>421299</v>
      </c>
      <c r="J1465">
        <v>115090</v>
      </c>
      <c r="K1465">
        <v>202160</v>
      </c>
      <c r="L1465">
        <v>-27970</v>
      </c>
      <c r="M1465">
        <v>9.7799999999999994</v>
      </c>
      <c r="N1465">
        <f t="shared" si="66"/>
        <v>1636406</v>
      </c>
      <c r="O1465">
        <v>26533750</v>
      </c>
      <c r="P1465" s="2">
        <f t="shared" si="67"/>
        <v>6.1672624487680787</v>
      </c>
      <c r="Q1465" s="4">
        <f t="shared" si="68"/>
        <v>25.950007499999998</v>
      </c>
    </row>
    <row r="1466" spans="1:17" x14ac:dyDescent="0.4">
      <c r="A1466">
        <v>20210831</v>
      </c>
      <c r="B1466" s="1">
        <v>0.5</v>
      </c>
      <c r="C1466">
        <v>6345</v>
      </c>
      <c r="D1466">
        <v>941781</v>
      </c>
      <c r="E1466">
        <v>-145669</v>
      </c>
      <c r="F1466">
        <v>-166977</v>
      </c>
      <c r="G1466">
        <v>218766</v>
      </c>
      <c r="H1466">
        <v>193139</v>
      </c>
      <c r="I1466">
        <v>328515</v>
      </c>
      <c r="J1466">
        <v>67798</v>
      </c>
      <c r="K1466">
        <v>270156</v>
      </c>
      <c r="L1466">
        <v>-26454</v>
      </c>
      <c r="M1466">
        <v>9.61</v>
      </c>
      <c r="N1466">
        <f t="shared" si="66"/>
        <v>1687400</v>
      </c>
      <c r="O1466">
        <v>26656050</v>
      </c>
      <c r="P1466" s="2">
        <f t="shared" si="67"/>
        <v>6.3302702388388381</v>
      </c>
      <c r="Q1466" s="4">
        <f t="shared" si="68"/>
        <v>25.616464049999998</v>
      </c>
    </row>
    <row r="1467" spans="1:17" x14ac:dyDescent="0.4">
      <c r="A1467">
        <v>20210831</v>
      </c>
      <c r="B1467" s="1">
        <v>0.52083333333333337</v>
      </c>
      <c r="C1467">
        <v>40046</v>
      </c>
      <c r="D1467">
        <v>902308</v>
      </c>
      <c r="E1467">
        <v>-29822</v>
      </c>
      <c r="F1467">
        <v>-100935</v>
      </c>
      <c r="G1467">
        <v>211038</v>
      </c>
      <c r="H1467">
        <v>280949</v>
      </c>
      <c r="I1467">
        <v>355659</v>
      </c>
      <c r="J1467">
        <v>63020</v>
      </c>
      <c r="K1467">
        <v>268892</v>
      </c>
      <c r="L1467">
        <v>-26182</v>
      </c>
      <c r="M1467">
        <v>9.61</v>
      </c>
      <c r="N1467">
        <f t="shared" si="66"/>
        <v>1964973</v>
      </c>
      <c r="O1467">
        <v>26567150</v>
      </c>
      <c r="P1467" s="2">
        <f t="shared" si="67"/>
        <v>7.3962506328303936</v>
      </c>
      <c r="Q1467" s="4">
        <f t="shared" si="68"/>
        <v>25.531031149999997</v>
      </c>
    </row>
    <row r="1468" spans="1:17" x14ac:dyDescent="0.4">
      <c r="A1468">
        <v>20210831</v>
      </c>
      <c r="B1468" s="1">
        <v>0.54166666666666663</v>
      </c>
      <c r="C1468">
        <v>109243</v>
      </c>
      <c r="D1468">
        <v>880661</v>
      </c>
      <c r="E1468">
        <v>284163</v>
      </c>
      <c r="F1468">
        <v>-75891</v>
      </c>
      <c r="G1468">
        <v>215943</v>
      </c>
      <c r="H1468">
        <v>370766</v>
      </c>
      <c r="I1468">
        <v>225445</v>
      </c>
      <c r="J1468">
        <v>35763</v>
      </c>
      <c r="K1468">
        <v>290494</v>
      </c>
      <c r="L1468">
        <v>-21994</v>
      </c>
      <c r="M1468">
        <v>9.9700000000000006</v>
      </c>
      <c r="N1468">
        <f t="shared" si="66"/>
        <v>2314593</v>
      </c>
      <c r="O1468">
        <v>25615950</v>
      </c>
      <c r="P1468" s="2">
        <f t="shared" si="67"/>
        <v>9.035749210940839</v>
      </c>
      <c r="Q1468" s="4">
        <f t="shared" si="68"/>
        <v>25.539102150000002</v>
      </c>
    </row>
    <row r="1469" spans="1:17" x14ac:dyDescent="0.4">
      <c r="A1469">
        <v>20210831</v>
      </c>
      <c r="B1469" s="1">
        <v>0.5625</v>
      </c>
      <c r="C1469">
        <v>132824</v>
      </c>
      <c r="D1469">
        <v>804390</v>
      </c>
      <c r="E1469">
        <v>860269</v>
      </c>
      <c r="F1469">
        <v>39406</v>
      </c>
      <c r="G1469">
        <v>198590</v>
      </c>
      <c r="H1469">
        <v>431828</v>
      </c>
      <c r="I1469">
        <v>436850</v>
      </c>
      <c r="J1469">
        <v>12575</v>
      </c>
      <c r="K1469">
        <v>286686</v>
      </c>
      <c r="L1469">
        <v>-20453</v>
      </c>
      <c r="M1469">
        <v>10.01</v>
      </c>
      <c r="N1469">
        <f t="shared" si="66"/>
        <v>3182965</v>
      </c>
      <c r="O1469">
        <v>25320350</v>
      </c>
      <c r="P1469" s="2">
        <f t="shared" si="67"/>
        <v>12.570778050066448</v>
      </c>
      <c r="Q1469" s="4">
        <f t="shared" si="68"/>
        <v>25.345670349999999</v>
      </c>
    </row>
    <row r="1470" spans="1:17" x14ac:dyDescent="0.4">
      <c r="A1470">
        <v>20210831</v>
      </c>
      <c r="B1470" s="1">
        <v>0.58333333333333337</v>
      </c>
      <c r="C1470">
        <v>88786</v>
      </c>
      <c r="D1470">
        <v>787871</v>
      </c>
      <c r="E1470">
        <v>994323</v>
      </c>
      <c r="F1470">
        <v>17846</v>
      </c>
      <c r="G1470">
        <v>160669</v>
      </c>
      <c r="H1470">
        <v>454054</v>
      </c>
      <c r="I1470">
        <v>265375</v>
      </c>
      <c r="J1470">
        <v>-31390</v>
      </c>
      <c r="K1470">
        <v>304384</v>
      </c>
      <c r="L1470">
        <v>139</v>
      </c>
      <c r="M1470">
        <v>10.01</v>
      </c>
      <c r="N1470">
        <f t="shared" si="66"/>
        <v>3042057</v>
      </c>
      <c r="O1470">
        <v>24721700</v>
      </c>
      <c r="P1470" s="2">
        <f t="shared" si="67"/>
        <v>12.305209593191407</v>
      </c>
      <c r="Q1470" s="4">
        <f t="shared" si="68"/>
        <v>24.746421699999999</v>
      </c>
    </row>
    <row r="1471" spans="1:17" x14ac:dyDescent="0.4">
      <c r="A1471">
        <v>20210831</v>
      </c>
      <c r="B1471" s="1">
        <v>0.60416666666666663</v>
      </c>
      <c r="C1471">
        <v>151776</v>
      </c>
      <c r="D1471">
        <v>712617</v>
      </c>
      <c r="E1471">
        <v>911703</v>
      </c>
      <c r="F1471">
        <v>371706</v>
      </c>
      <c r="G1471">
        <v>110294</v>
      </c>
      <c r="H1471">
        <v>376943</v>
      </c>
      <c r="I1471">
        <v>190925</v>
      </c>
      <c r="J1471">
        <v>-107057</v>
      </c>
      <c r="K1471">
        <v>357951</v>
      </c>
      <c r="L1471">
        <v>-260</v>
      </c>
      <c r="M1471">
        <v>10.32</v>
      </c>
      <c r="N1471">
        <f t="shared" si="66"/>
        <v>3076598</v>
      </c>
      <c r="O1471">
        <v>24196150</v>
      </c>
      <c r="P1471" s="2">
        <f t="shared" si="67"/>
        <v>12.71523775476677</v>
      </c>
      <c r="Q1471" s="4">
        <f t="shared" si="68"/>
        <v>24.970426799999998</v>
      </c>
    </row>
    <row r="1472" spans="1:17" x14ac:dyDescent="0.4">
      <c r="A1472">
        <v>20210831</v>
      </c>
      <c r="B1472" s="1">
        <v>0.625</v>
      </c>
      <c r="C1472">
        <v>105601</v>
      </c>
      <c r="D1472">
        <v>494220</v>
      </c>
      <c r="E1472">
        <v>1446783</v>
      </c>
      <c r="F1472">
        <v>582871</v>
      </c>
      <c r="G1472">
        <v>58492</v>
      </c>
      <c r="H1472">
        <v>281805</v>
      </c>
      <c r="I1472">
        <v>133379</v>
      </c>
      <c r="J1472">
        <v>-97917</v>
      </c>
      <c r="K1472">
        <v>357278</v>
      </c>
      <c r="L1472">
        <v>-9743</v>
      </c>
      <c r="M1472">
        <v>10.32</v>
      </c>
      <c r="N1472">
        <f t="shared" si="66"/>
        <v>3352769</v>
      </c>
      <c r="O1472">
        <v>23801200</v>
      </c>
      <c r="P1472" s="2">
        <f t="shared" si="67"/>
        <v>14.08655445943902</v>
      </c>
      <c r="Q1472" s="4">
        <f t="shared" si="68"/>
        <v>24.5628384</v>
      </c>
    </row>
    <row r="1473" spans="1:17" x14ac:dyDescent="0.4">
      <c r="A1473">
        <v>20210831</v>
      </c>
      <c r="B1473" s="1">
        <v>0.64583333333333337</v>
      </c>
      <c r="C1473">
        <v>215897</v>
      </c>
      <c r="D1473">
        <v>418375</v>
      </c>
      <c r="E1473">
        <v>893377</v>
      </c>
      <c r="F1473">
        <v>519004</v>
      </c>
      <c r="G1473">
        <v>10831</v>
      </c>
      <c r="H1473">
        <v>212547</v>
      </c>
      <c r="I1473">
        <v>18541</v>
      </c>
      <c r="J1473">
        <v>-125262</v>
      </c>
      <c r="K1473">
        <v>237584</v>
      </c>
      <c r="L1473">
        <v>-18641</v>
      </c>
      <c r="M1473">
        <v>10.74</v>
      </c>
      <c r="N1473">
        <f t="shared" si="66"/>
        <v>2382253</v>
      </c>
      <c r="O1473">
        <v>23422650</v>
      </c>
      <c r="P1473" s="2">
        <f t="shared" si="67"/>
        <v>10.170723637163173</v>
      </c>
      <c r="Q1473" s="4">
        <f t="shared" si="68"/>
        <v>25.155926099999999</v>
      </c>
    </row>
    <row r="1474" spans="1:17" x14ac:dyDescent="0.4">
      <c r="A1474">
        <v>20210831</v>
      </c>
      <c r="B1474" s="1">
        <v>0.66666666666666663</v>
      </c>
      <c r="C1474">
        <v>102612</v>
      </c>
      <c r="D1474">
        <v>310750</v>
      </c>
      <c r="E1474">
        <v>1016018</v>
      </c>
      <c r="F1474">
        <v>412206</v>
      </c>
      <c r="G1474">
        <v>-11729</v>
      </c>
      <c r="H1474">
        <v>90835</v>
      </c>
      <c r="I1474">
        <v>630755</v>
      </c>
      <c r="J1474">
        <v>-160899</v>
      </c>
      <c r="K1474">
        <v>101324</v>
      </c>
      <c r="L1474">
        <v>-13586</v>
      </c>
      <c r="M1474">
        <v>10.74</v>
      </c>
      <c r="N1474">
        <f t="shared" si="66"/>
        <v>2478286</v>
      </c>
      <c r="O1474">
        <v>23480250</v>
      </c>
      <c r="P1474" s="2">
        <f t="shared" si="67"/>
        <v>10.554768369161316</v>
      </c>
      <c r="Q1474" s="4">
        <f t="shared" si="68"/>
        <v>25.217788500000001</v>
      </c>
    </row>
    <row r="1475" spans="1:17" x14ac:dyDescent="0.4">
      <c r="A1475">
        <v>20210831</v>
      </c>
      <c r="B1475" s="1">
        <v>0.6875</v>
      </c>
      <c r="C1475">
        <v>174808</v>
      </c>
      <c r="D1475">
        <v>283706</v>
      </c>
      <c r="E1475">
        <v>839080</v>
      </c>
      <c r="F1475">
        <v>363700</v>
      </c>
      <c r="G1475">
        <v>-27917</v>
      </c>
      <c r="H1475">
        <v>100083</v>
      </c>
      <c r="I1475">
        <v>453586</v>
      </c>
      <c r="J1475">
        <v>-199865</v>
      </c>
      <c r="K1475">
        <v>99377</v>
      </c>
      <c r="L1475">
        <v>-18216</v>
      </c>
      <c r="M1475">
        <v>12.36</v>
      </c>
      <c r="N1475">
        <f t="shared" ref="N1475:N1489" si="69">C1475+D1475+E1475+F1475+G1475+H1475+I1475+J1475+K1475+L1475</f>
        <v>2068342</v>
      </c>
      <c r="O1475">
        <v>23234450</v>
      </c>
      <c r="P1475" s="2">
        <f t="shared" ref="P1475:P1489" si="70">((N1475*100)/O1475)</f>
        <v>8.9020484668240485</v>
      </c>
      <c r="Q1475" s="4">
        <f t="shared" ref="Q1475:Q1489" si="71">(M1475*O1475)/10^7</f>
        <v>28.7177802</v>
      </c>
    </row>
    <row r="1476" spans="1:17" x14ac:dyDescent="0.4">
      <c r="A1476">
        <v>20210831</v>
      </c>
      <c r="B1476" s="1">
        <v>0.70833333333333337</v>
      </c>
      <c r="C1476">
        <v>83521</v>
      </c>
      <c r="D1476">
        <v>180232</v>
      </c>
      <c r="E1476">
        <v>807216</v>
      </c>
      <c r="F1476">
        <v>235604</v>
      </c>
      <c r="G1476">
        <v>-3885</v>
      </c>
      <c r="H1476">
        <v>7798</v>
      </c>
      <c r="I1476">
        <v>321763</v>
      </c>
      <c r="J1476">
        <v>-169124</v>
      </c>
      <c r="K1476">
        <v>-30752</v>
      </c>
      <c r="L1476">
        <v>-6185</v>
      </c>
      <c r="M1476">
        <v>11.76</v>
      </c>
      <c r="N1476">
        <f t="shared" si="69"/>
        <v>1426188</v>
      </c>
      <c r="O1476">
        <v>22841900</v>
      </c>
      <c r="P1476" s="2">
        <f t="shared" si="70"/>
        <v>6.243736291639487</v>
      </c>
      <c r="Q1476" s="4">
        <f t="shared" si="71"/>
        <v>26.862074400000001</v>
      </c>
    </row>
    <row r="1477" spans="1:17" x14ac:dyDescent="0.4">
      <c r="A1477">
        <v>20210831</v>
      </c>
      <c r="B1477" s="1">
        <v>0.72916666666666663</v>
      </c>
      <c r="C1477">
        <v>92214</v>
      </c>
      <c r="D1477">
        <v>113190</v>
      </c>
      <c r="E1477">
        <v>460483</v>
      </c>
      <c r="F1477">
        <v>296397</v>
      </c>
      <c r="G1477">
        <v>-9043</v>
      </c>
      <c r="H1477">
        <v>87123</v>
      </c>
      <c r="I1477">
        <v>135859</v>
      </c>
      <c r="J1477">
        <v>-174551</v>
      </c>
      <c r="K1477">
        <v>44352</v>
      </c>
      <c r="L1477">
        <v>-4441</v>
      </c>
      <c r="M1477">
        <v>12.15</v>
      </c>
      <c r="N1477">
        <f t="shared" si="69"/>
        <v>1041583</v>
      </c>
      <c r="O1477">
        <v>22600150</v>
      </c>
      <c r="P1477" s="2">
        <f t="shared" si="70"/>
        <v>4.608743747276014</v>
      </c>
      <c r="Q1477" s="4">
        <f t="shared" si="71"/>
        <v>27.459182250000001</v>
      </c>
    </row>
    <row r="1478" spans="1:17" x14ac:dyDescent="0.4">
      <c r="A1478">
        <v>20210831</v>
      </c>
      <c r="B1478" s="1">
        <v>0.75</v>
      </c>
      <c r="C1478">
        <v>51424</v>
      </c>
      <c r="D1478">
        <v>157900</v>
      </c>
      <c r="E1478">
        <v>433284</v>
      </c>
      <c r="F1478">
        <v>261534</v>
      </c>
      <c r="G1478">
        <v>3397</v>
      </c>
      <c r="H1478">
        <v>221709</v>
      </c>
      <c r="I1478">
        <v>98716</v>
      </c>
      <c r="J1478">
        <v>-135620</v>
      </c>
      <c r="K1478">
        <v>33188</v>
      </c>
      <c r="L1478">
        <v>-1859</v>
      </c>
      <c r="M1478">
        <v>11.6</v>
      </c>
      <c r="N1478">
        <f t="shared" si="69"/>
        <v>1123673</v>
      </c>
      <c r="O1478">
        <v>22190000</v>
      </c>
      <c r="P1478" s="2">
        <f t="shared" si="70"/>
        <v>5.0638711131140157</v>
      </c>
      <c r="Q1478" s="4">
        <f t="shared" si="71"/>
        <v>25.740400000000001</v>
      </c>
    </row>
    <row r="1479" spans="1:17" x14ac:dyDescent="0.4">
      <c r="A1479">
        <v>20210831</v>
      </c>
      <c r="B1479" s="1">
        <v>0.77083333333333337</v>
      </c>
      <c r="C1479">
        <v>9721</v>
      </c>
      <c r="D1479">
        <v>42268</v>
      </c>
      <c r="E1479">
        <v>502114</v>
      </c>
      <c r="F1479">
        <v>210728</v>
      </c>
      <c r="G1479">
        <v>891</v>
      </c>
      <c r="H1479">
        <v>282308</v>
      </c>
      <c r="I1479">
        <v>21080</v>
      </c>
      <c r="J1479">
        <v>-85145</v>
      </c>
      <c r="K1479">
        <v>-11057</v>
      </c>
      <c r="L1479">
        <v>-5178</v>
      </c>
      <c r="M1479">
        <v>11.35</v>
      </c>
      <c r="N1479">
        <f t="shared" si="69"/>
        <v>967730</v>
      </c>
      <c r="O1479">
        <v>22365500</v>
      </c>
      <c r="P1479" s="2">
        <f t="shared" si="70"/>
        <v>4.3268873935302139</v>
      </c>
      <c r="Q1479" s="4">
        <f t="shared" si="71"/>
        <v>25.384842500000001</v>
      </c>
    </row>
    <row r="1480" spans="1:17" x14ac:dyDescent="0.4">
      <c r="A1480">
        <v>20210831</v>
      </c>
      <c r="B1480" s="1">
        <v>0.79166666666666663</v>
      </c>
      <c r="C1480">
        <v>91475</v>
      </c>
      <c r="D1480">
        <v>115595</v>
      </c>
      <c r="E1480">
        <v>586013</v>
      </c>
      <c r="F1480">
        <v>372987</v>
      </c>
      <c r="G1480">
        <v>16860</v>
      </c>
      <c r="H1480">
        <v>608562</v>
      </c>
      <c r="I1480">
        <v>61408</v>
      </c>
      <c r="J1480">
        <v>-47176</v>
      </c>
      <c r="K1480">
        <v>50721</v>
      </c>
      <c r="L1480">
        <v>-12387</v>
      </c>
      <c r="M1480">
        <v>10.61</v>
      </c>
      <c r="N1480">
        <f t="shared" si="69"/>
        <v>1844058</v>
      </c>
      <c r="O1480">
        <v>22279500</v>
      </c>
      <c r="P1480" s="2">
        <f t="shared" si="70"/>
        <v>8.2769272200902169</v>
      </c>
      <c r="Q1480" s="4">
        <f t="shared" si="71"/>
        <v>23.6385495</v>
      </c>
    </row>
    <row r="1481" spans="1:17" x14ac:dyDescent="0.4">
      <c r="A1481">
        <v>20210831</v>
      </c>
      <c r="B1481" s="1">
        <v>0.8125</v>
      </c>
      <c r="C1481">
        <v>29793</v>
      </c>
      <c r="D1481">
        <v>10619</v>
      </c>
      <c r="E1481">
        <v>680619</v>
      </c>
      <c r="F1481">
        <v>357857</v>
      </c>
      <c r="G1481">
        <v>14272</v>
      </c>
      <c r="H1481">
        <v>677789</v>
      </c>
      <c r="I1481">
        <v>117381</v>
      </c>
      <c r="J1481">
        <v>-43418</v>
      </c>
      <c r="K1481">
        <v>53541</v>
      </c>
      <c r="L1481">
        <v>-8087</v>
      </c>
      <c r="M1481">
        <v>10.42</v>
      </c>
      <c r="N1481">
        <f t="shared" si="69"/>
        <v>1890366</v>
      </c>
      <c r="O1481">
        <v>22431650</v>
      </c>
      <c r="P1481" s="2">
        <f t="shared" si="70"/>
        <v>8.4272267086906218</v>
      </c>
      <c r="Q1481" s="4">
        <f t="shared" si="71"/>
        <v>23.373779299999999</v>
      </c>
    </row>
    <row r="1482" spans="1:17" x14ac:dyDescent="0.4">
      <c r="A1482">
        <v>20210831</v>
      </c>
      <c r="B1482" s="1">
        <v>0.83333333333333337</v>
      </c>
      <c r="C1482">
        <v>35116</v>
      </c>
      <c r="D1482">
        <v>14048</v>
      </c>
      <c r="E1482">
        <v>725073</v>
      </c>
      <c r="F1482">
        <v>496807</v>
      </c>
      <c r="G1482">
        <v>26203</v>
      </c>
      <c r="H1482">
        <v>653331</v>
      </c>
      <c r="I1482">
        <v>91238</v>
      </c>
      <c r="J1482">
        <v>-26700</v>
      </c>
      <c r="K1482">
        <v>70891</v>
      </c>
      <c r="L1482">
        <v>-16973</v>
      </c>
      <c r="M1482">
        <v>10</v>
      </c>
      <c r="N1482">
        <f t="shared" si="69"/>
        <v>2069034</v>
      </c>
      <c r="O1482">
        <v>21817550</v>
      </c>
      <c r="P1482" s="2">
        <f t="shared" si="70"/>
        <v>9.4833471219270731</v>
      </c>
      <c r="Q1482" s="4">
        <f t="shared" si="71"/>
        <v>21.817550000000001</v>
      </c>
    </row>
    <row r="1483" spans="1:17" x14ac:dyDescent="0.4">
      <c r="A1483">
        <v>20210831</v>
      </c>
      <c r="B1483" s="1">
        <v>0.85416666666666663</v>
      </c>
      <c r="C1483">
        <v>45122</v>
      </c>
      <c r="D1483">
        <v>-12845</v>
      </c>
      <c r="E1483">
        <v>731467</v>
      </c>
      <c r="F1483">
        <v>376237</v>
      </c>
      <c r="G1483">
        <v>8234</v>
      </c>
      <c r="H1483">
        <v>319674</v>
      </c>
      <c r="I1483">
        <v>60525</v>
      </c>
      <c r="J1483">
        <v>-30696</v>
      </c>
      <c r="K1483">
        <v>1201</v>
      </c>
      <c r="L1483">
        <v>-9639</v>
      </c>
      <c r="M1483">
        <v>9.85</v>
      </c>
      <c r="N1483">
        <f t="shared" si="69"/>
        <v>1489280</v>
      </c>
      <c r="O1483">
        <v>22013950</v>
      </c>
      <c r="P1483" s="2">
        <f t="shared" si="70"/>
        <v>6.7651648159462523</v>
      </c>
      <c r="Q1483" s="4">
        <f t="shared" si="71"/>
        <v>21.683740749999998</v>
      </c>
    </row>
    <row r="1484" spans="1:17" x14ac:dyDescent="0.4">
      <c r="A1484">
        <v>20210831</v>
      </c>
      <c r="B1484" s="1">
        <v>0.875</v>
      </c>
      <c r="C1484">
        <v>60096</v>
      </c>
      <c r="D1484">
        <v>-50793</v>
      </c>
      <c r="E1484">
        <v>854287</v>
      </c>
      <c r="F1484">
        <v>418224</v>
      </c>
      <c r="G1484">
        <v>18997</v>
      </c>
      <c r="H1484">
        <v>410028</v>
      </c>
      <c r="I1484">
        <v>86305</v>
      </c>
      <c r="J1484">
        <v>-2177</v>
      </c>
      <c r="K1484">
        <v>61705</v>
      </c>
      <c r="L1484">
        <v>-16193</v>
      </c>
      <c r="M1484">
        <v>9.6</v>
      </c>
      <c r="N1484">
        <f t="shared" si="69"/>
        <v>1840479</v>
      </c>
      <c r="O1484">
        <v>21913900</v>
      </c>
      <c r="P1484" s="2">
        <f t="shared" si="70"/>
        <v>8.3986830276673707</v>
      </c>
      <c r="Q1484" s="4">
        <f t="shared" si="71"/>
        <v>21.037344000000001</v>
      </c>
    </row>
    <row r="1485" spans="1:17" x14ac:dyDescent="0.4">
      <c r="A1485">
        <v>20210831</v>
      </c>
      <c r="B1485" s="1">
        <v>0.89583333333333337</v>
      </c>
      <c r="C1485">
        <v>11057</v>
      </c>
      <c r="D1485">
        <v>-66540</v>
      </c>
      <c r="E1485">
        <v>881659</v>
      </c>
      <c r="F1485">
        <v>333073</v>
      </c>
      <c r="G1485">
        <v>33008</v>
      </c>
      <c r="H1485">
        <v>411782</v>
      </c>
      <c r="I1485">
        <v>86206</v>
      </c>
      <c r="J1485">
        <v>-24750</v>
      </c>
      <c r="K1485">
        <v>54760</v>
      </c>
      <c r="L1485">
        <v>-9062</v>
      </c>
      <c r="M1485">
        <v>9.08</v>
      </c>
      <c r="N1485">
        <f t="shared" si="69"/>
        <v>1711193</v>
      </c>
      <c r="O1485">
        <v>21899250</v>
      </c>
      <c r="P1485" s="2">
        <f t="shared" si="70"/>
        <v>7.8139342671552683</v>
      </c>
      <c r="Q1485" s="4">
        <f t="shared" si="71"/>
        <v>19.884519000000001</v>
      </c>
    </row>
    <row r="1486" spans="1:17" x14ac:dyDescent="0.4">
      <c r="A1486">
        <v>20210831</v>
      </c>
      <c r="B1486" s="1">
        <v>0.91666666666666663</v>
      </c>
      <c r="C1486">
        <v>29201</v>
      </c>
      <c r="D1486">
        <v>-36004</v>
      </c>
      <c r="E1486">
        <v>832120</v>
      </c>
      <c r="F1486">
        <v>446372</v>
      </c>
      <c r="G1486">
        <v>14706</v>
      </c>
      <c r="H1486">
        <v>453706</v>
      </c>
      <c r="I1486">
        <v>55717</v>
      </c>
      <c r="J1486">
        <v>-12533</v>
      </c>
      <c r="K1486">
        <v>16086</v>
      </c>
      <c r="L1486">
        <v>-9257</v>
      </c>
      <c r="M1486">
        <v>8.86</v>
      </c>
      <c r="N1486">
        <f t="shared" si="69"/>
        <v>1790114</v>
      </c>
      <c r="O1486">
        <v>21366550</v>
      </c>
      <c r="P1486" s="2">
        <f t="shared" si="70"/>
        <v>8.3781143890801282</v>
      </c>
      <c r="Q1486" s="4">
        <f t="shared" si="71"/>
        <v>18.930763299999999</v>
      </c>
    </row>
    <row r="1487" spans="1:17" x14ac:dyDescent="0.4">
      <c r="A1487">
        <v>20210831</v>
      </c>
      <c r="B1487" s="1">
        <v>0.9375</v>
      </c>
      <c r="C1487">
        <v>1720</v>
      </c>
      <c r="D1487">
        <v>-62889</v>
      </c>
      <c r="E1487">
        <v>721911</v>
      </c>
      <c r="F1487">
        <v>401014</v>
      </c>
      <c r="G1487">
        <v>35828</v>
      </c>
      <c r="H1487">
        <v>489132</v>
      </c>
      <c r="I1487">
        <v>53683</v>
      </c>
      <c r="J1487">
        <v>-23103</v>
      </c>
      <c r="K1487">
        <v>-80768</v>
      </c>
      <c r="L1487">
        <v>-1367</v>
      </c>
      <c r="M1487">
        <v>8.86</v>
      </c>
      <c r="N1487">
        <f t="shared" si="69"/>
        <v>1535161</v>
      </c>
      <c r="O1487">
        <v>20853000</v>
      </c>
      <c r="P1487" s="2">
        <f t="shared" si="70"/>
        <v>7.361823238862514</v>
      </c>
      <c r="Q1487" s="4">
        <f t="shared" si="71"/>
        <v>18.475757999999999</v>
      </c>
    </row>
    <row r="1488" spans="1:17" x14ac:dyDescent="0.4">
      <c r="A1488">
        <v>20210831</v>
      </c>
      <c r="B1488" s="1">
        <v>0.95833333333333337</v>
      </c>
      <c r="C1488">
        <v>19884</v>
      </c>
      <c r="D1488">
        <v>-58701</v>
      </c>
      <c r="E1488">
        <v>627346</v>
      </c>
      <c r="F1488">
        <v>325314</v>
      </c>
      <c r="G1488">
        <v>12429</v>
      </c>
      <c r="H1488">
        <v>833165</v>
      </c>
      <c r="I1488">
        <v>72324</v>
      </c>
      <c r="J1488">
        <v>-12654</v>
      </c>
      <c r="K1488">
        <v>-79906</v>
      </c>
      <c r="L1488">
        <v>-19499</v>
      </c>
      <c r="M1488">
        <v>7.23</v>
      </c>
      <c r="N1488">
        <f t="shared" si="69"/>
        <v>1719702</v>
      </c>
      <c r="O1488">
        <v>20503750</v>
      </c>
      <c r="P1488" s="2">
        <f t="shared" si="70"/>
        <v>8.3872559897579713</v>
      </c>
      <c r="Q1488" s="4">
        <f t="shared" si="71"/>
        <v>14.824211249999999</v>
      </c>
    </row>
    <row r="1489" spans="1:17" x14ac:dyDescent="0.4">
      <c r="A1489">
        <v>20210831</v>
      </c>
      <c r="B1489" s="1">
        <v>0.97916666666666663</v>
      </c>
      <c r="C1489">
        <v>42436</v>
      </c>
      <c r="D1489">
        <v>-108359</v>
      </c>
      <c r="E1489">
        <v>600664</v>
      </c>
      <c r="F1489">
        <v>321498</v>
      </c>
      <c r="G1489">
        <v>47672</v>
      </c>
      <c r="H1489">
        <v>958335</v>
      </c>
      <c r="I1489">
        <v>66021</v>
      </c>
      <c r="J1489">
        <v>-14344</v>
      </c>
      <c r="K1489">
        <v>-23736</v>
      </c>
      <c r="L1489">
        <v>-12565</v>
      </c>
      <c r="M1489">
        <v>7.03</v>
      </c>
      <c r="N1489">
        <f t="shared" si="69"/>
        <v>1877622</v>
      </c>
      <c r="O1489">
        <v>19586800</v>
      </c>
      <c r="P1489" s="2">
        <f t="shared" si="70"/>
        <v>9.5861600669838865</v>
      </c>
      <c r="Q1489" s="4">
        <f t="shared" si="71"/>
        <v>13.769520399999999</v>
      </c>
    </row>
    <row r="1492" spans="1:17" x14ac:dyDescent="0.4">
      <c r="P1492" s="2">
        <f>MIN(P2:P1489)</f>
        <v>-16.978883921443398</v>
      </c>
      <c r="Q1492" cm="1">
        <f t="array" ref="Q1492">SUMPRODUCT((P2:P1489=P1492)*(ROW(P2:P1489)))</f>
        <v>841</v>
      </c>
    </row>
    <row r="1493" spans="1:17" x14ac:dyDescent="0.4">
      <c r="P1493" s="2">
        <f>MAX(P2:P1489)</f>
        <v>23.610266460157412</v>
      </c>
      <c r="Q1493" cm="1">
        <f t="array" ref="Q1493">SUMPRODUCT((P2:P1489=P1493)*(ROW(P2:P1489)))</f>
        <v>743</v>
      </c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560C-0407-4453-96C2-57649D617C31}">
  <dimension ref="A1:Q384"/>
  <sheetViews>
    <sheetView zoomScale="85" zoomScaleNormal="85" workbookViewId="0"/>
  </sheetViews>
  <sheetFormatPr defaultRowHeight="18.75" x14ac:dyDescent="0.4"/>
  <cols>
    <col min="1" max="1" width="10" bestFit="1" customWidth="1"/>
    <col min="2" max="2" width="11" bestFit="1" customWidth="1"/>
    <col min="3" max="4" width="8.625" bestFit="1" customWidth="1"/>
    <col min="5" max="6" width="9.625" bestFit="1" customWidth="1"/>
    <col min="7" max="10" width="8.625" bestFit="1" customWidth="1"/>
    <col min="11" max="11" width="9.625" bestFit="1" customWidth="1"/>
    <col min="12" max="12" width="7.625" bestFit="1" customWidth="1"/>
    <col min="13" max="13" width="25.75" bestFit="1" customWidth="1"/>
    <col min="14" max="14" width="25" bestFit="1" customWidth="1"/>
    <col min="15" max="15" width="12.5" bestFit="1" customWidth="1"/>
    <col min="16" max="16" width="18.5" bestFit="1" customWidth="1"/>
    <col min="17" max="17" width="15.5" bestFit="1" customWidth="1"/>
  </cols>
  <sheetData>
    <row r="1" spans="1:1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">
      <c r="A2" cm="1">
        <f t="array" ref="A2:Q380">_xlfn._xlws.FILTER('8月全国の電力取引データ'!A2:Q1489,'8月全国の電力取引データ'!P2:P1489&lt;0,"")</f>
        <v>20210801</v>
      </c>
      <c r="B2" s="1">
        <v>0.72916666666666663</v>
      </c>
      <c r="C2">
        <v>100606</v>
      </c>
      <c r="D2">
        <v>145873</v>
      </c>
      <c r="E2">
        <v>-542288</v>
      </c>
      <c r="F2">
        <v>45280</v>
      </c>
      <c r="G2">
        <v>895</v>
      </c>
      <c r="H2">
        <v>217513</v>
      </c>
      <c r="I2">
        <v>-91693</v>
      </c>
      <c r="J2">
        <v>-200973</v>
      </c>
      <c r="K2">
        <v>-82172</v>
      </c>
      <c r="L2">
        <v>-39898</v>
      </c>
      <c r="M2">
        <v>9.89</v>
      </c>
      <c r="N2">
        <v>-446857</v>
      </c>
      <c r="O2">
        <v>21001300</v>
      </c>
      <c r="P2" s="2">
        <v>-2.1277587577911845</v>
      </c>
      <c r="Q2" s="4">
        <v>20.770285699999999</v>
      </c>
    </row>
    <row r="3" spans="1:17" x14ac:dyDescent="0.4">
      <c r="A3">
        <v>20210801</v>
      </c>
      <c r="B3" s="1">
        <v>0.75</v>
      </c>
      <c r="C3">
        <v>4003</v>
      </c>
      <c r="D3">
        <v>4319</v>
      </c>
      <c r="E3">
        <v>-50796</v>
      </c>
      <c r="F3">
        <v>9381</v>
      </c>
      <c r="G3">
        <v>35481</v>
      </c>
      <c r="H3">
        <v>123156</v>
      </c>
      <c r="I3">
        <v>59671</v>
      </c>
      <c r="J3">
        <v>-180540</v>
      </c>
      <c r="K3">
        <v>-64885</v>
      </c>
      <c r="L3">
        <v>-26482</v>
      </c>
      <c r="M3">
        <v>9.85</v>
      </c>
      <c r="N3">
        <v>-86692</v>
      </c>
      <c r="O3">
        <v>20793150</v>
      </c>
      <c r="P3" s="2">
        <v>-0.41692576641826756</v>
      </c>
      <c r="Q3" s="4">
        <v>20.481252749999999</v>
      </c>
    </row>
    <row r="4" spans="1:17" x14ac:dyDescent="0.4">
      <c r="A4">
        <v>20210801</v>
      </c>
      <c r="B4" s="1">
        <v>0.77083333333333337</v>
      </c>
      <c r="C4">
        <v>19048</v>
      </c>
      <c r="D4">
        <v>-80971</v>
      </c>
      <c r="E4">
        <v>-296689</v>
      </c>
      <c r="F4">
        <v>52325</v>
      </c>
      <c r="G4">
        <v>2566</v>
      </c>
      <c r="H4">
        <v>95372</v>
      </c>
      <c r="I4">
        <v>36812</v>
      </c>
      <c r="J4">
        <v>-134850</v>
      </c>
      <c r="K4">
        <v>4177</v>
      </c>
      <c r="L4">
        <v>-42155</v>
      </c>
      <c r="M4">
        <v>9.9600000000000009</v>
      </c>
      <c r="N4">
        <v>-344365</v>
      </c>
      <c r="O4">
        <v>20519900</v>
      </c>
      <c r="P4" s="2">
        <v>-1.6782001861607512</v>
      </c>
      <c r="Q4" s="4">
        <v>20.437820400000003</v>
      </c>
    </row>
    <row r="5" spans="1:17" x14ac:dyDescent="0.4">
      <c r="A5">
        <v>20210801</v>
      </c>
      <c r="B5" s="1">
        <v>0.79166666666666663</v>
      </c>
      <c r="C5">
        <v>-18035</v>
      </c>
      <c r="D5">
        <v>-19266</v>
      </c>
      <c r="E5">
        <v>-182814</v>
      </c>
      <c r="F5">
        <v>49687</v>
      </c>
      <c r="G5">
        <v>-11693</v>
      </c>
      <c r="H5">
        <v>-167339</v>
      </c>
      <c r="I5">
        <v>-21246</v>
      </c>
      <c r="J5">
        <v>-71680</v>
      </c>
      <c r="K5">
        <v>46955</v>
      </c>
      <c r="L5">
        <v>-43156</v>
      </c>
      <c r="M5">
        <v>9.9</v>
      </c>
      <c r="N5">
        <v>-438587</v>
      </c>
      <c r="O5">
        <v>20487950</v>
      </c>
      <c r="P5" s="2">
        <v>-2.1407070985628138</v>
      </c>
      <c r="Q5" s="4">
        <v>20.283070500000001</v>
      </c>
    </row>
    <row r="6" spans="1:17" x14ac:dyDescent="0.4">
      <c r="A6">
        <v>20210802</v>
      </c>
      <c r="B6" s="1">
        <v>0.25</v>
      </c>
      <c r="C6">
        <v>56737</v>
      </c>
      <c r="D6">
        <v>177556</v>
      </c>
      <c r="E6">
        <v>-102860</v>
      </c>
      <c r="F6">
        <v>-1389</v>
      </c>
      <c r="G6">
        <v>120258</v>
      </c>
      <c r="H6">
        <v>-234515</v>
      </c>
      <c r="I6">
        <v>-16403</v>
      </c>
      <c r="J6">
        <v>59200</v>
      </c>
      <c r="K6">
        <v>-149217</v>
      </c>
      <c r="L6">
        <v>-23707</v>
      </c>
      <c r="M6">
        <v>6.74</v>
      </c>
      <c r="N6">
        <v>-114340</v>
      </c>
      <c r="O6">
        <v>21500150</v>
      </c>
      <c r="P6" s="2">
        <v>-0.53181024318434988</v>
      </c>
      <c r="Q6" s="4">
        <v>14.4911011</v>
      </c>
    </row>
    <row r="7" spans="1:17" x14ac:dyDescent="0.4">
      <c r="A7">
        <v>20210802</v>
      </c>
      <c r="B7" s="1">
        <v>0.72916666666666663</v>
      </c>
      <c r="C7">
        <v>-12756</v>
      </c>
      <c r="D7">
        <v>-206950</v>
      </c>
      <c r="E7">
        <v>-53276</v>
      </c>
      <c r="F7">
        <v>68734</v>
      </c>
      <c r="G7">
        <v>-61285</v>
      </c>
      <c r="H7">
        <v>167949</v>
      </c>
      <c r="I7">
        <v>-66970</v>
      </c>
      <c r="J7">
        <v>-183876</v>
      </c>
      <c r="K7">
        <v>33901</v>
      </c>
      <c r="L7">
        <v>-59593</v>
      </c>
      <c r="M7">
        <v>13.79</v>
      </c>
      <c r="N7">
        <v>-374122</v>
      </c>
      <c r="O7">
        <v>23305700</v>
      </c>
      <c r="P7" s="2">
        <v>-1.6052811114877477</v>
      </c>
      <c r="Q7" s="4">
        <v>32.138560300000002</v>
      </c>
    </row>
    <row r="8" spans="1:17" x14ac:dyDescent="0.4">
      <c r="A8">
        <v>20210802</v>
      </c>
      <c r="B8" s="1">
        <v>0.75</v>
      </c>
      <c r="C8">
        <v>-22753</v>
      </c>
      <c r="D8">
        <v>-175779</v>
      </c>
      <c r="E8">
        <v>-122091</v>
      </c>
      <c r="F8">
        <v>172549</v>
      </c>
      <c r="G8">
        <v>-68883</v>
      </c>
      <c r="H8">
        <v>224784</v>
      </c>
      <c r="I8">
        <v>-53709</v>
      </c>
      <c r="J8">
        <v>-157439</v>
      </c>
      <c r="K8">
        <v>39207</v>
      </c>
      <c r="L8">
        <v>-47616</v>
      </c>
      <c r="M8">
        <v>16.010000000000002</v>
      </c>
      <c r="N8">
        <v>-211730</v>
      </c>
      <c r="O8">
        <v>22718850</v>
      </c>
      <c r="P8" s="2">
        <v>-0.93195738340629042</v>
      </c>
      <c r="Q8" s="4">
        <v>36.372878850000006</v>
      </c>
    </row>
    <row r="9" spans="1:17" x14ac:dyDescent="0.4">
      <c r="A9">
        <v>20210802</v>
      </c>
      <c r="B9" s="1">
        <v>0.77083333333333337</v>
      </c>
      <c r="C9">
        <v>-7724</v>
      </c>
      <c r="D9">
        <v>-239592</v>
      </c>
      <c r="E9">
        <v>-265276</v>
      </c>
      <c r="F9">
        <v>125897</v>
      </c>
      <c r="G9">
        <v>-52917</v>
      </c>
      <c r="H9">
        <v>-11631</v>
      </c>
      <c r="I9">
        <v>-41251</v>
      </c>
      <c r="J9">
        <v>-108365</v>
      </c>
      <c r="K9">
        <v>143563</v>
      </c>
      <c r="L9">
        <v>-31367</v>
      </c>
      <c r="M9">
        <v>16.21</v>
      </c>
      <c r="N9">
        <v>-488663</v>
      </c>
      <c r="O9">
        <v>22708000</v>
      </c>
      <c r="P9" s="2">
        <v>-2.1519420468557335</v>
      </c>
      <c r="Q9" s="4">
        <v>36.809668000000002</v>
      </c>
    </row>
    <row r="10" spans="1:17" x14ac:dyDescent="0.4">
      <c r="A10">
        <v>20210802</v>
      </c>
      <c r="B10" s="1">
        <v>0.79166666666666663</v>
      </c>
      <c r="C10">
        <v>-35551</v>
      </c>
      <c r="D10">
        <v>-128989</v>
      </c>
      <c r="E10">
        <v>-327056</v>
      </c>
      <c r="F10">
        <v>28712</v>
      </c>
      <c r="G10">
        <v>-57521</v>
      </c>
      <c r="H10">
        <v>-125767</v>
      </c>
      <c r="I10">
        <v>-99090</v>
      </c>
      <c r="J10">
        <v>-59524</v>
      </c>
      <c r="K10">
        <v>188565</v>
      </c>
      <c r="L10">
        <v>-18142</v>
      </c>
      <c r="M10">
        <v>12.76</v>
      </c>
      <c r="N10">
        <v>-634363</v>
      </c>
      <c r="O10">
        <v>22784600</v>
      </c>
      <c r="P10" s="2">
        <v>-2.7841743984972305</v>
      </c>
      <c r="Q10" s="4">
        <v>29.073149600000001</v>
      </c>
    </row>
    <row r="11" spans="1:17" x14ac:dyDescent="0.4">
      <c r="A11">
        <v>20210802</v>
      </c>
      <c r="B11" s="1">
        <v>0.8125</v>
      </c>
      <c r="C11">
        <v>-9701</v>
      </c>
      <c r="D11">
        <v>-182668</v>
      </c>
      <c r="E11">
        <v>-480442</v>
      </c>
      <c r="F11">
        <v>22678</v>
      </c>
      <c r="G11">
        <v>-40619</v>
      </c>
      <c r="H11">
        <v>-128804</v>
      </c>
      <c r="I11">
        <v>-118735</v>
      </c>
      <c r="J11">
        <v>-22562</v>
      </c>
      <c r="K11">
        <v>268376</v>
      </c>
      <c r="L11">
        <v>-20246</v>
      </c>
      <c r="M11">
        <v>10.64</v>
      </c>
      <c r="N11">
        <v>-712723</v>
      </c>
      <c r="O11">
        <v>22581550</v>
      </c>
      <c r="P11" s="2">
        <v>-3.1562182401119498</v>
      </c>
      <c r="Q11" s="4">
        <v>24.0267692</v>
      </c>
    </row>
    <row r="12" spans="1:17" x14ac:dyDescent="0.4">
      <c r="A12">
        <v>20210802</v>
      </c>
      <c r="B12" s="1">
        <v>0.83333333333333337</v>
      </c>
      <c r="C12">
        <v>13574</v>
      </c>
      <c r="D12">
        <v>-69781</v>
      </c>
      <c r="E12">
        <v>-674591</v>
      </c>
      <c r="F12">
        <v>75201</v>
      </c>
      <c r="G12">
        <v>-48343</v>
      </c>
      <c r="H12">
        <v>-39977</v>
      </c>
      <c r="I12">
        <v>-144811</v>
      </c>
      <c r="J12">
        <v>5587</v>
      </c>
      <c r="K12">
        <v>198840</v>
      </c>
      <c r="L12">
        <v>-13677</v>
      </c>
      <c r="M12">
        <v>10.01</v>
      </c>
      <c r="N12">
        <v>-697978</v>
      </c>
      <c r="O12">
        <v>21956700</v>
      </c>
      <c r="P12" s="2">
        <v>-3.1788838942099678</v>
      </c>
      <c r="Q12" s="4">
        <v>21.978656699999998</v>
      </c>
    </row>
    <row r="13" spans="1:17" x14ac:dyDescent="0.4">
      <c r="A13">
        <v>20210802</v>
      </c>
      <c r="B13" s="1">
        <v>0.85416666666666663</v>
      </c>
      <c r="C13">
        <v>-39218</v>
      </c>
      <c r="D13">
        <v>-190407</v>
      </c>
      <c r="E13">
        <v>-217830</v>
      </c>
      <c r="F13">
        <v>64003</v>
      </c>
      <c r="G13">
        <v>-42573</v>
      </c>
      <c r="H13">
        <v>-34451</v>
      </c>
      <c r="I13">
        <v>-153310</v>
      </c>
      <c r="J13">
        <v>-20702</v>
      </c>
      <c r="K13">
        <v>179527</v>
      </c>
      <c r="L13">
        <v>5884</v>
      </c>
      <c r="M13">
        <v>9.83</v>
      </c>
      <c r="N13">
        <v>-449077</v>
      </c>
      <c r="O13">
        <v>21708150</v>
      </c>
      <c r="P13" s="2">
        <v>-2.0687023076586444</v>
      </c>
      <c r="Q13" s="4">
        <v>21.339111450000001</v>
      </c>
    </row>
    <row r="14" spans="1:17" x14ac:dyDescent="0.4">
      <c r="A14">
        <v>20210802</v>
      </c>
      <c r="B14" s="1">
        <v>0.875</v>
      </c>
      <c r="C14">
        <v>-8929</v>
      </c>
      <c r="D14">
        <v>-150881</v>
      </c>
      <c r="E14">
        <v>-752002</v>
      </c>
      <c r="F14">
        <v>-41609</v>
      </c>
      <c r="G14">
        <v>-30603</v>
      </c>
      <c r="H14">
        <v>11605</v>
      </c>
      <c r="I14">
        <v>-98978</v>
      </c>
      <c r="J14">
        <v>-30077</v>
      </c>
      <c r="K14">
        <v>196757</v>
      </c>
      <c r="L14">
        <v>8718</v>
      </c>
      <c r="M14">
        <v>9.59</v>
      </c>
      <c r="N14">
        <v>-895999</v>
      </c>
      <c r="O14">
        <v>21653650</v>
      </c>
      <c r="P14" s="2">
        <v>-4.13786590251528</v>
      </c>
      <c r="Q14" s="4">
        <v>20.765850350000001</v>
      </c>
    </row>
    <row r="15" spans="1:17" x14ac:dyDescent="0.4">
      <c r="A15">
        <v>20210802</v>
      </c>
      <c r="B15" s="1">
        <v>0.89583333333333337</v>
      </c>
      <c r="C15">
        <v>35048</v>
      </c>
      <c r="D15">
        <v>-153494</v>
      </c>
      <c r="E15">
        <v>-274751</v>
      </c>
      <c r="F15">
        <v>-36815</v>
      </c>
      <c r="G15">
        <v>-37447</v>
      </c>
      <c r="H15">
        <v>-48479</v>
      </c>
      <c r="I15">
        <v>-29954</v>
      </c>
      <c r="J15">
        <v>-36638</v>
      </c>
      <c r="K15">
        <v>136255</v>
      </c>
      <c r="L15">
        <v>-17169</v>
      </c>
      <c r="M15">
        <v>9.17</v>
      </c>
      <c r="N15">
        <v>-463444</v>
      </c>
      <c r="O15">
        <v>21681500</v>
      </c>
      <c r="P15" s="2">
        <v>-2.1375089361898394</v>
      </c>
      <c r="Q15" s="4">
        <v>19.881935500000001</v>
      </c>
    </row>
    <row r="16" spans="1:17" x14ac:dyDescent="0.4">
      <c r="A16">
        <v>20210802</v>
      </c>
      <c r="B16" s="1">
        <v>0.91666666666666663</v>
      </c>
      <c r="C16">
        <v>27326</v>
      </c>
      <c r="D16">
        <v>-113525</v>
      </c>
      <c r="E16">
        <v>-486962</v>
      </c>
      <c r="F16">
        <v>-40740</v>
      </c>
      <c r="G16">
        <v>-19723</v>
      </c>
      <c r="H16">
        <v>-93559</v>
      </c>
      <c r="I16">
        <v>-74010</v>
      </c>
      <c r="J16">
        <v>-21755</v>
      </c>
      <c r="K16">
        <v>112680</v>
      </c>
      <c r="L16">
        <v>-62881</v>
      </c>
      <c r="M16">
        <v>8.99</v>
      </c>
      <c r="N16">
        <v>-773149</v>
      </c>
      <c r="O16">
        <v>20914350</v>
      </c>
      <c r="P16" s="2">
        <v>-3.6967393201318712</v>
      </c>
      <c r="Q16" s="4">
        <v>18.80200065</v>
      </c>
    </row>
    <row r="17" spans="1:17" x14ac:dyDescent="0.4">
      <c r="A17">
        <v>20210802</v>
      </c>
      <c r="B17" s="1">
        <v>0.9375</v>
      </c>
      <c r="C17">
        <v>-49404</v>
      </c>
      <c r="D17">
        <v>-87871</v>
      </c>
      <c r="E17">
        <v>-348004</v>
      </c>
      <c r="F17">
        <v>-26965</v>
      </c>
      <c r="G17">
        <v>-19343</v>
      </c>
      <c r="H17">
        <v>-162451</v>
      </c>
      <c r="I17">
        <v>-78718</v>
      </c>
      <c r="J17">
        <v>-37491</v>
      </c>
      <c r="K17">
        <v>42924</v>
      </c>
      <c r="L17">
        <v>-55550</v>
      </c>
      <c r="M17">
        <v>8.86</v>
      </c>
      <c r="N17">
        <v>-822873</v>
      </c>
      <c r="O17">
        <v>20723600</v>
      </c>
      <c r="P17" s="2">
        <v>-3.9707048968325966</v>
      </c>
      <c r="Q17" s="4">
        <v>18.361109599999999</v>
      </c>
    </row>
    <row r="18" spans="1:17" x14ac:dyDescent="0.4">
      <c r="A18">
        <v>20210802</v>
      </c>
      <c r="B18" s="1">
        <v>0.95833333333333337</v>
      </c>
      <c r="C18">
        <v>-14428</v>
      </c>
      <c r="D18">
        <v>34157</v>
      </c>
      <c r="E18">
        <v>-466045</v>
      </c>
      <c r="F18">
        <v>-61428</v>
      </c>
      <c r="G18">
        <v>-32267</v>
      </c>
      <c r="H18">
        <v>-214880</v>
      </c>
      <c r="I18">
        <v>16116</v>
      </c>
      <c r="J18">
        <v>-6241</v>
      </c>
      <c r="K18">
        <v>-16802</v>
      </c>
      <c r="L18">
        <v>-48992</v>
      </c>
      <c r="M18">
        <v>7.31</v>
      </c>
      <c r="N18">
        <v>-810810</v>
      </c>
      <c r="O18">
        <v>20030400</v>
      </c>
      <c r="P18" s="2">
        <v>-4.0478971962616823</v>
      </c>
      <c r="Q18" s="4">
        <v>14.6422224</v>
      </c>
    </row>
    <row r="19" spans="1:17" x14ac:dyDescent="0.4">
      <c r="A19">
        <v>20210802</v>
      </c>
      <c r="B19" s="1">
        <v>0.97916666666666663</v>
      </c>
      <c r="C19">
        <v>7675</v>
      </c>
      <c r="D19">
        <v>-133733</v>
      </c>
      <c r="E19">
        <v>-259909</v>
      </c>
      <c r="F19">
        <v>-36709</v>
      </c>
      <c r="G19">
        <v>-8861</v>
      </c>
      <c r="H19">
        <v>-293474</v>
      </c>
      <c r="I19">
        <v>9371</v>
      </c>
      <c r="J19">
        <v>13416</v>
      </c>
      <c r="K19">
        <v>-557</v>
      </c>
      <c r="L19">
        <v>-39642</v>
      </c>
      <c r="M19">
        <v>7.15</v>
      </c>
      <c r="N19">
        <v>-742423</v>
      </c>
      <c r="O19">
        <v>18851150</v>
      </c>
      <c r="P19" s="2">
        <v>-3.9383432840967263</v>
      </c>
      <c r="Q19" s="4">
        <v>13.478572249999999</v>
      </c>
    </row>
    <row r="20" spans="1:17" x14ac:dyDescent="0.4">
      <c r="A20">
        <v>20210803</v>
      </c>
      <c r="B20" s="1">
        <v>0</v>
      </c>
      <c r="C20">
        <v>18186</v>
      </c>
      <c r="D20">
        <v>-49439</v>
      </c>
      <c r="E20">
        <v>-428455</v>
      </c>
      <c r="F20">
        <v>-159578</v>
      </c>
      <c r="G20">
        <v>-2383</v>
      </c>
      <c r="H20">
        <v>-205107</v>
      </c>
      <c r="I20">
        <v>54958</v>
      </c>
      <c r="J20">
        <v>-32772</v>
      </c>
      <c r="K20">
        <v>35771</v>
      </c>
      <c r="L20">
        <v>-44079</v>
      </c>
      <c r="M20">
        <v>8.26</v>
      </c>
      <c r="N20">
        <v>-812898</v>
      </c>
      <c r="O20">
        <v>18028800</v>
      </c>
      <c r="P20" s="2">
        <v>-4.5088857827476039</v>
      </c>
      <c r="Q20" s="4">
        <v>14.8917888</v>
      </c>
    </row>
    <row r="21" spans="1:17" x14ac:dyDescent="0.4">
      <c r="A21">
        <v>20210803</v>
      </c>
      <c r="B21" s="1">
        <v>2.0833333333333332E-2</v>
      </c>
      <c r="C21">
        <v>36628</v>
      </c>
      <c r="D21">
        <v>-13139</v>
      </c>
      <c r="E21">
        <v>-314936</v>
      </c>
      <c r="F21">
        <v>-132247</v>
      </c>
      <c r="G21">
        <v>8930</v>
      </c>
      <c r="H21">
        <v>-268527</v>
      </c>
      <c r="I21">
        <v>3800</v>
      </c>
      <c r="J21">
        <v>9445</v>
      </c>
      <c r="K21">
        <v>119452</v>
      </c>
      <c r="L21">
        <v>-40651</v>
      </c>
      <c r="M21">
        <v>8.18</v>
      </c>
      <c r="N21">
        <v>-591245</v>
      </c>
      <c r="O21">
        <v>19398850</v>
      </c>
      <c r="P21" s="2">
        <v>-3.047835309825067</v>
      </c>
      <c r="Q21" s="4">
        <v>15.8682593</v>
      </c>
    </row>
    <row r="22" spans="1:17" x14ac:dyDescent="0.4">
      <c r="A22">
        <v>20210803</v>
      </c>
      <c r="B22" s="1">
        <v>4.1666666666666664E-2</v>
      </c>
      <c r="C22">
        <v>28745</v>
      </c>
      <c r="D22">
        <v>-18340</v>
      </c>
      <c r="E22">
        <v>-327690</v>
      </c>
      <c r="F22">
        <v>-164427</v>
      </c>
      <c r="G22">
        <v>-10605</v>
      </c>
      <c r="H22">
        <v>-226715</v>
      </c>
      <c r="I22">
        <v>-16409</v>
      </c>
      <c r="J22">
        <v>1288</v>
      </c>
      <c r="K22">
        <v>51697</v>
      </c>
      <c r="L22">
        <v>-32061</v>
      </c>
      <c r="M22">
        <v>7.75</v>
      </c>
      <c r="N22">
        <v>-714517</v>
      </c>
      <c r="O22">
        <v>19543800</v>
      </c>
      <c r="P22" s="2">
        <v>-3.6559778548695752</v>
      </c>
      <c r="Q22" s="4">
        <v>15.146445</v>
      </c>
    </row>
    <row r="23" spans="1:17" x14ac:dyDescent="0.4">
      <c r="A23">
        <v>20210803</v>
      </c>
      <c r="B23" s="1">
        <v>6.25E-2</v>
      </c>
      <c r="C23">
        <v>33660</v>
      </c>
      <c r="D23">
        <v>-22705</v>
      </c>
      <c r="E23">
        <v>-15567</v>
      </c>
      <c r="F23">
        <v>-147355</v>
      </c>
      <c r="G23">
        <v>-18791</v>
      </c>
      <c r="H23">
        <v>-169413</v>
      </c>
      <c r="I23">
        <v>-18675</v>
      </c>
      <c r="J23">
        <v>-1598</v>
      </c>
      <c r="K23">
        <v>32858</v>
      </c>
      <c r="L23">
        <v>-35266</v>
      </c>
      <c r="M23">
        <v>7.59</v>
      </c>
      <c r="N23">
        <v>-362852</v>
      </c>
      <c r="O23">
        <v>19694500</v>
      </c>
      <c r="P23" s="2">
        <v>-1.8424027012617736</v>
      </c>
      <c r="Q23" s="4">
        <v>14.9481255</v>
      </c>
    </row>
    <row r="24" spans="1:17" x14ac:dyDescent="0.4">
      <c r="A24">
        <v>20210803</v>
      </c>
      <c r="B24" s="1">
        <v>8.3333333333333329E-2</v>
      </c>
      <c r="C24">
        <v>18135</v>
      </c>
      <c r="D24">
        <v>11738</v>
      </c>
      <c r="E24">
        <v>-181631</v>
      </c>
      <c r="F24">
        <v>-65181</v>
      </c>
      <c r="G24">
        <v>-20916</v>
      </c>
      <c r="H24">
        <v>-188380</v>
      </c>
      <c r="I24">
        <v>-1783</v>
      </c>
      <c r="J24">
        <v>-6078</v>
      </c>
      <c r="K24">
        <v>53798</v>
      </c>
      <c r="L24">
        <v>-24408</v>
      </c>
      <c r="M24">
        <v>7.37</v>
      </c>
      <c r="N24">
        <v>-404706</v>
      </c>
      <c r="O24">
        <v>20009400</v>
      </c>
      <c r="P24" s="2">
        <v>-2.0225793876877867</v>
      </c>
      <c r="Q24" s="4">
        <v>14.7469278</v>
      </c>
    </row>
    <row r="25" spans="1:17" x14ac:dyDescent="0.4">
      <c r="A25">
        <v>20210803</v>
      </c>
      <c r="B25" s="1">
        <v>0.10416666666666667</v>
      </c>
      <c r="C25">
        <v>24045</v>
      </c>
      <c r="D25">
        <v>1422</v>
      </c>
      <c r="E25">
        <v>-190131</v>
      </c>
      <c r="F25">
        <v>-68207</v>
      </c>
      <c r="G25">
        <v>-42181</v>
      </c>
      <c r="H25">
        <v>-231112</v>
      </c>
      <c r="I25">
        <v>-30938</v>
      </c>
      <c r="J25">
        <v>-23942</v>
      </c>
      <c r="K25">
        <v>65109</v>
      </c>
      <c r="L25">
        <v>-34251</v>
      </c>
      <c r="M25">
        <v>7.43</v>
      </c>
      <c r="N25">
        <v>-530186</v>
      </c>
      <c r="O25">
        <v>20193600</v>
      </c>
      <c r="P25" s="2">
        <v>-2.6255150146581094</v>
      </c>
      <c r="Q25" s="4">
        <v>15.0038448</v>
      </c>
    </row>
    <row r="26" spans="1:17" x14ac:dyDescent="0.4">
      <c r="A26">
        <v>20210803</v>
      </c>
      <c r="B26" s="1">
        <v>0.125</v>
      </c>
      <c r="C26">
        <v>9800</v>
      </c>
      <c r="D26">
        <v>15126</v>
      </c>
      <c r="E26">
        <v>-182179</v>
      </c>
      <c r="F26">
        <v>-81947</v>
      </c>
      <c r="G26">
        <v>-23862</v>
      </c>
      <c r="H26">
        <v>-98451</v>
      </c>
      <c r="I26">
        <v>-25087</v>
      </c>
      <c r="J26">
        <v>-13196</v>
      </c>
      <c r="K26">
        <v>40696</v>
      </c>
      <c r="L26">
        <v>-27085</v>
      </c>
      <c r="M26">
        <v>7.36</v>
      </c>
      <c r="N26">
        <v>-386185</v>
      </c>
      <c r="O26">
        <v>20372800</v>
      </c>
      <c r="P26" s="2">
        <v>-1.8955911803973926</v>
      </c>
      <c r="Q26" s="4">
        <v>14.9943808</v>
      </c>
    </row>
    <row r="27" spans="1:17" x14ac:dyDescent="0.4">
      <c r="A27">
        <v>20210803</v>
      </c>
      <c r="B27" s="1">
        <v>0.14583333333333334</v>
      </c>
      <c r="C27">
        <v>22086</v>
      </c>
      <c r="D27">
        <v>56990</v>
      </c>
      <c r="E27">
        <v>-299941</v>
      </c>
      <c r="F27">
        <v>-39958</v>
      </c>
      <c r="G27">
        <v>-33870</v>
      </c>
      <c r="H27">
        <v>-114619</v>
      </c>
      <c r="I27">
        <v>-17583</v>
      </c>
      <c r="J27">
        <v>37</v>
      </c>
      <c r="K27">
        <v>15512</v>
      </c>
      <c r="L27">
        <v>-29858</v>
      </c>
      <c r="M27">
        <v>7.36</v>
      </c>
      <c r="N27">
        <v>-441204</v>
      </c>
      <c r="O27">
        <v>20466950</v>
      </c>
      <c r="P27" s="2">
        <v>-2.1556900270924588</v>
      </c>
      <c r="Q27" s="4">
        <v>15.0636752</v>
      </c>
    </row>
    <row r="28" spans="1:17" x14ac:dyDescent="0.4">
      <c r="A28">
        <v>20210803</v>
      </c>
      <c r="B28" s="1">
        <v>0.16666666666666666</v>
      </c>
      <c r="C28">
        <v>-11991</v>
      </c>
      <c r="D28">
        <v>26696</v>
      </c>
      <c r="E28">
        <v>-166753</v>
      </c>
      <c r="F28">
        <v>-69242</v>
      </c>
      <c r="G28">
        <v>-8860</v>
      </c>
      <c r="H28">
        <v>-56161</v>
      </c>
      <c r="I28">
        <v>-2282</v>
      </c>
      <c r="J28">
        <v>9736</v>
      </c>
      <c r="K28">
        <v>85926</v>
      </c>
      <c r="L28">
        <v>-18397</v>
      </c>
      <c r="M28">
        <v>7.44</v>
      </c>
      <c r="N28">
        <v>-211328</v>
      </c>
      <c r="O28">
        <v>20548050</v>
      </c>
      <c r="P28" s="2">
        <v>-1.0284576881991234</v>
      </c>
      <c r="Q28" s="4">
        <v>15.2877492</v>
      </c>
    </row>
    <row r="29" spans="1:17" x14ac:dyDescent="0.4">
      <c r="A29">
        <v>20210803</v>
      </c>
      <c r="B29" s="1">
        <v>0.1875</v>
      </c>
      <c r="C29">
        <v>9443</v>
      </c>
      <c r="D29">
        <v>41386</v>
      </c>
      <c r="E29">
        <v>-269411</v>
      </c>
      <c r="F29">
        <v>-112447</v>
      </c>
      <c r="G29">
        <v>-29429</v>
      </c>
      <c r="H29">
        <v>-107282</v>
      </c>
      <c r="I29">
        <v>-519</v>
      </c>
      <c r="J29">
        <v>3890</v>
      </c>
      <c r="K29">
        <v>-1384</v>
      </c>
      <c r="L29">
        <v>-27263</v>
      </c>
      <c r="M29">
        <v>7.44</v>
      </c>
      <c r="N29">
        <v>-493016</v>
      </c>
      <c r="O29">
        <v>20540350</v>
      </c>
      <c r="P29" s="2">
        <v>-2.4002317389917893</v>
      </c>
      <c r="Q29" s="4">
        <v>15.2820204</v>
      </c>
    </row>
    <row r="30" spans="1:17" x14ac:dyDescent="0.4">
      <c r="A30">
        <v>20210803</v>
      </c>
      <c r="B30" s="1">
        <v>0.20833333333333334</v>
      </c>
      <c r="C30">
        <v>-1602</v>
      </c>
      <c r="D30">
        <v>71072</v>
      </c>
      <c r="E30">
        <v>-207962</v>
      </c>
      <c r="F30">
        <v>-129240</v>
      </c>
      <c r="G30">
        <v>-30594</v>
      </c>
      <c r="H30">
        <v>-83135</v>
      </c>
      <c r="I30">
        <v>-31160</v>
      </c>
      <c r="J30">
        <v>956</v>
      </c>
      <c r="K30">
        <v>-41412</v>
      </c>
      <c r="L30">
        <v>-24153</v>
      </c>
      <c r="M30">
        <v>8.0500000000000007</v>
      </c>
      <c r="N30">
        <v>-477230</v>
      </c>
      <c r="O30">
        <v>20369950</v>
      </c>
      <c r="P30" s="2">
        <v>-2.3428138017029987</v>
      </c>
      <c r="Q30" s="4">
        <v>16.39780975</v>
      </c>
    </row>
    <row r="31" spans="1:17" x14ac:dyDescent="0.4">
      <c r="A31">
        <v>20210803</v>
      </c>
      <c r="B31" s="1">
        <v>0.22916666666666666</v>
      </c>
      <c r="C31">
        <v>-5943</v>
      </c>
      <c r="D31">
        <v>185695</v>
      </c>
      <c r="E31">
        <v>-83084</v>
      </c>
      <c r="F31">
        <v>-161738</v>
      </c>
      <c r="G31">
        <v>-30118</v>
      </c>
      <c r="H31">
        <v>-193849</v>
      </c>
      <c r="I31">
        <v>-33547</v>
      </c>
      <c r="J31">
        <v>1490</v>
      </c>
      <c r="K31">
        <v>-59902</v>
      </c>
      <c r="L31">
        <v>-23889</v>
      </c>
      <c r="M31">
        <v>7.94</v>
      </c>
      <c r="N31">
        <v>-404885</v>
      </c>
      <c r="O31">
        <v>20285500</v>
      </c>
      <c r="P31" s="2">
        <v>-1.9959330556308694</v>
      </c>
      <c r="Q31" s="4">
        <v>16.106687000000001</v>
      </c>
    </row>
    <row r="32" spans="1:17" x14ac:dyDescent="0.4">
      <c r="A32">
        <v>20210803</v>
      </c>
      <c r="B32" s="1">
        <v>0.25</v>
      </c>
      <c r="C32">
        <v>-22002</v>
      </c>
      <c r="D32">
        <v>180304</v>
      </c>
      <c r="E32">
        <v>-220294</v>
      </c>
      <c r="F32">
        <v>-202324</v>
      </c>
      <c r="G32">
        <v>-20098</v>
      </c>
      <c r="H32">
        <v>-370566</v>
      </c>
      <c r="I32">
        <v>-54714</v>
      </c>
      <c r="J32">
        <v>-13102</v>
      </c>
      <c r="K32">
        <v>-315120</v>
      </c>
      <c r="L32">
        <v>-14121</v>
      </c>
      <c r="M32">
        <v>8.19</v>
      </c>
      <c r="N32">
        <v>-1052037</v>
      </c>
      <c r="O32">
        <v>20807050</v>
      </c>
      <c r="P32" s="2">
        <v>-5.0561564469735014</v>
      </c>
      <c r="Q32" s="4">
        <v>17.040973950000001</v>
      </c>
    </row>
    <row r="33" spans="1:17" x14ac:dyDescent="0.4">
      <c r="A33">
        <v>20210803</v>
      </c>
      <c r="B33" s="1">
        <v>0.27083333333333331</v>
      </c>
      <c r="C33">
        <v>-1975</v>
      </c>
      <c r="D33">
        <v>145902</v>
      </c>
      <c r="E33">
        <v>130601</v>
      </c>
      <c r="F33">
        <v>-270260</v>
      </c>
      <c r="G33">
        <v>-4746</v>
      </c>
      <c r="H33">
        <v>-443892</v>
      </c>
      <c r="I33">
        <v>-91444</v>
      </c>
      <c r="J33">
        <v>-29006</v>
      </c>
      <c r="K33">
        <v>-356802</v>
      </c>
      <c r="L33">
        <v>-27182</v>
      </c>
      <c r="M33">
        <v>7.78</v>
      </c>
      <c r="N33">
        <v>-948804</v>
      </c>
      <c r="O33">
        <v>21382450</v>
      </c>
      <c r="P33" s="2">
        <v>-4.4373025541974842</v>
      </c>
      <c r="Q33" s="4">
        <v>16.635546099999999</v>
      </c>
    </row>
    <row r="34" spans="1:17" x14ac:dyDescent="0.4">
      <c r="A34">
        <v>20210803</v>
      </c>
      <c r="B34" s="1">
        <v>0.29166666666666669</v>
      </c>
      <c r="C34">
        <v>-1165</v>
      </c>
      <c r="D34">
        <v>159766</v>
      </c>
      <c r="E34">
        <v>-57397</v>
      </c>
      <c r="F34">
        <v>-282108</v>
      </c>
      <c r="G34">
        <v>-12548</v>
      </c>
      <c r="H34">
        <v>-488202</v>
      </c>
      <c r="I34">
        <v>-141153</v>
      </c>
      <c r="J34">
        <v>-24522</v>
      </c>
      <c r="K34">
        <v>-451984</v>
      </c>
      <c r="L34">
        <v>-12904</v>
      </c>
      <c r="M34">
        <v>8.86</v>
      </c>
      <c r="N34">
        <v>-1312217</v>
      </c>
      <c r="O34">
        <v>22026450</v>
      </c>
      <c r="P34" s="2">
        <v>-5.9574602353080044</v>
      </c>
      <c r="Q34" s="4">
        <v>19.5154347</v>
      </c>
    </row>
    <row r="35" spans="1:17" x14ac:dyDescent="0.4">
      <c r="A35">
        <v>20210803</v>
      </c>
      <c r="B35" s="1">
        <v>0.3125</v>
      </c>
      <c r="C35">
        <v>6581</v>
      </c>
      <c r="D35">
        <v>132828</v>
      </c>
      <c r="E35">
        <v>297058</v>
      </c>
      <c r="F35">
        <v>-364398</v>
      </c>
      <c r="G35">
        <v>10</v>
      </c>
      <c r="H35">
        <v>-514202</v>
      </c>
      <c r="I35">
        <v>-84128</v>
      </c>
      <c r="J35">
        <v>-12924</v>
      </c>
      <c r="K35">
        <v>-343425</v>
      </c>
      <c r="L35">
        <v>-19109</v>
      </c>
      <c r="M35">
        <v>8.86</v>
      </c>
      <c r="N35">
        <v>-901709</v>
      </c>
      <c r="O35">
        <v>22360700</v>
      </c>
      <c r="P35" s="2">
        <v>-4.0325615924367302</v>
      </c>
      <c r="Q35" s="4">
        <v>19.811580200000002</v>
      </c>
    </row>
    <row r="36" spans="1:17" x14ac:dyDescent="0.4">
      <c r="A36">
        <v>20210803</v>
      </c>
      <c r="B36" s="1">
        <v>0.33333333333333331</v>
      </c>
      <c r="C36">
        <v>24734</v>
      </c>
      <c r="D36">
        <v>208735</v>
      </c>
      <c r="E36">
        <v>661978</v>
      </c>
      <c r="F36">
        <v>-232794</v>
      </c>
      <c r="G36">
        <v>11631</v>
      </c>
      <c r="H36">
        <v>-717245</v>
      </c>
      <c r="I36">
        <v>-25013</v>
      </c>
      <c r="J36">
        <v>15419</v>
      </c>
      <c r="K36">
        <v>-340419</v>
      </c>
      <c r="L36">
        <v>-19210</v>
      </c>
      <c r="M36">
        <v>8.86</v>
      </c>
      <c r="N36">
        <v>-412184</v>
      </c>
      <c r="O36">
        <v>23687750</v>
      </c>
      <c r="P36" s="2">
        <v>-1.7400724002912897</v>
      </c>
      <c r="Q36" s="4">
        <v>20.987346500000001</v>
      </c>
    </row>
    <row r="37" spans="1:17" x14ac:dyDescent="0.4">
      <c r="A37">
        <v>20210803</v>
      </c>
      <c r="B37" s="1">
        <v>0.35416666666666669</v>
      </c>
      <c r="C37">
        <v>9541</v>
      </c>
      <c r="D37">
        <v>177807</v>
      </c>
      <c r="E37">
        <v>-47068</v>
      </c>
      <c r="F37">
        <v>-327292</v>
      </c>
      <c r="G37">
        <v>34820</v>
      </c>
      <c r="H37">
        <v>-331022</v>
      </c>
      <c r="I37">
        <v>-82519</v>
      </c>
      <c r="J37">
        <v>26442</v>
      </c>
      <c r="K37">
        <v>-485333</v>
      </c>
      <c r="L37">
        <v>-41956</v>
      </c>
      <c r="M37">
        <v>9.6</v>
      </c>
      <c r="N37">
        <v>-1066580</v>
      </c>
      <c r="O37">
        <v>24094800</v>
      </c>
      <c r="P37" s="2">
        <v>-4.4265982701661768</v>
      </c>
      <c r="Q37" s="4">
        <v>23.131008000000001</v>
      </c>
    </row>
    <row r="38" spans="1:17" x14ac:dyDescent="0.4">
      <c r="A38">
        <v>20210803</v>
      </c>
      <c r="B38" s="1">
        <v>0.375</v>
      </c>
      <c r="C38">
        <v>110663</v>
      </c>
      <c r="D38">
        <v>178687</v>
      </c>
      <c r="E38">
        <v>151620</v>
      </c>
      <c r="F38">
        <v>-272722</v>
      </c>
      <c r="G38">
        <v>37472</v>
      </c>
      <c r="H38">
        <v>-625305</v>
      </c>
      <c r="I38">
        <v>13261</v>
      </c>
      <c r="J38">
        <v>12888</v>
      </c>
      <c r="K38">
        <v>-489036</v>
      </c>
      <c r="L38">
        <v>-76719</v>
      </c>
      <c r="M38">
        <v>9.74</v>
      </c>
      <c r="N38">
        <v>-959191</v>
      </c>
      <c r="O38">
        <v>24485050</v>
      </c>
      <c r="P38" s="2">
        <v>-3.9174557536129191</v>
      </c>
      <c r="Q38" s="4">
        <v>23.848438699999999</v>
      </c>
    </row>
    <row r="39" spans="1:17" x14ac:dyDescent="0.4">
      <c r="A39">
        <v>20210803</v>
      </c>
      <c r="B39" s="1">
        <v>0.39583333333333331</v>
      </c>
      <c r="C39">
        <v>77811</v>
      </c>
      <c r="D39">
        <v>226539</v>
      </c>
      <c r="E39">
        <v>339448</v>
      </c>
      <c r="F39">
        <v>-115481</v>
      </c>
      <c r="G39">
        <v>52142</v>
      </c>
      <c r="H39">
        <v>-457605</v>
      </c>
      <c r="I39">
        <v>90755</v>
      </c>
      <c r="J39">
        <v>25001</v>
      </c>
      <c r="K39">
        <v>-356079</v>
      </c>
      <c r="L39">
        <v>-82361</v>
      </c>
      <c r="M39">
        <v>9.74</v>
      </c>
      <c r="N39">
        <v>-199830</v>
      </c>
      <c r="O39">
        <v>24816700</v>
      </c>
      <c r="P39" s="2">
        <v>-0.80522390164687485</v>
      </c>
      <c r="Q39" s="4">
        <v>24.1714658</v>
      </c>
    </row>
    <row r="40" spans="1:17" x14ac:dyDescent="0.4">
      <c r="A40">
        <v>20210803</v>
      </c>
      <c r="B40" s="1">
        <v>0.6875</v>
      </c>
      <c r="C40">
        <v>49029</v>
      </c>
      <c r="D40">
        <v>-58003</v>
      </c>
      <c r="E40">
        <v>-673649</v>
      </c>
      <c r="F40">
        <v>20613</v>
      </c>
      <c r="G40">
        <v>-53626</v>
      </c>
      <c r="H40">
        <v>42643</v>
      </c>
      <c r="I40">
        <v>82145</v>
      </c>
      <c r="J40">
        <v>-122006</v>
      </c>
      <c r="K40">
        <v>-75996</v>
      </c>
      <c r="L40">
        <v>-52476</v>
      </c>
      <c r="M40">
        <v>15.47</v>
      </c>
      <c r="N40">
        <v>-841326</v>
      </c>
      <c r="O40">
        <v>24075550</v>
      </c>
      <c r="P40" s="2">
        <v>-3.4945245279962451</v>
      </c>
      <c r="Q40" s="4">
        <v>37.24487585</v>
      </c>
    </row>
    <row r="41" spans="1:17" x14ac:dyDescent="0.4">
      <c r="A41">
        <v>20210803</v>
      </c>
      <c r="B41" s="1">
        <v>0.70833333333333337</v>
      </c>
      <c r="C41">
        <v>-55082</v>
      </c>
      <c r="D41">
        <v>-80306</v>
      </c>
      <c r="E41">
        <v>-606889</v>
      </c>
      <c r="F41">
        <v>-8305</v>
      </c>
      <c r="G41">
        <v>-40478</v>
      </c>
      <c r="H41">
        <v>114411</v>
      </c>
      <c r="I41">
        <v>81362</v>
      </c>
      <c r="J41">
        <v>-116310</v>
      </c>
      <c r="K41">
        <v>-195850</v>
      </c>
      <c r="L41">
        <v>-45805</v>
      </c>
      <c r="M41">
        <v>14.87</v>
      </c>
      <c r="N41">
        <v>-953252</v>
      </c>
      <c r="O41">
        <v>23576300</v>
      </c>
      <c r="P41" s="2">
        <v>-4.0432637860902689</v>
      </c>
      <c r="Q41" s="4">
        <v>35.0579581</v>
      </c>
    </row>
    <row r="42" spans="1:17" x14ac:dyDescent="0.4">
      <c r="A42">
        <v>20210803</v>
      </c>
      <c r="B42" s="1">
        <v>0.72916666666666663</v>
      </c>
      <c r="C42">
        <v>-9138</v>
      </c>
      <c r="D42">
        <v>-287653</v>
      </c>
      <c r="E42">
        <v>-900611</v>
      </c>
      <c r="F42">
        <v>3281</v>
      </c>
      <c r="G42">
        <v>-41962</v>
      </c>
      <c r="H42">
        <v>57421</v>
      </c>
      <c r="I42">
        <v>87612</v>
      </c>
      <c r="J42">
        <v>-133519</v>
      </c>
      <c r="K42">
        <v>-408635</v>
      </c>
      <c r="L42">
        <v>-39577</v>
      </c>
      <c r="M42">
        <v>14.87</v>
      </c>
      <c r="N42">
        <v>-1672781</v>
      </c>
      <c r="O42">
        <v>22890700</v>
      </c>
      <c r="P42" s="2">
        <v>-7.3076882751510439</v>
      </c>
      <c r="Q42" s="4">
        <v>34.0384709</v>
      </c>
    </row>
    <row r="43" spans="1:17" x14ac:dyDescent="0.4">
      <c r="A43">
        <v>20210803</v>
      </c>
      <c r="B43" s="1">
        <v>0.75</v>
      </c>
      <c r="C43">
        <v>-56486</v>
      </c>
      <c r="D43">
        <v>-201922</v>
      </c>
      <c r="E43">
        <v>-643194</v>
      </c>
      <c r="F43">
        <v>139455</v>
      </c>
      <c r="G43">
        <v>-8380</v>
      </c>
      <c r="H43">
        <v>49539</v>
      </c>
      <c r="I43">
        <v>73682</v>
      </c>
      <c r="J43">
        <v>-137552</v>
      </c>
      <c r="K43">
        <v>-296474</v>
      </c>
      <c r="L43">
        <v>-41948</v>
      </c>
      <c r="M43">
        <v>15.21</v>
      </c>
      <c r="N43">
        <v>-1123280</v>
      </c>
      <c r="O43">
        <v>22584950</v>
      </c>
      <c r="P43" s="2">
        <v>-4.9735775372537905</v>
      </c>
      <c r="Q43" s="4">
        <v>34.351708950000003</v>
      </c>
    </row>
    <row r="44" spans="1:17" x14ac:dyDescent="0.4">
      <c r="A44">
        <v>20210803</v>
      </c>
      <c r="B44" s="1">
        <v>0.77083333333333337</v>
      </c>
      <c r="C44">
        <v>-94101</v>
      </c>
      <c r="D44">
        <v>-311598</v>
      </c>
      <c r="E44">
        <v>-669538</v>
      </c>
      <c r="F44">
        <v>93855</v>
      </c>
      <c r="G44">
        <v>-25015</v>
      </c>
      <c r="H44">
        <v>60261</v>
      </c>
      <c r="I44">
        <v>28622</v>
      </c>
      <c r="J44">
        <v>-124377</v>
      </c>
      <c r="K44">
        <v>-172724</v>
      </c>
      <c r="L44">
        <v>-23086</v>
      </c>
      <c r="M44">
        <v>17.010000000000002</v>
      </c>
      <c r="N44">
        <v>-1237701</v>
      </c>
      <c r="O44">
        <v>22591350</v>
      </c>
      <c r="P44" s="2">
        <v>-5.4786500142753756</v>
      </c>
      <c r="Q44" s="4">
        <v>38.427886350000009</v>
      </c>
    </row>
    <row r="45" spans="1:17" x14ac:dyDescent="0.4">
      <c r="A45">
        <v>20210803</v>
      </c>
      <c r="B45" s="1">
        <v>0.79166666666666663</v>
      </c>
      <c r="C45">
        <v>-116398</v>
      </c>
      <c r="D45">
        <v>-280825</v>
      </c>
      <c r="E45">
        <v>-676140</v>
      </c>
      <c r="F45">
        <v>120728</v>
      </c>
      <c r="G45">
        <v>-30498</v>
      </c>
      <c r="H45">
        <v>26036</v>
      </c>
      <c r="I45">
        <v>-22275</v>
      </c>
      <c r="J45">
        <v>-80244</v>
      </c>
      <c r="K45">
        <v>-105161</v>
      </c>
      <c r="L45">
        <v>-61745</v>
      </c>
      <c r="M45">
        <v>13.95</v>
      </c>
      <c r="N45">
        <v>-1226522</v>
      </c>
      <c r="O45">
        <v>22469500</v>
      </c>
      <c r="P45" s="2">
        <v>-5.4586083357440085</v>
      </c>
      <c r="Q45" s="4">
        <v>31.344952500000002</v>
      </c>
    </row>
    <row r="46" spans="1:17" x14ac:dyDescent="0.4">
      <c r="A46">
        <v>20210803</v>
      </c>
      <c r="B46" s="1">
        <v>0.8125</v>
      </c>
      <c r="C46">
        <v>-82804</v>
      </c>
      <c r="D46">
        <v>-263927</v>
      </c>
      <c r="E46">
        <v>-518644</v>
      </c>
      <c r="F46">
        <v>78610</v>
      </c>
      <c r="G46">
        <v>-22655</v>
      </c>
      <c r="H46">
        <v>-559</v>
      </c>
      <c r="I46">
        <v>-40386</v>
      </c>
      <c r="J46">
        <v>-46728</v>
      </c>
      <c r="K46">
        <v>-57454</v>
      </c>
      <c r="L46">
        <v>-59238</v>
      </c>
      <c r="M46">
        <v>10.7</v>
      </c>
      <c r="N46">
        <v>-1013785</v>
      </c>
      <c r="O46">
        <v>22335950</v>
      </c>
      <c r="P46" s="2">
        <v>-4.53880403564657</v>
      </c>
      <c r="Q46" s="4">
        <v>23.899466499999996</v>
      </c>
    </row>
    <row r="47" spans="1:17" x14ac:dyDescent="0.4">
      <c r="A47">
        <v>20210803</v>
      </c>
      <c r="B47" s="1">
        <v>0.83333333333333337</v>
      </c>
      <c r="C47">
        <v>-27570</v>
      </c>
      <c r="D47">
        <v>-224642</v>
      </c>
      <c r="E47">
        <v>-287922</v>
      </c>
      <c r="F47">
        <v>135926</v>
      </c>
      <c r="G47">
        <v>-17296</v>
      </c>
      <c r="H47">
        <v>118885</v>
      </c>
      <c r="I47">
        <v>12877</v>
      </c>
      <c r="J47">
        <v>5305</v>
      </c>
      <c r="K47">
        <v>80521</v>
      </c>
      <c r="L47">
        <v>-52944</v>
      </c>
      <c r="M47">
        <v>10.27</v>
      </c>
      <c r="N47">
        <v>-256860</v>
      </c>
      <c r="O47">
        <v>21852450</v>
      </c>
      <c r="P47" s="2">
        <v>-1.1754288420749162</v>
      </c>
      <c r="Q47" s="4">
        <v>22.442466150000001</v>
      </c>
    </row>
    <row r="48" spans="1:17" x14ac:dyDescent="0.4">
      <c r="A48">
        <v>20210803</v>
      </c>
      <c r="B48" s="1">
        <v>0.85416666666666663</v>
      </c>
      <c r="C48">
        <v>-125628</v>
      </c>
      <c r="D48">
        <v>-299889</v>
      </c>
      <c r="E48">
        <v>48544</v>
      </c>
      <c r="F48">
        <v>118523</v>
      </c>
      <c r="G48">
        <v>-18098</v>
      </c>
      <c r="H48">
        <v>28102</v>
      </c>
      <c r="I48">
        <v>-20234</v>
      </c>
      <c r="J48">
        <v>-11992</v>
      </c>
      <c r="K48">
        <v>37039</v>
      </c>
      <c r="L48">
        <v>-43876</v>
      </c>
      <c r="M48">
        <v>10.27</v>
      </c>
      <c r="N48">
        <v>-287509</v>
      </c>
      <c r="O48">
        <v>21700800</v>
      </c>
      <c r="P48" s="2">
        <v>-1.3248774238737742</v>
      </c>
      <c r="Q48" s="4">
        <v>22.2867216</v>
      </c>
    </row>
    <row r="49" spans="1:17" x14ac:dyDescent="0.4">
      <c r="A49">
        <v>20210803</v>
      </c>
      <c r="B49" s="1">
        <v>0.875</v>
      </c>
      <c r="C49">
        <v>-24773</v>
      </c>
      <c r="D49">
        <v>-204364</v>
      </c>
      <c r="E49">
        <v>-272417</v>
      </c>
      <c r="F49">
        <v>134034</v>
      </c>
      <c r="G49">
        <v>-21772</v>
      </c>
      <c r="H49">
        <v>16012</v>
      </c>
      <c r="I49">
        <v>-4629</v>
      </c>
      <c r="J49">
        <v>-1129</v>
      </c>
      <c r="K49">
        <v>-23633</v>
      </c>
      <c r="L49">
        <v>-53988</v>
      </c>
      <c r="M49">
        <v>10.07</v>
      </c>
      <c r="N49">
        <v>-456659</v>
      </c>
      <c r="O49">
        <v>21498300</v>
      </c>
      <c r="P49" s="2">
        <v>-2.1241633059358183</v>
      </c>
      <c r="Q49" s="4">
        <v>21.648788100000001</v>
      </c>
    </row>
    <row r="50" spans="1:17" x14ac:dyDescent="0.4">
      <c r="A50">
        <v>20210803</v>
      </c>
      <c r="B50" s="1">
        <v>0.91666666666666663</v>
      </c>
      <c r="C50">
        <v>15657</v>
      </c>
      <c r="D50">
        <v>-107635</v>
      </c>
      <c r="E50">
        <v>-255132</v>
      </c>
      <c r="F50">
        <v>118204</v>
      </c>
      <c r="G50">
        <v>-41356</v>
      </c>
      <c r="H50">
        <v>109399</v>
      </c>
      <c r="I50">
        <v>13091</v>
      </c>
      <c r="J50">
        <v>-6081</v>
      </c>
      <c r="K50">
        <v>25052</v>
      </c>
      <c r="L50">
        <v>-48896</v>
      </c>
      <c r="M50">
        <v>9.9</v>
      </c>
      <c r="N50">
        <v>-177697</v>
      </c>
      <c r="O50">
        <v>20783300</v>
      </c>
      <c r="P50" s="2">
        <v>-0.85499896551558219</v>
      </c>
      <c r="Q50" s="4">
        <v>20.575467</v>
      </c>
    </row>
    <row r="51" spans="1:17" x14ac:dyDescent="0.4">
      <c r="A51">
        <v>20210803</v>
      </c>
      <c r="B51" s="1">
        <v>0.9375</v>
      </c>
      <c r="C51">
        <v>-3808</v>
      </c>
      <c r="D51">
        <v>-54897</v>
      </c>
      <c r="E51">
        <v>-140983</v>
      </c>
      <c r="F51">
        <v>47714</v>
      </c>
      <c r="G51">
        <v>-56562</v>
      </c>
      <c r="H51">
        <v>131070</v>
      </c>
      <c r="I51">
        <v>-60660</v>
      </c>
      <c r="J51">
        <v>-24649</v>
      </c>
      <c r="K51">
        <v>-50600</v>
      </c>
      <c r="L51">
        <v>-43717</v>
      </c>
      <c r="M51">
        <v>9.6300000000000008</v>
      </c>
      <c r="N51">
        <v>-257092</v>
      </c>
      <c r="O51">
        <v>20692450</v>
      </c>
      <c r="P51" s="2">
        <v>-1.2424434999238854</v>
      </c>
      <c r="Q51" s="4">
        <v>19.926829350000002</v>
      </c>
    </row>
    <row r="52" spans="1:17" x14ac:dyDescent="0.4">
      <c r="A52">
        <v>20210803</v>
      </c>
      <c r="B52" s="1">
        <v>0.95833333333333337</v>
      </c>
      <c r="C52">
        <v>-19222</v>
      </c>
      <c r="D52">
        <v>-39731</v>
      </c>
      <c r="E52">
        <v>-484789</v>
      </c>
      <c r="F52">
        <v>58536</v>
      </c>
      <c r="G52">
        <v>-45635</v>
      </c>
      <c r="H52">
        <v>-17014</v>
      </c>
      <c r="I52">
        <v>-28966</v>
      </c>
      <c r="J52">
        <v>-10493</v>
      </c>
      <c r="K52">
        <v>-144806</v>
      </c>
      <c r="L52">
        <v>-50801</v>
      </c>
      <c r="M52">
        <v>8.86</v>
      </c>
      <c r="N52">
        <v>-782921</v>
      </c>
      <c r="O52">
        <v>20075200</v>
      </c>
      <c r="P52" s="2">
        <v>-3.8999412210090063</v>
      </c>
      <c r="Q52" s="4">
        <v>17.786627200000002</v>
      </c>
    </row>
    <row r="53" spans="1:17" x14ac:dyDescent="0.4">
      <c r="A53">
        <v>20210803</v>
      </c>
      <c r="B53" s="1">
        <v>0.97916666666666663</v>
      </c>
      <c r="C53">
        <v>40760</v>
      </c>
      <c r="D53">
        <v>-56092</v>
      </c>
      <c r="E53">
        <v>-25781</v>
      </c>
      <c r="F53">
        <v>7749</v>
      </c>
      <c r="G53">
        <v>-19670</v>
      </c>
      <c r="H53">
        <v>45962</v>
      </c>
      <c r="I53">
        <v>-79909</v>
      </c>
      <c r="J53">
        <v>-12376</v>
      </c>
      <c r="K53">
        <v>-149236</v>
      </c>
      <c r="L53">
        <v>-42860</v>
      </c>
      <c r="M53">
        <v>7.65</v>
      </c>
      <c r="N53">
        <v>-291453</v>
      </c>
      <c r="O53">
        <v>18819300</v>
      </c>
      <c r="P53" s="2">
        <v>-1.5486920342414436</v>
      </c>
      <c r="Q53" s="4">
        <v>14.3967645</v>
      </c>
    </row>
    <row r="54" spans="1:17" x14ac:dyDescent="0.4">
      <c r="A54">
        <v>20210804</v>
      </c>
      <c r="B54" s="1">
        <v>0</v>
      </c>
      <c r="C54">
        <v>27570</v>
      </c>
      <c r="D54">
        <v>-13648</v>
      </c>
      <c r="E54">
        <v>-271918</v>
      </c>
      <c r="F54">
        <v>42802</v>
      </c>
      <c r="G54">
        <v>-24805</v>
      </c>
      <c r="H54">
        <v>-7157</v>
      </c>
      <c r="I54">
        <v>-3771</v>
      </c>
      <c r="J54">
        <v>-19634</v>
      </c>
      <c r="K54">
        <v>-27977</v>
      </c>
      <c r="L54">
        <v>-63738</v>
      </c>
      <c r="M54">
        <v>8.86</v>
      </c>
      <c r="N54">
        <v>-362276</v>
      </c>
      <c r="O54">
        <v>18615900</v>
      </c>
      <c r="P54" s="2">
        <v>-1.946056865367777</v>
      </c>
      <c r="Q54" s="4">
        <v>16.493687399999999</v>
      </c>
    </row>
    <row r="55" spans="1:17" x14ac:dyDescent="0.4">
      <c r="A55">
        <v>20210804</v>
      </c>
      <c r="B55" s="1">
        <v>8.3333333333333329E-2</v>
      </c>
      <c r="C55">
        <v>-52660</v>
      </c>
      <c r="D55">
        <v>125443</v>
      </c>
      <c r="E55">
        <v>-97936</v>
      </c>
      <c r="F55">
        <v>125021</v>
      </c>
      <c r="G55">
        <v>-20290</v>
      </c>
      <c r="H55">
        <v>-71686</v>
      </c>
      <c r="I55">
        <v>-44022</v>
      </c>
      <c r="J55">
        <v>-11113</v>
      </c>
      <c r="K55">
        <v>37006</v>
      </c>
      <c r="L55">
        <v>-49996</v>
      </c>
      <c r="M55">
        <v>7.45</v>
      </c>
      <c r="N55">
        <v>-60233</v>
      </c>
      <c r="O55">
        <v>20214400</v>
      </c>
      <c r="P55" s="2">
        <v>-0.29797075352224156</v>
      </c>
      <c r="Q55" s="4">
        <v>15.059728</v>
      </c>
    </row>
    <row r="56" spans="1:17" x14ac:dyDescent="0.4">
      <c r="A56">
        <v>20210804</v>
      </c>
      <c r="B56" s="1">
        <v>0.10416666666666667</v>
      </c>
      <c r="C56">
        <v>17355</v>
      </c>
      <c r="D56">
        <v>64910</v>
      </c>
      <c r="E56">
        <v>-23197</v>
      </c>
      <c r="F56">
        <v>185380</v>
      </c>
      <c r="G56">
        <v>-18688</v>
      </c>
      <c r="H56">
        <v>-149867</v>
      </c>
      <c r="I56">
        <v>-99830</v>
      </c>
      <c r="J56">
        <v>3395</v>
      </c>
      <c r="K56">
        <v>39564</v>
      </c>
      <c r="L56">
        <v>-51378</v>
      </c>
      <c r="M56">
        <v>7.45</v>
      </c>
      <c r="N56">
        <v>-32356</v>
      </c>
      <c r="O56">
        <v>20258800</v>
      </c>
      <c r="P56" s="2">
        <v>-0.15971330977155607</v>
      </c>
      <c r="Q56" s="4">
        <v>15.092806</v>
      </c>
    </row>
    <row r="57" spans="1:17" x14ac:dyDescent="0.4">
      <c r="A57">
        <v>20210804</v>
      </c>
      <c r="B57" s="1">
        <v>0.64583333333333337</v>
      </c>
      <c r="C57">
        <v>-109495</v>
      </c>
      <c r="D57">
        <v>-135806</v>
      </c>
      <c r="E57">
        <v>-436772</v>
      </c>
      <c r="F57">
        <v>130955</v>
      </c>
      <c r="G57">
        <v>30457</v>
      </c>
      <c r="H57">
        <v>123111</v>
      </c>
      <c r="I57">
        <v>22513</v>
      </c>
      <c r="J57">
        <v>-1351</v>
      </c>
      <c r="K57">
        <v>402127</v>
      </c>
      <c r="L57">
        <v>-27236</v>
      </c>
      <c r="M57">
        <v>17.010000000000002</v>
      </c>
      <c r="N57">
        <v>-1497</v>
      </c>
      <c r="O57">
        <v>25336950</v>
      </c>
      <c r="P57" s="2">
        <v>-5.9083670291807024E-3</v>
      </c>
      <c r="Q57" s="4">
        <v>43.098151950000009</v>
      </c>
    </row>
    <row r="58" spans="1:17" x14ac:dyDescent="0.4">
      <c r="A58">
        <v>20210804</v>
      </c>
      <c r="B58" s="1">
        <v>0.66666666666666663</v>
      </c>
      <c r="C58">
        <v>-10963</v>
      </c>
      <c r="D58">
        <v>-52345</v>
      </c>
      <c r="E58">
        <v>-611881</v>
      </c>
      <c r="F58">
        <v>123368</v>
      </c>
      <c r="G58">
        <v>640</v>
      </c>
      <c r="H58">
        <v>45679</v>
      </c>
      <c r="I58">
        <v>-47970</v>
      </c>
      <c r="J58">
        <v>-38076</v>
      </c>
      <c r="K58">
        <v>202313</v>
      </c>
      <c r="L58">
        <v>-27795</v>
      </c>
      <c r="M58">
        <v>17.010000000000002</v>
      </c>
      <c r="N58">
        <v>-417030</v>
      </c>
      <c r="O58">
        <v>25519400</v>
      </c>
      <c r="P58" s="2">
        <v>-1.6341685149337366</v>
      </c>
      <c r="Q58" s="4">
        <v>43.408499400000004</v>
      </c>
    </row>
    <row r="59" spans="1:17" x14ac:dyDescent="0.4">
      <c r="A59">
        <v>20210804</v>
      </c>
      <c r="B59" s="1">
        <v>0.6875</v>
      </c>
      <c r="C59">
        <v>-971</v>
      </c>
      <c r="D59">
        <v>-106867</v>
      </c>
      <c r="E59">
        <v>-810255</v>
      </c>
      <c r="F59">
        <v>124660</v>
      </c>
      <c r="G59">
        <v>-15297</v>
      </c>
      <c r="H59">
        <v>64522</v>
      </c>
      <c r="I59">
        <v>-154659</v>
      </c>
      <c r="J59">
        <v>-38273</v>
      </c>
      <c r="K59">
        <v>127530</v>
      </c>
      <c r="L59">
        <v>-35568</v>
      </c>
      <c r="M59">
        <v>20</v>
      </c>
      <c r="N59">
        <v>-845178</v>
      </c>
      <c r="O59">
        <v>24908400</v>
      </c>
      <c r="P59" s="2">
        <v>-3.3931444813797755</v>
      </c>
      <c r="Q59" s="4">
        <v>49.816800000000001</v>
      </c>
    </row>
    <row r="60" spans="1:17" x14ac:dyDescent="0.4">
      <c r="A60">
        <v>20210804</v>
      </c>
      <c r="B60" s="1">
        <v>0.70833333333333337</v>
      </c>
      <c r="C60">
        <v>11494</v>
      </c>
      <c r="D60">
        <v>-43910</v>
      </c>
      <c r="E60">
        <v>-824400</v>
      </c>
      <c r="F60">
        <v>-147371</v>
      </c>
      <c r="G60">
        <v>-55763</v>
      </c>
      <c r="H60">
        <v>-84295</v>
      </c>
      <c r="I60">
        <v>-209224</v>
      </c>
      <c r="J60">
        <v>-54427</v>
      </c>
      <c r="K60">
        <v>-53274</v>
      </c>
      <c r="L60">
        <v>-38622</v>
      </c>
      <c r="M60">
        <v>17.010000000000002</v>
      </c>
      <c r="N60">
        <v>-1499792</v>
      </c>
      <c r="O60">
        <v>24139650</v>
      </c>
      <c r="P60" s="2">
        <v>-6.2129815469569776</v>
      </c>
      <c r="Q60" s="4">
        <v>41.061544650000009</v>
      </c>
    </row>
    <row r="61" spans="1:17" x14ac:dyDescent="0.4">
      <c r="A61">
        <v>20210804</v>
      </c>
      <c r="B61" s="1">
        <v>0.72916666666666663</v>
      </c>
      <c r="C61">
        <v>10143</v>
      </c>
      <c r="D61">
        <v>-127388</v>
      </c>
      <c r="E61">
        <v>-698640</v>
      </c>
      <c r="F61">
        <v>-98399</v>
      </c>
      <c r="G61">
        <v>-71227</v>
      </c>
      <c r="H61">
        <v>-196892</v>
      </c>
      <c r="I61">
        <v>-226216</v>
      </c>
      <c r="J61">
        <v>-81037</v>
      </c>
      <c r="K61">
        <v>-178166</v>
      </c>
      <c r="L61">
        <v>-38137</v>
      </c>
      <c r="M61">
        <v>17.010000000000002</v>
      </c>
      <c r="N61">
        <v>-1705959</v>
      </c>
      <c r="O61">
        <v>23626400</v>
      </c>
      <c r="P61" s="2">
        <v>-7.2205625909998981</v>
      </c>
      <c r="Q61" s="4">
        <v>40.188506400000009</v>
      </c>
    </row>
    <row r="62" spans="1:17" x14ac:dyDescent="0.4">
      <c r="A62">
        <v>20210804</v>
      </c>
      <c r="B62" s="1">
        <v>0.75</v>
      </c>
      <c r="C62">
        <v>-4872</v>
      </c>
      <c r="D62">
        <v>-149075</v>
      </c>
      <c r="E62">
        <v>-568546</v>
      </c>
      <c r="F62">
        <v>-22555</v>
      </c>
      <c r="G62">
        <v>-62248</v>
      </c>
      <c r="H62">
        <v>-147330</v>
      </c>
      <c r="I62">
        <v>-172964</v>
      </c>
      <c r="J62">
        <v>-61782</v>
      </c>
      <c r="K62">
        <v>-119045</v>
      </c>
      <c r="L62">
        <v>-26692</v>
      </c>
      <c r="M62">
        <v>17.010000000000002</v>
      </c>
      <c r="N62">
        <v>-1335109</v>
      </c>
      <c r="O62">
        <v>22962300</v>
      </c>
      <c r="P62" s="2">
        <v>-5.8143522208141167</v>
      </c>
      <c r="Q62" s="4">
        <v>39.058872300000004</v>
      </c>
    </row>
    <row r="63" spans="1:17" x14ac:dyDescent="0.4">
      <c r="A63">
        <v>20210804</v>
      </c>
      <c r="B63" s="1">
        <v>0.77083333333333337</v>
      </c>
      <c r="C63">
        <v>-27826</v>
      </c>
      <c r="D63">
        <v>-255386</v>
      </c>
      <c r="E63">
        <v>-368967</v>
      </c>
      <c r="F63">
        <v>10665</v>
      </c>
      <c r="G63">
        <v>-38423</v>
      </c>
      <c r="H63">
        <v>-162440</v>
      </c>
      <c r="I63">
        <v>-162174</v>
      </c>
      <c r="J63">
        <v>-17303</v>
      </c>
      <c r="K63">
        <v>31808</v>
      </c>
      <c r="L63">
        <v>-31928</v>
      </c>
      <c r="M63">
        <v>20</v>
      </c>
      <c r="N63">
        <v>-1021974</v>
      </c>
      <c r="O63">
        <v>22919100</v>
      </c>
      <c r="P63" s="2">
        <v>-4.4590494391141009</v>
      </c>
      <c r="Q63" s="4">
        <v>45.838200000000001</v>
      </c>
    </row>
    <row r="64" spans="1:17" x14ac:dyDescent="0.4">
      <c r="A64">
        <v>20210804</v>
      </c>
      <c r="B64" s="1">
        <v>0.79166666666666663</v>
      </c>
      <c r="C64">
        <v>26798</v>
      </c>
      <c r="D64">
        <v>-144093</v>
      </c>
      <c r="E64">
        <v>-239714</v>
      </c>
      <c r="F64">
        <v>-58010</v>
      </c>
      <c r="G64">
        <v>-58061</v>
      </c>
      <c r="H64">
        <v>-139304</v>
      </c>
      <c r="I64">
        <v>-77747</v>
      </c>
      <c r="J64">
        <v>4917</v>
      </c>
      <c r="K64">
        <v>72490</v>
      </c>
      <c r="L64">
        <v>-33355</v>
      </c>
      <c r="M64">
        <v>17.010000000000002</v>
      </c>
      <c r="N64">
        <v>-646079</v>
      </c>
      <c r="O64">
        <v>22780800</v>
      </c>
      <c r="P64" s="2">
        <v>-2.8360680924287118</v>
      </c>
      <c r="Q64" s="4">
        <v>38.750140800000004</v>
      </c>
    </row>
    <row r="65" spans="1:17" x14ac:dyDescent="0.4">
      <c r="A65">
        <v>20210804</v>
      </c>
      <c r="B65" s="1">
        <v>0.8125</v>
      </c>
      <c r="C65">
        <v>-86285</v>
      </c>
      <c r="D65">
        <v>-100638</v>
      </c>
      <c r="E65">
        <v>-115594</v>
      </c>
      <c r="F65">
        <v>-51100</v>
      </c>
      <c r="G65">
        <v>-40458</v>
      </c>
      <c r="H65">
        <v>-106150</v>
      </c>
      <c r="I65">
        <v>-53586</v>
      </c>
      <c r="J65">
        <v>-456</v>
      </c>
      <c r="K65">
        <v>28525</v>
      </c>
      <c r="L65">
        <v>-31220</v>
      </c>
      <c r="M65">
        <v>15.01</v>
      </c>
      <c r="N65">
        <v>-556962</v>
      </c>
      <c r="O65">
        <v>22550850</v>
      </c>
      <c r="P65" s="2">
        <v>-2.4698049075755457</v>
      </c>
      <c r="Q65" s="4">
        <v>33.848825849999997</v>
      </c>
    </row>
    <row r="66" spans="1:17" x14ac:dyDescent="0.4">
      <c r="A66">
        <v>20210804</v>
      </c>
      <c r="B66" s="1">
        <v>0.83333333333333337</v>
      </c>
      <c r="C66">
        <v>7897</v>
      </c>
      <c r="D66">
        <v>-65296</v>
      </c>
      <c r="E66">
        <v>-176791</v>
      </c>
      <c r="F66">
        <v>-111556</v>
      </c>
      <c r="G66">
        <v>-4287</v>
      </c>
      <c r="H66">
        <v>-109665</v>
      </c>
      <c r="I66">
        <v>-46776</v>
      </c>
      <c r="J66">
        <v>7493</v>
      </c>
      <c r="K66">
        <v>30451</v>
      </c>
      <c r="L66">
        <v>-36063</v>
      </c>
      <c r="M66">
        <v>12.1</v>
      </c>
      <c r="N66">
        <v>-504593</v>
      </c>
      <c r="O66">
        <v>22017100</v>
      </c>
      <c r="P66" s="2">
        <v>-2.2918231738058146</v>
      </c>
      <c r="Q66" s="4">
        <v>26.640691</v>
      </c>
    </row>
    <row r="67" spans="1:17" x14ac:dyDescent="0.4">
      <c r="A67">
        <v>20210804</v>
      </c>
      <c r="B67" s="1">
        <v>0.85416666666666663</v>
      </c>
      <c r="C67">
        <v>-27746</v>
      </c>
      <c r="D67">
        <v>-152406</v>
      </c>
      <c r="E67">
        <v>93536</v>
      </c>
      <c r="F67">
        <v>-62052</v>
      </c>
      <c r="G67">
        <v>-19183</v>
      </c>
      <c r="H67">
        <v>-121087</v>
      </c>
      <c r="I67">
        <v>-69880</v>
      </c>
      <c r="J67">
        <v>-24504</v>
      </c>
      <c r="K67">
        <v>104400</v>
      </c>
      <c r="L67">
        <v>-30750</v>
      </c>
      <c r="M67">
        <v>10.220000000000001</v>
      </c>
      <c r="N67">
        <v>-309672</v>
      </c>
      <c r="O67">
        <v>21825150</v>
      </c>
      <c r="P67" s="2">
        <v>-1.4188768462072425</v>
      </c>
      <c r="Q67" s="4">
        <v>22.305303299999999</v>
      </c>
    </row>
    <row r="68" spans="1:17" x14ac:dyDescent="0.4">
      <c r="A68">
        <v>20210804</v>
      </c>
      <c r="B68" s="1">
        <v>0.95833333333333337</v>
      </c>
      <c r="C68">
        <v>20952</v>
      </c>
      <c r="D68">
        <v>-115623</v>
      </c>
      <c r="E68">
        <v>232952</v>
      </c>
      <c r="F68">
        <v>-32907</v>
      </c>
      <c r="G68">
        <v>-43888</v>
      </c>
      <c r="H68">
        <v>55559</v>
      </c>
      <c r="I68">
        <v>-48055</v>
      </c>
      <c r="J68">
        <v>-15841</v>
      </c>
      <c r="K68">
        <v>-137941</v>
      </c>
      <c r="L68">
        <v>-47601</v>
      </c>
      <c r="M68">
        <v>8.86</v>
      </c>
      <c r="N68">
        <v>-132393</v>
      </c>
      <c r="O68">
        <v>20094750</v>
      </c>
      <c r="P68" s="2">
        <v>-0.65884372783936107</v>
      </c>
      <c r="Q68" s="4">
        <v>17.803948500000001</v>
      </c>
    </row>
    <row r="69" spans="1:17" x14ac:dyDescent="0.4">
      <c r="A69">
        <v>20210804</v>
      </c>
      <c r="B69" s="1">
        <v>0.97916666666666663</v>
      </c>
      <c r="C69">
        <v>-66584</v>
      </c>
      <c r="D69">
        <v>-192391</v>
      </c>
      <c r="E69">
        <v>570600</v>
      </c>
      <c r="F69">
        <v>-64611</v>
      </c>
      <c r="G69">
        <v>-33668</v>
      </c>
      <c r="H69">
        <v>59237</v>
      </c>
      <c r="I69">
        <v>-106308</v>
      </c>
      <c r="J69">
        <v>-16647</v>
      </c>
      <c r="K69">
        <v>-176654</v>
      </c>
      <c r="L69">
        <v>-39375</v>
      </c>
      <c r="M69">
        <v>7.61</v>
      </c>
      <c r="N69">
        <v>-66401</v>
      </c>
      <c r="O69">
        <v>18818150</v>
      </c>
      <c r="P69" s="2">
        <v>-0.35285615217223798</v>
      </c>
      <c r="Q69" s="4">
        <v>14.320612150000001</v>
      </c>
    </row>
    <row r="70" spans="1:17" x14ac:dyDescent="0.4">
      <c r="A70">
        <v>20210805</v>
      </c>
      <c r="B70" s="1">
        <v>0</v>
      </c>
      <c r="C70">
        <v>-23318</v>
      </c>
      <c r="D70">
        <v>-70777</v>
      </c>
      <c r="E70">
        <v>278659</v>
      </c>
      <c r="F70">
        <v>-69904</v>
      </c>
      <c r="G70">
        <v>-45643</v>
      </c>
      <c r="H70">
        <v>-62706</v>
      </c>
      <c r="I70">
        <v>-117155</v>
      </c>
      <c r="J70">
        <v>-3789</v>
      </c>
      <c r="K70">
        <v>-143879</v>
      </c>
      <c r="L70">
        <v>-42570</v>
      </c>
      <c r="M70">
        <v>8.7200000000000006</v>
      </c>
      <c r="N70">
        <v>-301082</v>
      </c>
      <c r="O70">
        <v>19364200</v>
      </c>
      <c r="P70" s="2">
        <v>-1.5548383098707925</v>
      </c>
      <c r="Q70" s="4">
        <v>16.885582400000001</v>
      </c>
    </row>
    <row r="71" spans="1:17" x14ac:dyDescent="0.4">
      <c r="A71">
        <v>20210805</v>
      </c>
      <c r="B71" s="1">
        <v>0.52083333333333337</v>
      </c>
      <c r="C71">
        <v>46059</v>
      </c>
      <c r="D71">
        <v>176050</v>
      </c>
      <c r="E71">
        <v>387840</v>
      </c>
      <c r="F71">
        <v>-190563</v>
      </c>
      <c r="G71">
        <v>30056</v>
      </c>
      <c r="H71">
        <v>-453127</v>
      </c>
      <c r="I71">
        <v>-100843</v>
      </c>
      <c r="J71">
        <v>-11135</v>
      </c>
      <c r="K71">
        <v>-28751</v>
      </c>
      <c r="L71">
        <v>11244</v>
      </c>
      <c r="M71">
        <v>9.67</v>
      </c>
      <c r="N71">
        <v>-133170</v>
      </c>
      <c r="O71">
        <v>27707700</v>
      </c>
      <c r="P71" s="2">
        <v>-0.4806245195378902</v>
      </c>
      <c r="Q71" s="4">
        <v>26.793345899999998</v>
      </c>
    </row>
    <row r="72" spans="1:17" x14ac:dyDescent="0.4">
      <c r="A72">
        <v>20210805</v>
      </c>
      <c r="B72" s="1">
        <v>0.6875</v>
      </c>
      <c r="C72">
        <v>-35694</v>
      </c>
      <c r="D72">
        <v>-38088</v>
      </c>
      <c r="E72">
        <v>-615853</v>
      </c>
      <c r="F72">
        <v>104344</v>
      </c>
      <c r="G72">
        <v>32978</v>
      </c>
      <c r="H72">
        <v>-68246</v>
      </c>
      <c r="I72">
        <v>504287</v>
      </c>
      <c r="J72">
        <v>-106508</v>
      </c>
      <c r="K72">
        <v>11146</v>
      </c>
      <c r="L72">
        <v>23653</v>
      </c>
      <c r="M72">
        <v>25</v>
      </c>
      <c r="N72">
        <v>-187981</v>
      </c>
      <c r="O72">
        <v>25273400</v>
      </c>
      <c r="P72" s="2">
        <v>-0.74378991350589951</v>
      </c>
      <c r="Q72" s="4">
        <v>63.183500000000002</v>
      </c>
    </row>
    <row r="73" spans="1:17" x14ac:dyDescent="0.4">
      <c r="A73">
        <v>20210805</v>
      </c>
      <c r="B73" s="1">
        <v>0.70833333333333337</v>
      </c>
      <c r="C73">
        <v>-33151</v>
      </c>
      <c r="D73">
        <v>-111314</v>
      </c>
      <c r="E73">
        <v>-517714</v>
      </c>
      <c r="F73">
        <v>324738</v>
      </c>
      <c r="G73">
        <v>61644</v>
      </c>
      <c r="H73">
        <v>-122797</v>
      </c>
      <c r="I73">
        <v>-40072</v>
      </c>
      <c r="J73">
        <v>-129082</v>
      </c>
      <c r="K73">
        <v>-132848</v>
      </c>
      <c r="L73">
        <v>20135</v>
      </c>
      <c r="M73">
        <v>20.010000000000002</v>
      </c>
      <c r="N73">
        <v>-680461</v>
      </c>
      <c r="O73">
        <v>24638500</v>
      </c>
      <c r="P73" s="2">
        <v>-2.761779329098768</v>
      </c>
      <c r="Q73" s="4">
        <v>49.301638500000003</v>
      </c>
    </row>
    <row r="74" spans="1:17" x14ac:dyDescent="0.4">
      <c r="A74">
        <v>20210805</v>
      </c>
      <c r="B74" s="1">
        <v>0.72916666666666663</v>
      </c>
      <c r="C74">
        <v>-29909</v>
      </c>
      <c r="D74">
        <v>-153638</v>
      </c>
      <c r="E74">
        <v>-236237</v>
      </c>
      <c r="F74">
        <v>314637</v>
      </c>
      <c r="G74">
        <v>75517</v>
      </c>
      <c r="H74">
        <v>-256951</v>
      </c>
      <c r="I74">
        <v>-103537</v>
      </c>
      <c r="J74">
        <v>-160732</v>
      </c>
      <c r="K74">
        <v>-309714</v>
      </c>
      <c r="L74">
        <v>19696</v>
      </c>
      <c r="M74">
        <v>20.81</v>
      </c>
      <c r="N74">
        <v>-840868</v>
      </c>
      <c r="O74">
        <v>24009400</v>
      </c>
      <c r="P74" s="2">
        <v>-3.5022449540596599</v>
      </c>
      <c r="Q74" s="4">
        <v>49.963561399999996</v>
      </c>
    </row>
    <row r="75" spans="1:17" x14ac:dyDescent="0.4">
      <c r="A75">
        <v>20210805</v>
      </c>
      <c r="B75" s="1">
        <v>0.75</v>
      </c>
      <c r="C75">
        <v>-67981</v>
      </c>
      <c r="D75">
        <v>-215613</v>
      </c>
      <c r="E75">
        <v>-196833</v>
      </c>
      <c r="F75">
        <v>236955</v>
      </c>
      <c r="G75">
        <v>79513</v>
      </c>
      <c r="H75">
        <v>-222447</v>
      </c>
      <c r="I75">
        <v>-64844</v>
      </c>
      <c r="J75">
        <v>-138428</v>
      </c>
      <c r="K75">
        <v>-280740</v>
      </c>
      <c r="L75">
        <v>17734</v>
      </c>
      <c r="M75">
        <v>30</v>
      </c>
      <c r="N75">
        <v>-852684</v>
      </c>
      <c r="O75">
        <v>23390400</v>
      </c>
      <c r="P75" s="2">
        <v>-3.6454442848348041</v>
      </c>
      <c r="Q75" s="4">
        <v>70.171199999999999</v>
      </c>
    </row>
    <row r="76" spans="1:17" x14ac:dyDescent="0.4">
      <c r="A76">
        <v>20210805</v>
      </c>
      <c r="B76" s="1">
        <v>0.77083333333333337</v>
      </c>
      <c r="C76">
        <v>-75492</v>
      </c>
      <c r="D76">
        <v>-216682</v>
      </c>
      <c r="E76">
        <v>-169712</v>
      </c>
      <c r="F76">
        <v>174374</v>
      </c>
      <c r="G76">
        <v>71143</v>
      </c>
      <c r="H76">
        <v>-242733</v>
      </c>
      <c r="I76">
        <v>-127095</v>
      </c>
      <c r="J76">
        <v>-90043</v>
      </c>
      <c r="K76">
        <v>-177221</v>
      </c>
      <c r="L76">
        <v>11911</v>
      </c>
      <c r="M76">
        <v>30</v>
      </c>
      <c r="N76">
        <v>-841550</v>
      </c>
      <c r="O76">
        <v>23450600</v>
      </c>
      <c r="P76" s="2">
        <v>-3.5886075409584404</v>
      </c>
      <c r="Q76" s="4">
        <v>70.351799999999997</v>
      </c>
    </row>
    <row r="77" spans="1:17" x14ac:dyDescent="0.4">
      <c r="A77">
        <v>20210805</v>
      </c>
      <c r="B77" s="1">
        <v>0.79166666666666663</v>
      </c>
      <c r="C77">
        <v>-47428</v>
      </c>
      <c r="D77">
        <v>-164380</v>
      </c>
      <c r="E77">
        <v>-176285</v>
      </c>
      <c r="F77">
        <v>121394</v>
      </c>
      <c r="G77">
        <v>80568</v>
      </c>
      <c r="H77">
        <v>69830</v>
      </c>
      <c r="I77">
        <v>-170952</v>
      </c>
      <c r="J77">
        <v>-55826</v>
      </c>
      <c r="K77">
        <v>-32156</v>
      </c>
      <c r="L77">
        <v>16665</v>
      </c>
      <c r="M77">
        <v>20.81</v>
      </c>
      <c r="N77">
        <v>-358570</v>
      </c>
      <c r="O77">
        <v>23478900</v>
      </c>
      <c r="P77" s="2">
        <v>-1.5272010187870813</v>
      </c>
      <c r="Q77" s="4">
        <v>48.859590899999993</v>
      </c>
    </row>
    <row r="78" spans="1:17" x14ac:dyDescent="0.4">
      <c r="A78">
        <v>20210805</v>
      </c>
      <c r="B78" s="1">
        <v>0.8125</v>
      </c>
      <c r="C78">
        <v>-19610</v>
      </c>
      <c r="D78">
        <v>-76447</v>
      </c>
      <c r="E78">
        <v>-191646</v>
      </c>
      <c r="F78">
        <v>119234</v>
      </c>
      <c r="G78">
        <v>80321</v>
      </c>
      <c r="H78">
        <v>-9838</v>
      </c>
      <c r="I78">
        <v>-134655</v>
      </c>
      <c r="J78">
        <v>-59332</v>
      </c>
      <c r="K78">
        <v>-19041</v>
      </c>
      <c r="L78">
        <v>19426</v>
      </c>
      <c r="M78">
        <v>16</v>
      </c>
      <c r="N78">
        <v>-291588</v>
      </c>
      <c r="O78">
        <v>23131750</v>
      </c>
      <c r="P78" s="2">
        <v>-1.2605531358414301</v>
      </c>
      <c r="Q78" s="4">
        <v>37.010800000000003</v>
      </c>
    </row>
    <row r="79" spans="1:17" x14ac:dyDescent="0.4">
      <c r="A79">
        <v>20210805</v>
      </c>
      <c r="B79" s="1">
        <v>0.83333333333333337</v>
      </c>
      <c r="C79">
        <v>-35453</v>
      </c>
      <c r="D79">
        <v>16619</v>
      </c>
      <c r="E79">
        <v>-282514</v>
      </c>
      <c r="F79">
        <v>222064</v>
      </c>
      <c r="G79">
        <v>54624</v>
      </c>
      <c r="H79">
        <v>-61806</v>
      </c>
      <c r="I79">
        <v>-120626</v>
      </c>
      <c r="J79">
        <v>-26541</v>
      </c>
      <c r="K79">
        <v>39657</v>
      </c>
      <c r="L79">
        <v>13361</v>
      </c>
      <c r="M79">
        <v>15.01</v>
      </c>
      <c r="N79">
        <v>-180615</v>
      </c>
      <c r="O79">
        <v>22484100</v>
      </c>
      <c r="P79" s="2">
        <v>-0.80330099937289012</v>
      </c>
      <c r="Q79" s="4">
        <v>33.748634099999997</v>
      </c>
    </row>
    <row r="80" spans="1:17" x14ac:dyDescent="0.4">
      <c r="A80">
        <v>20210805</v>
      </c>
      <c r="B80" s="1">
        <v>0.85416666666666663</v>
      </c>
      <c r="C80">
        <v>-87567</v>
      </c>
      <c r="D80">
        <v>-46818</v>
      </c>
      <c r="E80">
        <v>-63071</v>
      </c>
      <c r="F80">
        <v>120378</v>
      </c>
      <c r="G80">
        <v>38213</v>
      </c>
      <c r="H80">
        <v>16237</v>
      </c>
      <c r="I80">
        <v>-166526</v>
      </c>
      <c r="J80">
        <v>-60724</v>
      </c>
      <c r="K80">
        <v>73099</v>
      </c>
      <c r="L80">
        <v>24472</v>
      </c>
      <c r="M80">
        <v>12.71</v>
      </c>
      <c r="N80">
        <v>-152307</v>
      </c>
      <c r="O80">
        <v>22253650</v>
      </c>
      <c r="P80" s="2">
        <v>-0.68441356811129861</v>
      </c>
      <c r="Q80" s="4">
        <v>28.284389149999999</v>
      </c>
    </row>
    <row r="81" spans="1:17" x14ac:dyDescent="0.4">
      <c r="A81">
        <v>20210805</v>
      </c>
      <c r="B81" s="1">
        <v>0.95833333333333337</v>
      </c>
      <c r="C81">
        <v>-84334</v>
      </c>
      <c r="D81">
        <v>-11280</v>
      </c>
      <c r="E81">
        <v>-129521</v>
      </c>
      <c r="F81">
        <v>67541</v>
      </c>
      <c r="G81">
        <v>-14842</v>
      </c>
      <c r="H81">
        <v>152994</v>
      </c>
      <c r="I81">
        <v>-64227</v>
      </c>
      <c r="J81">
        <v>-29378</v>
      </c>
      <c r="K81">
        <v>4336</v>
      </c>
      <c r="L81">
        <v>16739</v>
      </c>
      <c r="M81">
        <v>8.89</v>
      </c>
      <c r="N81">
        <v>-91972</v>
      </c>
      <c r="O81">
        <v>19926950</v>
      </c>
      <c r="P81" s="2">
        <v>-0.46154579601996293</v>
      </c>
      <c r="Q81" s="4">
        <v>17.715058549999998</v>
      </c>
    </row>
    <row r="82" spans="1:17" x14ac:dyDescent="0.4">
      <c r="A82">
        <v>20210806</v>
      </c>
      <c r="B82" s="1">
        <v>0</v>
      </c>
      <c r="C82">
        <v>-92802</v>
      </c>
      <c r="D82">
        <v>42514</v>
      </c>
      <c r="E82">
        <v>75896</v>
      </c>
      <c r="F82">
        <v>-13087</v>
      </c>
      <c r="G82">
        <v>1217</v>
      </c>
      <c r="H82">
        <v>-64598</v>
      </c>
      <c r="I82">
        <v>-36905</v>
      </c>
      <c r="J82">
        <v>37164</v>
      </c>
      <c r="K82">
        <v>-47050</v>
      </c>
      <c r="L82">
        <v>10172</v>
      </c>
      <c r="M82">
        <v>8.86</v>
      </c>
      <c r="N82">
        <v>-87479</v>
      </c>
      <c r="O82">
        <v>19467200</v>
      </c>
      <c r="P82" s="2">
        <v>-0.44936611325717102</v>
      </c>
      <c r="Q82" s="4">
        <v>17.247939200000001</v>
      </c>
    </row>
    <row r="83" spans="1:17" x14ac:dyDescent="0.4">
      <c r="A83">
        <v>20210806</v>
      </c>
      <c r="B83" s="1">
        <v>4.1666666666666664E-2</v>
      </c>
      <c r="C83">
        <v>-47430</v>
      </c>
      <c r="D83">
        <v>-66358</v>
      </c>
      <c r="E83">
        <v>128952</v>
      </c>
      <c r="F83">
        <v>48124</v>
      </c>
      <c r="G83">
        <v>18298</v>
      </c>
      <c r="H83">
        <v>-13162</v>
      </c>
      <c r="I83">
        <v>-94419</v>
      </c>
      <c r="J83">
        <v>27643</v>
      </c>
      <c r="K83">
        <v>-22757</v>
      </c>
      <c r="L83">
        <v>10506</v>
      </c>
      <c r="M83">
        <v>7.87</v>
      </c>
      <c r="N83">
        <v>-10603</v>
      </c>
      <c r="O83">
        <v>20080300</v>
      </c>
      <c r="P83" s="2">
        <v>-5.2802995971175729E-2</v>
      </c>
      <c r="Q83" s="4">
        <v>15.803196099999999</v>
      </c>
    </row>
    <row r="84" spans="1:17" x14ac:dyDescent="0.4">
      <c r="A84">
        <v>20210806</v>
      </c>
      <c r="B84" s="1">
        <v>6.25E-2</v>
      </c>
      <c r="C84">
        <v>-77622</v>
      </c>
      <c r="D84">
        <v>-76572</v>
      </c>
      <c r="E84">
        <v>146550</v>
      </c>
      <c r="F84">
        <v>53970</v>
      </c>
      <c r="G84">
        <v>-10335</v>
      </c>
      <c r="H84">
        <v>-51807</v>
      </c>
      <c r="I84">
        <v>-38030</v>
      </c>
      <c r="J84">
        <v>27032</v>
      </c>
      <c r="K84">
        <v>-29508</v>
      </c>
      <c r="L84">
        <v>15146</v>
      </c>
      <c r="M84">
        <v>7.81</v>
      </c>
      <c r="N84">
        <v>-41176</v>
      </c>
      <c r="O84">
        <v>19986950</v>
      </c>
      <c r="P84" s="2">
        <v>-0.20601442441192877</v>
      </c>
      <c r="Q84" s="4">
        <v>15.60980795</v>
      </c>
    </row>
    <row r="85" spans="1:17" x14ac:dyDescent="0.4">
      <c r="A85">
        <v>20210806</v>
      </c>
      <c r="B85" s="1">
        <v>0.6875</v>
      </c>
      <c r="C85">
        <v>-101126</v>
      </c>
      <c r="D85">
        <v>11505</v>
      </c>
      <c r="E85">
        <v>-507239</v>
      </c>
      <c r="F85">
        <v>52377</v>
      </c>
      <c r="G85">
        <v>29171</v>
      </c>
      <c r="H85">
        <v>143047</v>
      </c>
      <c r="I85">
        <v>108513</v>
      </c>
      <c r="J85">
        <v>-83531</v>
      </c>
      <c r="K85">
        <v>249626</v>
      </c>
      <c r="L85">
        <v>2163</v>
      </c>
      <c r="M85">
        <v>15.46</v>
      </c>
      <c r="N85">
        <v>-95494</v>
      </c>
      <c r="O85">
        <v>25315750</v>
      </c>
      <c r="P85" s="2">
        <v>-0.37721181477933696</v>
      </c>
      <c r="Q85" s="4">
        <v>39.138149499999997</v>
      </c>
    </row>
    <row r="86" spans="1:17" x14ac:dyDescent="0.4">
      <c r="A86">
        <v>20210806</v>
      </c>
      <c r="B86" s="1">
        <v>0.85416666666666663</v>
      </c>
      <c r="C86">
        <v>-14111</v>
      </c>
      <c r="D86">
        <v>40934</v>
      </c>
      <c r="E86">
        <v>-453649</v>
      </c>
      <c r="F86">
        <v>113407</v>
      </c>
      <c r="G86">
        <v>-28519</v>
      </c>
      <c r="H86">
        <v>220354</v>
      </c>
      <c r="I86">
        <v>-38614</v>
      </c>
      <c r="J86">
        <v>17190</v>
      </c>
      <c r="K86">
        <v>81243</v>
      </c>
      <c r="L86">
        <v>8974</v>
      </c>
      <c r="M86">
        <v>10.220000000000001</v>
      </c>
      <c r="N86">
        <v>-52791</v>
      </c>
      <c r="O86">
        <v>22241950</v>
      </c>
      <c r="P86" s="2">
        <v>-0.23734879360847408</v>
      </c>
      <c r="Q86" s="4">
        <v>22.7312729</v>
      </c>
    </row>
    <row r="87" spans="1:17" x14ac:dyDescent="0.4">
      <c r="A87">
        <v>20210806</v>
      </c>
      <c r="B87" s="1">
        <v>0.89583333333333337</v>
      </c>
      <c r="C87">
        <v>57719</v>
      </c>
      <c r="D87">
        <v>60769</v>
      </c>
      <c r="E87">
        <v>-348709</v>
      </c>
      <c r="F87">
        <v>25321</v>
      </c>
      <c r="G87">
        <v>-35719</v>
      </c>
      <c r="H87">
        <v>199863</v>
      </c>
      <c r="I87">
        <v>-59055</v>
      </c>
      <c r="J87">
        <v>15977</v>
      </c>
      <c r="K87">
        <v>42851</v>
      </c>
      <c r="L87">
        <v>6518</v>
      </c>
      <c r="M87">
        <v>9.65</v>
      </c>
      <c r="N87">
        <v>-34465</v>
      </c>
      <c r="O87">
        <v>21706150</v>
      </c>
      <c r="P87" s="2">
        <v>-0.15877988496347809</v>
      </c>
      <c r="Q87" s="4">
        <v>20.946434750000002</v>
      </c>
    </row>
    <row r="88" spans="1:17" x14ac:dyDescent="0.4">
      <c r="A88">
        <v>20210806</v>
      </c>
      <c r="B88" s="1">
        <v>0.91666666666666663</v>
      </c>
      <c r="C88">
        <v>63569</v>
      </c>
      <c r="D88">
        <v>101277</v>
      </c>
      <c r="E88">
        <v>-309760</v>
      </c>
      <c r="F88">
        <v>81355</v>
      </c>
      <c r="G88">
        <v>-59045</v>
      </c>
      <c r="H88">
        <v>88463</v>
      </c>
      <c r="I88">
        <v>-30888</v>
      </c>
      <c r="J88">
        <v>14110</v>
      </c>
      <c r="K88">
        <v>50291</v>
      </c>
      <c r="L88">
        <v>-3251</v>
      </c>
      <c r="M88">
        <v>9.61</v>
      </c>
      <c r="N88">
        <v>-3879</v>
      </c>
      <c r="O88">
        <v>20804850</v>
      </c>
      <c r="P88" s="2">
        <v>-1.8644691021564682E-2</v>
      </c>
      <c r="Q88" s="4">
        <v>19.993460850000002</v>
      </c>
    </row>
    <row r="89" spans="1:17" x14ac:dyDescent="0.4">
      <c r="A89">
        <v>20210806</v>
      </c>
      <c r="B89" s="1">
        <v>0.9375</v>
      </c>
      <c r="C89">
        <v>12592</v>
      </c>
      <c r="D89">
        <v>52131</v>
      </c>
      <c r="E89">
        <v>-328693</v>
      </c>
      <c r="F89">
        <v>27728</v>
      </c>
      <c r="G89">
        <v>-60834</v>
      </c>
      <c r="H89">
        <v>66176</v>
      </c>
      <c r="I89">
        <v>-31292</v>
      </c>
      <c r="J89">
        <v>-281</v>
      </c>
      <c r="K89">
        <v>32278</v>
      </c>
      <c r="L89">
        <v>-992</v>
      </c>
      <c r="M89">
        <v>9.4600000000000009</v>
      </c>
      <c r="N89">
        <v>-231187</v>
      </c>
      <c r="O89">
        <v>20767550</v>
      </c>
      <c r="P89" s="2">
        <v>-1.1132126803595033</v>
      </c>
      <c r="Q89" s="4">
        <v>19.646102300000003</v>
      </c>
    </row>
    <row r="90" spans="1:17" x14ac:dyDescent="0.4">
      <c r="A90">
        <v>20210806</v>
      </c>
      <c r="B90" s="1">
        <v>0.95833333333333337</v>
      </c>
      <c r="C90">
        <v>45679</v>
      </c>
      <c r="D90">
        <v>66674</v>
      </c>
      <c r="E90">
        <v>-445080</v>
      </c>
      <c r="F90">
        <v>13417</v>
      </c>
      <c r="G90">
        <v>-92805</v>
      </c>
      <c r="H90">
        <v>38845</v>
      </c>
      <c r="I90">
        <v>2672</v>
      </c>
      <c r="J90">
        <v>-2998</v>
      </c>
      <c r="K90">
        <v>3133</v>
      </c>
      <c r="L90">
        <v>-1400</v>
      </c>
      <c r="M90">
        <v>8.86</v>
      </c>
      <c r="N90">
        <v>-371863</v>
      </c>
      <c r="O90">
        <v>19983850</v>
      </c>
      <c r="P90" s="2">
        <v>-1.8608176102202529</v>
      </c>
      <c r="Q90" s="4">
        <v>17.705691099999999</v>
      </c>
    </row>
    <row r="91" spans="1:17" x14ac:dyDescent="0.4">
      <c r="A91">
        <v>20210806</v>
      </c>
      <c r="B91" s="1">
        <v>0.97916666666666663</v>
      </c>
      <c r="C91">
        <v>56340</v>
      </c>
      <c r="D91">
        <v>102583</v>
      </c>
      <c r="E91">
        <v>-183603</v>
      </c>
      <c r="F91">
        <v>41049</v>
      </c>
      <c r="G91">
        <v>-62845</v>
      </c>
      <c r="H91">
        <v>21065</v>
      </c>
      <c r="I91">
        <v>-35454</v>
      </c>
      <c r="J91">
        <v>-6455</v>
      </c>
      <c r="K91">
        <v>27554</v>
      </c>
      <c r="L91">
        <v>4469</v>
      </c>
      <c r="M91">
        <v>8.66</v>
      </c>
      <c r="N91">
        <v>-35297</v>
      </c>
      <c r="O91">
        <v>19589100</v>
      </c>
      <c r="P91" s="2">
        <v>-0.1801869406966119</v>
      </c>
      <c r="Q91" s="4">
        <v>16.9641606</v>
      </c>
    </row>
    <row r="92" spans="1:17" x14ac:dyDescent="0.4">
      <c r="A92">
        <v>20210807</v>
      </c>
      <c r="B92" s="1">
        <v>0</v>
      </c>
      <c r="C92">
        <v>31636</v>
      </c>
      <c r="D92">
        <v>-45990</v>
      </c>
      <c r="E92">
        <v>-437153</v>
      </c>
      <c r="F92">
        <v>-77310</v>
      </c>
      <c r="G92">
        <v>-29777</v>
      </c>
      <c r="H92">
        <v>90936</v>
      </c>
      <c r="I92">
        <v>34817</v>
      </c>
      <c r="J92">
        <v>-756</v>
      </c>
      <c r="K92">
        <v>15290</v>
      </c>
      <c r="L92">
        <v>3534</v>
      </c>
      <c r="M92">
        <v>8.86</v>
      </c>
      <c r="N92">
        <v>-414773</v>
      </c>
      <c r="O92">
        <v>17648550</v>
      </c>
      <c r="P92" s="2">
        <v>-2.3501817429760519</v>
      </c>
      <c r="Q92" s="4">
        <v>15.636615300000001</v>
      </c>
    </row>
    <row r="93" spans="1:17" x14ac:dyDescent="0.4">
      <c r="A93">
        <v>20210807</v>
      </c>
      <c r="B93" s="1">
        <v>2.0833333333333332E-2</v>
      </c>
      <c r="C93">
        <v>23984</v>
      </c>
      <c r="D93">
        <v>-13672</v>
      </c>
      <c r="E93">
        <v>-298124</v>
      </c>
      <c r="F93">
        <v>-35657</v>
      </c>
      <c r="G93">
        <v>-35424</v>
      </c>
      <c r="H93">
        <v>69225</v>
      </c>
      <c r="I93">
        <v>42639</v>
      </c>
      <c r="J93">
        <v>-4439</v>
      </c>
      <c r="K93">
        <v>-5821</v>
      </c>
      <c r="L93">
        <v>4348</v>
      </c>
      <c r="M93">
        <v>9.06</v>
      </c>
      <c r="N93">
        <v>-252941</v>
      </c>
      <c r="O93">
        <v>18288450</v>
      </c>
      <c r="P93" s="2">
        <v>-1.3830641743832857</v>
      </c>
      <c r="Q93" s="4">
        <v>16.5693357</v>
      </c>
    </row>
    <row r="94" spans="1:17" x14ac:dyDescent="0.4">
      <c r="A94">
        <v>20210807</v>
      </c>
      <c r="B94" s="1">
        <v>4.1666666666666664E-2</v>
      </c>
      <c r="C94">
        <v>54922</v>
      </c>
      <c r="D94">
        <v>-36826</v>
      </c>
      <c r="E94">
        <v>-442033</v>
      </c>
      <c r="F94">
        <v>-105155</v>
      </c>
      <c r="G94">
        <v>-32400</v>
      </c>
      <c r="H94">
        <v>7260</v>
      </c>
      <c r="I94">
        <v>32690</v>
      </c>
      <c r="J94">
        <v>28971</v>
      </c>
      <c r="K94">
        <v>-6150</v>
      </c>
      <c r="L94">
        <v>-2894</v>
      </c>
      <c r="M94">
        <v>8.86</v>
      </c>
      <c r="N94">
        <v>-501615</v>
      </c>
      <c r="O94">
        <v>18651050</v>
      </c>
      <c r="P94" s="2">
        <v>-2.6894732468145226</v>
      </c>
      <c r="Q94" s="4">
        <v>16.524830300000001</v>
      </c>
    </row>
    <row r="95" spans="1:17" x14ac:dyDescent="0.4">
      <c r="A95">
        <v>20210807</v>
      </c>
      <c r="B95" s="1">
        <v>6.25E-2</v>
      </c>
      <c r="C95">
        <v>62669</v>
      </c>
      <c r="D95">
        <v>-51465</v>
      </c>
      <c r="E95">
        <v>-296417</v>
      </c>
      <c r="F95">
        <v>-27873</v>
      </c>
      <c r="G95">
        <v>-25985</v>
      </c>
      <c r="H95">
        <v>-38842</v>
      </c>
      <c r="I95">
        <v>47127</v>
      </c>
      <c r="J95">
        <v>30074</v>
      </c>
      <c r="K95">
        <v>40962</v>
      </c>
      <c r="L95">
        <v>194</v>
      </c>
      <c r="M95">
        <v>8.11</v>
      </c>
      <c r="N95">
        <v>-259556</v>
      </c>
      <c r="O95">
        <v>18668450</v>
      </c>
      <c r="P95" s="2">
        <v>-1.3903457437548377</v>
      </c>
      <c r="Q95" s="4">
        <v>15.140112950000001</v>
      </c>
    </row>
    <row r="96" spans="1:17" x14ac:dyDescent="0.4">
      <c r="A96">
        <v>20210807</v>
      </c>
      <c r="B96" s="1">
        <v>8.3333333333333329E-2</v>
      </c>
      <c r="C96">
        <v>45717</v>
      </c>
      <c r="D96">
        <v>-5648</v>
      </c>
      <c r="E96">
        <v>-382188</v>
      </c>
      <c r="F96">
        <v>-10501</v>
      </c>
      <c r="G96">
        <v>-29677</v>
      </c>
      <c r="H96">
        <v>-65271</v>
      </c>
      <c r="I96">
        <v>91375</v>
      </c>
      <c r="J96">
        <v>22697</v>
      </c>
      <c r="K96">
        <v>42356</v>
      </c>
      <c r="L96">
        <v>8761</v>
      </c>
      <c r="M96">
        <v>7.89</v>
      </c>
      <c r="N96">
        <v>-282379</v>
      </c>
      <c r="O96">
        <v>18686600</v>
      </c>
      <c r="P96" s="2">
        <v>-1.5111309708561216</v>
      </c>
      <c r="Q96" s="4">
        <v>14.743727399999999</v>
      </c>
    </row>
    <row r="97" spans="1:17" x14ac:dyDescent="0.4">
      <c r="A97">
        <v>20210807</v>
      </c>
      <c r="B97" s="1">
        <v>0.10416666666666667</v>
      </c>
      <c r="C97">
        <v>72988</v>
      </c>
      <c r="D97">
        <v>9331</v>
      </c>
      <c r="E97">
        <v>-295633</v>
      </c>
      <c r="F97">
        <v>-58004</v>
      </c>
      <c r="G97">
        <v>-31641</v>
      </c>
      <c r="H97">
        <v>-124862</v>
      </c>
      <c r="I97">
        <v>77484</v>
      </c>
      <c r="J97">
        <v>26952</v>
      </c>
      <c r="K97">
        <v>41846</v>
      </c>
      <c r="L97">
        <v>-1897</v>
      </c>
      <c r="M97">
        <v>7.89</v>
      </c>
      <c r="N97">
        <v>-283436</v>
      </c>
      <c r="O97">
        <v>18683550</v>
      </c>
      <c r="P97" s="2">
        <v>-1.517035038844331</v>
      </c>
      <c r="Q97" s="4">
        <v>14.74132095</v>
      </c>
    </row>
    <row r="98" spans="1:17" x14ac:dyDescent="0.4">
      <c r="A98">
        <v>20210807</v>
      </c>
      <c r="B98" s="1">
        <v>0.125</v>
      </c>
      <c r="C98">
        <v>99801</v>
      </c>
      <c r="D98">
        <v>-7181</v>
      </c>
      <c r="E98">
        <v>-375943</v>
      </c>
      <c r="F98">
        <v>-126801</v>
      </c>
      <c r="G98">
        <v>-13819</v>
      </c>
      <c r="H98">
        <v>28287</v>
      </c>
      <c r="I98">
        <v>78541</v>
      </c>
      <c r="J98">
        <v>31271</v>
      </c>
      <c r="K98">
        <v>57537</v>
      </c>
      <c r="L98">
        <v>646</v>
      </c>
      <c r="M98">
        <v>8.11</v>
      </c>
      <c r="N98">
        <v>-227661</v>
      </c>
      <c r="O98">
        <v>18667800</v>
      </c>
      <c r="P98" s="2">
        <v>-1.2195384565937069</v>
      </c>
      <c r="Q98" s="4">
        <v>15.139585800000001</v>
      </c>
    </row>
    <row r="99" spans="1:17" x14ac:dyDescent="0.4">
      <c r="A99">
        <v>20210807</v>
      </c>
      <c r="B99" s="1">
        <v>0.14583333333333334</v>
      </c>
      <c r="C99">
        <v>31324</v>
      </c>
      <c r="D99">
        <v>17095</v>
      </c>
      <c r="E99">
        <v>-311444</v>
      </c>
      <c r="F99">
        <v>-65746</v>
      </c>
      <c r="G99">
        <v>4136</v>
      </c>
      <c r="H99">
        <v>-14064</v>
      </c>
      <c r="I99">
        <v>50188</v>
      </c>
      <c r="J99">
        <v>32301</v>
      </c>
      <c r="K99">
        <v>56508</v>
      </c>
      <c r="L99">
        <v>-1463</v>
      </c>
      <c r="M99">
        <v>7.9</v>
      </c>
      <c r="N99">
        <v>-201165</v>
      </c>
      <c r="O99">
        <v>18784800</v>
      </c>
      <c r="P99" s="2">
        <v>-1.0708924236616839</v>
      </c>
      <c r="Q99" s="4">
        <v>14.839992000000001</v>
      </c>
    </row>
    <row r="100" spans="1:17" x14ac:dyDescent="0.4">
      <c r="A100">
        <v>20210807</v>
      </c>
      <c r="B100" s="1">
        <v>0.16666666666666666</v>
      </c>
      <c r="C100">
        <v>28160</v>
      </c>
      <c r="D100">
        <v>11949</v>
      </c>
      <c r="E100">
        <v>-282957</v>
      </c>
      <c r="F100">
        <v>-41188</v>
      </c>
      <c r="G100">
        <v>-11941</v>
      </c>
      <c r="H100">
        <v>1112</v>
      </c>
      <c r="I100">
        <v>121752</v>
      </c>
      <c r="J100">
        <v>47052</v>
      </c>
      <c r="K100">
        <v>61136</v>
      </c>
      <c r="L100">
        <v>-4101</v>
      </c>
      <c r="M100">
        <v>8.66</v>
      </c>
      <c r="N100">
        <v>-69026</v>
      </c>
      <c r="O100">
        <v>18928500</v>
      </c>
      <c r="P100" s="2">
        <v>-0.36466703647938292</v>
      </c>
      <c r="Q100" s="4">
        <v>16.392081000000001</v>
      </c>
    </row>
    <row r="101" spans="1:17" x14ac:dyDescent="0.4">
      <c r="A101">
        <v>20210807</v>
      </c>
      <c r="B101" s="1">
        <v>0.1875</v>
      </c>
      <c r="C101">
        <v>112580</v>
      </c>
      <c r="D101">
        <v>33806</v>
      </c>
      <c r="E101">
        <v>-320800</v>
      </c>
      <c r="F101">
        <v>25561</v>
      </c>
      <c r="G101">
        <v>-11810</v>
      </c>
      <c r="H101">
        <v>-38753</v>
      </c>
      <c r="I101">
        <v>27288</v>
      </c>
      <c r="J101">
        <v>35571</v>
      </c>
      <c r="K101">
        <v>42693</v>
      </c>
      <c r="L101">
        <v>-8847</v>
      </c>
      <c r="M101">
        <v>8.4</v>
      </c>
      <c r="N101">
        <v>-102711</v>
      </c>
      <c r="O101">
        <v>19008200</v>
      </c>
      <c r="P101" s="2">
        <v>-0.5403510064077609</v>
      </c>
      <c r="Q101" s="4">
        <v>15.966888000000001</v>
      </c>
    </row>
    <row r="102" spans="1:17" x14ac:dyDescent="0.4">
      <c r="A102">
        <v>20210807</v>
      </c>
      <c r="B102" s="1">
        <v>0.20833333333333334</v>
      </c>
      <c r="C102">
        <v>22347</v>
      </c>
      <c r="D102">
        <v>91657</v>
      </c>
      <c r="E102">
        <v>-299450</v>
      </c>
      <c r="F102">
        <v>-42685</v>
      </c>
      <c r="G102">
        <v>-20124</v>
      </c>
      <c r="H102">
        <v>-25554</v>
      </c>
      <c r="I102">
        <v>-21029</v>
      </c>
      <c r="J102">
        <v>22206</v>
      </c>
      <c r="K102">
        <v>43355</v>
      </c>
      <c r="L102">
        <v>-6361</v>
      </c>
      <c r="M102">
        <v>7.89</v>
      </c>
      <c r="N102">
        <v>-235638</v>
      </c>
      <c r="O102">
        <v>18948400</v>
      </c>
      <c r="P102" s="2">
        <v>-1.2435772941250975</v>
      </c>
      <c r="Q102" s="4">
        <v>14.950287599999999</v>
      </c>
    </row>
    <row r="103" spans="1:17" x14ac:dyDescent="0.4">
      <c r="A103">
        <v>20210807</v>
      </c>
      <c r="B103" s="1">
        <v>0.22916666666666666</v>
      </c>
      <c r="C103">
        <v>8544</v>
      </c>
      <c r="D103">
        <v>116963</v>
      </c>
      <c r="E103">
        <v>-287450</v>
      </c>
      <c r="F103">
        <v>18939</v>
      </c>
      <c r="G103">
        <v>3628</v>
      </c>
      <c r="H103">
        <v>75607</v>
      </c>
      <c r="I103">
        <v>15359</v>
      </c>
      <c r="J103">
        <v>10744</v>
      </c>
      <c r="K103">
        <v>-4713</v>
      </c>
      <c r="L103">
        <v>-5107</v>
      </c>
      <c r="M103">
        <v>7.89</v>
      </c>
      <c r="N103">
        <v>-47486</v>
      </c>
      <c r="O103">
        <v>19029750</v>
      </c>
      <c r="P103" s="2">
        <v>-0.24953559558060406</v>
      </c>
      <c r="Q103" s="4">
        <v>15.014472749999999</v>
      </c>
    </row>
    <row r="104" spans="1:17" x14ac:dyDescent="0.4">
      <c r="A104">
        <v>20210807</v>
      </c>
      <c r="B104" s="1">
        <v>0.25</v>
      </c>
      <c r="C104">
        <v>-8291</v>
      </c>
      <c r="D104">
        <v>135480</v>
      </c>
      <c r="E104">
        <v>-160268</v>
      </c>
      <c r="F104">
        <v>-42599</v>
      </c>
      <c r="G104">
        <v>9969</v>
      </c>
      <c r="H104">
        <v>57496</v>
      </c>
      <c r="I104">
        <v>-12106</v>
      </c>
      <c r="J104">
        <v>49858</v>
      </c>
      <c r="K104">
        <v>-119930</v>
      </c>
      <c r="L104">
        <v>-2220</v>
      </c>
      <c r="M104">
        <v>7.75</v>
      </c>
      <c r="N104">
        <v>-92611</v>
      </c>
      <c r="O104">
        <v>19465250</v>
      </c>
      <c r="P104" s="2">
        <v>-0.47577606247029963</v>
      </c>
      <c r="Q104" s="4">
        <v>15.08556875</v>
      </c>
    </row>
    <row r="105" spans="1:17" x14ac:dyDescent="0.4">
      <c r="A105">
        <v>20210807</v>
      </c>
      <c r="B105" s="1">
        <v>0.27083333333333331</v>
      </c>
      <c r="C105">
        <v>-52836</v>
      </c>
      <c r="D105">
        <v>143325</v>
      </c>
      <c r="E105">
        <v>-87830</v>
      </c>
      <c r="F105">
        <v>81574</v>
      </c>
      <c r="G105">
        <v>7382</v>
      </c>
      <c r="H105">
        <v>-54237</v>
      </c>
      <c r="I105">
        <v>-126630</v>
      </c>
      <c r="J105">
        <v>52703</v>
      </c>
      <c r="K105">
        <v>-201431</v>
      </c>
      <c r="L105">
        <v>-8280</v>
      </c>
      <c r="M105">
        <v>7.75</v>
      </c>
      <c r="N105">
        <v>-246260</v>
      </c>
      <c r="O105">
        <v>19865800</v>
      </c>
      <c r="P105" s="2">
        <v>-1.2396178356773953</v>
      </c>
      <c r="Q105" s="4">
        <v>15.395994999999999</v>
      </c>
    </row>
    <row r="106" spans="1:17" x14ac:dyDescent="0.4">
      <c r="A106">
        <v>20210807</v>
      </c>
      <c r="B106" s="1">
        <v>0.75</v>
      </c>
      <c r="C106">
        <v>121113</v>
      </c>
      <c r="D106">
        <v>55760</v>
      </c>
      <c r="E106">
        <v>77560</v>
      </c>
      <c r="F106">
        <v>-116872</v>
      </c>
      <c r="G106">
        <v>21824</v>
      </c>
      <c r="H106">
        <v>-206563</v>
      </c>
      <c r="I106">
        <v>85885</v>
      </c>
      <c r="J106">
        <v>-124716</v>
      </c>
      <c r="K106">
        <v>-43455</v>
      </c>
      <c r="L106">
        <v>-493</v>
      </c>
      <c r="M106">
        <v>10.28</v>
      </c>
      <c r="N106">
        <v>-129957</v>
      </c>
      <c r="O106">
        <v>21534900</v>
      </c>
      <c r="P106" s="2">
        <v>-0.60347157404956608</v>
      </c>
      <c r="Q106" s="4">
        <v>22.137877199999998</v>
      </c>
    </row>
    <row r="107" spans="1:17" x14ac:dyDescent="0.4">
      <c r="A107">
        <v>20210807</v>
      </c>
      <c r="B107" s="1">
        <v>0.77083333333333337</v>
      </c>
      <c r="C107">
        <v>92585</v>
      </c>
      <c r="D107">
        <v>-17807</v>
      </c>
      <c r="E107">
        <v>-182750</v>
      </c>
      <c r="F107">
        <v>-225325</v>
      </c>
      <c r="G107">
        <v>-4467</v>
      </c>
      <c r="H107">
        <v>-255740</v>
      </c>
      <c r="I107">
        <v>-15958</v>
      </c>
      <c r="J107">
        <v>-94018</v>
      </c>
      <c r="K107">
        <v>177698</v>
      </c>
      <c r="L107">
        <v>-8424</v>
      </c>
      <c r="M107">
        <v>10.28</v>
      </c>
      <c r="N107">
        <v>-534206</v>
      </c>
      <c r="O107">
        <v>21419800</v>
      </c>
      <c r="P107" s="2">
        <v>-2.4939822033819175</v>
      </c>
      <c r="Q107" s="4">
        <v>22.019554400000001</v>
      </c>
    </row>
    <row r="108" spans="1:17" x14ac:dyDescent="0.4">
      <c r="A108">
        <v>20210807</v>
      </c>
      <c r="B108" s="1">
        <v>0.79166666666666663</v>
      </c>
      <c r="C108">
        <v>56264</v>
      </c>
      <c r="D108">
        <v>7197</v>
      </c>
      <c r="E108">
        <v>-295440</v>
      </c>
      <c r="F108">
        <v>-234126</v>
      </c>
      <c r="G108">
        <v>21639</v>
      </c>
      <c r="H108">
        <v>-207378</v>
      </c>
      <c r="I108">
        <v>38271</v>
      </c>
      <c r="J108">
        <v>-43767</v>
      </c>
      <c r="K108">
        <v>265721</v>
      </c>
      <c r="L108">
        <v>-5925</v>
      </c>
      <c r="M108">
        <v>10.4</v>
      </c>
      <c r="N108">
        <v>-397544</v>
      </c>
      <c r="O108">
        <v>21302800</v>
      </c>
      <c r="P108" s="2">
        <v>-1.8661584392661998</v>
      </c>
      <c r="Q108" s="4">
        <v>22.154911999999999</v>
      </c>
    </row>
    <row r="109" spans="1:17" x14ac:dyDescent="0.4">
      <c r="A109">
        <v>20210807</v>
      </c>
      <c r="B109" s="1">
        <v>0.8125</v>
      </c>
      <c r="C109">
        <v>137859</v>
      </c>
      <c r="D109">
        <v>-41883</v>
      </c>
      <c r="E109">
        <v>-208139</v>
      </c>
      <c r="F109">
        <v>-166282</v>
      </c>
      <c r="G109">
        <v>41698</v>
      </c>
      <c r="H109">
        <v>-161664</v>
      </c>
      <c r="I109">
        <v>76692</v>
      </c>
      <c r="J109">
        <v>-11665</v>
      </c>
      <c r="K109">
        <v>280816</v>
      </c>
      <c r="L109">
        <v>-2434</v>
      </c>
      <c r="M109">
        <v>10.28</v>
      </c>
      <c r="N109">
        <v>-55002</v>
      </c>
      <c r="O109">
        <v>20989250</v>
      </c>
      <c r="P109" s="2">
        <v>-0.26204842955322366</v>
      </c>
      <c r="Q109" s="4">
        <v>21.576948999999999</v>
      </c>
    </row>
    <row r="110" spans="1:17" x14ac:dyDescent="0.4">
      <c r="A110">
        <v>20210807</v>
      </c>
      <c r="B110" s="1">
        <v>0.89583333333333337</v>
      </c>
      <c r="C110">
        <v>63072</v>
      </c>
      <c r="D110">
        <v>-14616</v>
      </c>
      <c r="E110">
        <v>-200330</v>
      </c>
      <c r="F110">
        <v>-213595</v>
      </c>
      <c r="G110">
        <v>19709</v>
      </c>
      <c r="H110">
        <v>-98645</v>
      </c>
      <c r="I110">
        <v>142911</v>
      </c>
      <c r="J110">
        <v>-15807</v>
      </c>
      <c r="K110">
        <v>266519</v>
      </c>
      <c r="L110">
        <v>1001</v>
      </c>
      <c r="M110">
        <v>9.49</v>
      </c>
      <c r="N110">
        <v>-49781</v>
      </c>
      <c r="O110">
        <v>20705700</v>
      </c>
      <c r="P110" s="2">
        <v>-0.24042171962309897</v>
      </c>
      <c r="Q110" s="4">
        <v>19.649709300000001</v>
      </c>
    </row>
    <row r="111" spans="1:17" x14ac:dyDescent="0.4">
      <c r="A111">
        <v>20210807</v>
      </c>
      <c r="B111" s="1">
        <v>0.91666666666666663</v>
      </c>
      <c r="C111">
        <v>118384</v>
      </c>
      <c r="D111">
        <v>-84114</v>
      </c>
      <c r="E111">
        <v>-229199</v>
      </c>
      <c r="F111">
        <v>-218089</v>
      </c>
      <c r="G111">
        <v>34795</v>
      </c>
      <c r="H111">
        <v>-93982</v>
      </c>
      <c r="I111">
        <v>53700</v>
      </c>
      <c r="J111">
        <v>12104</v>
      </c>
      <c r="K111">
        <v>274132</v>
      </c>
      <c r="L111">
        <v>1040</v>
      </c>
      <c r="M111">
        <v>8.9499999999999993</v>
      </c>
      <c r="N111">
        <v>-131229</v>
      </c>
      <c r="O111">
        <v>20225950</v>
      </c>
      <c r="P111" s="2">
        <v>-0.64881501239743988</v>
      </c>
      <c r="Q111" s="4">
        <v>18.10222525</v>
      </c>
    </row>
    <row r="112" spans="1:17" x14ac:dyDescent="0.4">
      <c r="A112">
        <v>20210807</v>
      </c>
      <c r="B112" s="1">
        <v>0.9375</v>
      </c>
      <c r="C112">
        <v>44796</v>
      </c>
      <c r="D112">
        <v>-92528</v>
      </c>
      <c r="E112">
        <v>-274194</v>
      </c>
      <c r="F112">
        <v>-276069</v>
      </c>
      <c r="G112">
        <v>-937</v>
      </c>
      <c r="H112">
        <v>-187624</v>
      </c>
      <c r="I112">
        <v>44247</v>
      </c>
      <c r="J112">
        <v>979</v>
      </c>
      <c r="K112">
        <v>228023</v>
      </c>
      <c r="L112">
        <v>-681</v>
      </c>
      <c r="M112">
        <v>8.14</v>
      </c>
      <c r="N112">
        <v>-513988</v>
      </c>
      <c r="O112">
        <v>19896100</v>
      </c>
      <c r="P112" s="2">
        <v>-2.5833605580993262</v>
      </c>
      <c r="Q112" s="4">
        <v>16.195425400000001</v>
      </c>
    </row>
    <row r="113" spans="1:17" x14ac:dyDescent="0.4">
      <c r="A113">
        <v>20210807</v>
      </c>
      <c r="B113" s="1">
        <v>0.95833333333333337</v>
      </c>
      <c r="C113">
        <v>80925</v>
      </c>
      <c r="D113">
        <v>-47728</v>
      </c>
      <c r="E113">
        <v>-413480</v>
      </c>
      <c r="F113">
        <v>-175344</v>
      </c>
      <c r="G113">
        <v>46392</v>
      </c>
      <c r="H113">
        <v>-147860</v>
      </c>
      <c r="I113">
        <v>83385</v>
      </c>
      <c r="J113">
        <v>-1747</v>
      </c>
      <c r="K113">
        <v>101466</v>
      </c>
      <c r="L113">
        <v>3645</v>
      </c>
      <c r="M113">
        <v>7.89</v>
      </c>
      <c r="N113">
        <v>-470346</v>
      </c>
      <c r="O113">
        <v>19445150</v>
      </c>
      <c r="P113" s="2">
        <v>-2.4188345165761129</v>
      </c>
      <c r="Q113" s="4">
        <v>15.342223349999999</v>
      </c>
    </row>
    <row r="114" spans="1:17" x14ac:dyDescent="0.4">
      <c r="A114">
        <v>20210807</v>
      </c>
      <c r="B114" s="1">
        <v>0.97916666666666663</v>
      </c>
      <c r="C114">
        <v>120005</v>
      </c>
      <c r="D114">
        <v>-13602</v>
      </c>
      <c r="E114">
        <v>-424428</v>
      </c>
      <c r="F114">
        <v>-183658</v>
      </c>
      <c r="G114">
        <v>49849</v>
      </c>
      <c r="H114">
        <v>-115286</v>
      </c>
      <c r="I114">
        <v>40855</v>
      </c>
      <c r="J114">
        <v>11099</v>
      </c>
      <c r="K114">
        <v>108789</v>
      </c>
      <c r="L114">
        <v>9585</v>
      </c>
      <c r="M114">
        <v>7.6</v>
      </c>
      <c r="N114">
        <v>-396792</v>
      </c>
      <c r="O114">
        <v>18489400</v>
      </c>
      <c r="P114" s="2">
        <v>-2.146051250987052</v>
      </c>
      <c r="Q114" s="4">
        <v>14.051944000000001</v>
      </c>
    </row>
    <row r="115" spans="1:17" x14ac:dyDescent="0.4">
      <c r="A115">
        <v>20210814</v>
      </c>
      <c r="B115" s="1">
        <v>0.10416666666666667</v>
      </c>
      <c r="C115">
        <v>62653</v>
      </c>
      <c r="D115">
        <v>270377</v>
      </c>
      <c r="E115">
        <v>109652</v>
      </c>
      <c r="F115">
        <v>-139438</v>
      </c>
      <c r="G115">
        <v>-21663</v>
      </c>
      <c r="H115">
        <v>-218941</v>
      </c>
      <c r="I115">
        <v>-146898</v>
      </c>
      <c r="J115">
        <v>7963</v>
      </c>
      <c r="K115">
        <v>-29654</v>
      </c>
      <c r="L115">
        <v>-4032</v>
      </c>
      <c r="M115">
        <v>6.17</v>
      </c>
      <c r="N115">
        <v>-109981</v>
      </c>
      <c r="O115">
        <v>19123250</v>
      </c>
      <c r="P115" s="2">
        <v>-0.57511667734302485</v>
      </c>
      <c r="Q115" s="4">
        <v>11.799045250000001</v>
      </c>
    </row>
    <row r="116" spans="1:17" x14ac:dyDescent="0.4">
      <c r="A116">
        <v>20210814</v>
      </c>
      <c r="B116" s="1">
        <v>0.125</v>
      </c>
      <c r="C116">
        <v>77253</v>
      </c>
      <c r="D116">
        <v>303763</v>
      </c>
      <c r="E116">
        <v>4697</v>
      </c>
      <c r="F116">
        <v>-223469</v>
      </c>
      <c r="G116">
        <v>-68217</v>
      </c>
      <c r="H116">
        <v>-196269</v>
      </c>
      <c r="I116">
        <v>-122888</v>
      </c>
      <c r="J116">
        <v>25282</v>
      </c>
      <c r="K116">
        <v>-64333</v>
      </c>
      <c r="L116">
        <v>-5224</v>
      </c>
      <c r="M116">
        <v>6.33</v>
      </c>
      <c r="N116">
        <v>-269405</v>
      </c>
      <c r="O116">
        <v>19023350</v>
      </c>
      <c r="P116" s="2">
        <v>-1.4161806411594173</v>
      </c>
      <c r="Q116" s="4">
        <v>12.04178055</v>
      </c>
    </row>
    <row r="117" spans="1:17" x14ac:dyDescent="0.4">
      <c r="A117">
        <v>20210814</v>
      </c>
      <c r="B117" s="1">
        <v>0.14583333333333334</v>
      </c>
      <c r="C117">
        <v>57753</v>
      </c>
      <c r="D117">
        <v>250034</v>
      </c>
      <c r="E117">
        <v>157683</v>
      </c>
      <c r="F117">
        <v>-148321</v>
      </c>
      <c r="G117">
        <v>-64355</v>
      </c>
      <c r="H117">
        <v>-254837</v>
      </c>
      <c r="I117">
        <v>-54976</v>
      </c>
      <c r="J117">
        <v>21765</v>
      </c>
      <c r="K117">
        <v>-116385</v>
      </c>
      <c r="L117">
        <v>244</v>
      </c>
      <c r="M117">
        <v>6.33</v>
      </c>
      <c r="N117">
        <v>-151395</v>
      </c>
      <c r="O117">
        <v>19139850</v>
      </c>
      <c r="P117" s="2">
        <v>-0.7909936598249202</v>
      </c>
      <c r="Q117" s="4">
        <v>12.11552505</v>
      </c>
    </row>
    <row r="118" spans="1:17" x14ac:dyDescent="0.4">
      <c r="A118">
        <v>20210814</v>
      </c>
      <c r="B118" s="1">
        <v>0.16666666666666666</v>
      </c>
      <c r="C118">
        <v>89638</v>
      </c>
      <c r="D118">
        <v>312799</v>
      </c>
      <c r="E118">
        <v>73092</v>
      </c>
      <c r="F118">
        <v>-154207</v>
      </c>
      <c r="G118">
        <v>-45178</v>
      </c>
      <c r="H118">
        <v>-238651</v>
      </c>
      <c r="I118">
        <v>-47234</v>
      </c>
      <c r="J118">
        <v>43803</v>
      </c>
      <c r="K118">
        <v>-130307</v>
      </c>
      <c r="L118">
        <v>-2258</v>
      </c>
      <c r="M118">
        <v>6.36</v>
      </c>
      <c r="N118">
        <v>-98503</v>
      </c>
      <c r="O118">
        <v>18845850</v>
      </c>
      <c r="P118" s="2">
        <v>-0.52267740643165472</v>
      </c>
      <c r="Q118" s="4">
        <v>11.9859606</v>
      </c>
    </row>
    <row r="119" spans="1:17" x14ac:dyDescent="0.4">
      <c r="A119">
        <v>20210814</v>
      </c>
      <c r="B119" s="1">
        <v>0.1875</v>
      </c>
      <c r="C119">
        <v>38922</v>
      </c>
      <c r="D119">
        <v>285639</v>
      </c>
      <c r="E119">
        <v>135556</v>
      </c>
      <c r="F119">
        <v>-107524</v>
      </c>
      <c r="G119">
        <v>-57955</v>
      </c>
      <c r="H119">
        <v>-233348</v>
      </c>
      <c r="I119">
        <v>-40149</v>
      </c>
      <c r="J119">
        <v>35315</v>
      </c>
      <c r="K119">
        <v>-89804</v>
      </c>
      <c r="L119">
        <v>-4929</v>
      </c>
      <c r="M119">
        <v>6.35</v>
      </c>
      <c r="N119">
        <v>-38277</v>
      </c>
      <c r="O119">
        <v>19016900</v>
      </c>
      <c r="P119" s="2">
        <v>-0.20127886248547344</v>
      </c>
      <c r="Q119" s="4">
        <v>12.0757315</v>
      </c>
    </row>
    <row r="120" spans="1:17" x14ac:dyDescent="0.4">
      <c r="A120">
        <v>20210817</v>
      </c>
      <c r="B120" s="1">
        <v>0.20833333333333334</v>
      </c>
      <c r="C120">
        <v>-6705</v>
      </c>
      <c r="D120">
        <v>-75533</v>
      </c>
      <c r="E120">
        <v>143112</v>
      </c>
      <c r="F120">
        <v>-195623</v>
      </c>
      <c r="G120">
        <v>39111</v>
      </c>
      <c r="H120">
        <v>-99012</v>
      </c>
      <c r="I120">
        <v>65567</v>
      </c>
      <c r="J120">
        <v>4165</v>
      </c>
      <c r="K120">
        <v>75774</v>
      </c>
      <c r="L120">
        <v>-3092</v>
      </c>
      <c r="M120">
        <v>6.06</v>
      </c>
      <c r="N120">
        <v>-52236</v>
      </c>
      <c r="O120">
        <v>20672500</v>
      </c>
      <c r="P120" s="2">
        <v>-0.25268351674930462</v>
      </c>
      <c r="Q120" s="4">
        <v>12.527534999999999</v>
      </c>
    </row>
    <row r="121" spans="1:17" x14ac:dyDescent="0.4">
      <c r="A121">
        <v>20210817</v>
      </c>
      <c r="B121" s="1">
        <v>0.35416666666666669</v>
      </c>
      <c r="C121">
        <v>15876</v>
      </c>
      <c r="D121">
        <v>9661</v>
      </c>
      <c r="E121">
        <v>-82465</v>
      </c>
      <c r="F121">
        <v>271546</v>
      </c>
      <c r="G121">
        <v>41314</v>
      </c>
      <c r="H121">
        <v>-161005</v>
      </c>
      <c r="I121">
        <v>-166220</v>
      </c>
      <c r="J121">
        <v>38412</v>
      </c>
      <c r="K121">
        <v>-274557</v>
      </c>
      <c r="L121">
        <v>-14448</v>
      </c>
      <c r="M121">
        <v>7.05</v>
      </c>
      <c r="N121">
        <v>-321886</v>
      </c>
      <c r="O121">
        <v>22760350</v>
      </c>
      <c r="P121" s="2">
        <v>-1.4142401149367212</v>
      </c>
      <c r="Q121" s="4">
        <v>16.046046749999999</v>
      </c>
    </row>
    <row r="122" spans="1:17" x14ac:dyDescent="0.4">
      <c r="A122">
        <v>20210817</v>
      </c>
      <c r="B122" s="1">
        <v>0.9375</v>
      </c>
      <c r="C122">
        <v>16167</v>
      </c>
      <c r="D122">
        <v>-112654</v>
      </c>
      <c r="E122">
        <v>86184</v>
      </c>
      <c r="F122">
        <v>-149475</v>
      </c>
      <c r="G122">
        <v>-28985</v>
      </c>
      <c r="H122">
        <v>34584</v>
      </c>
      <c r="I122">
        <v>26860</v>
      </c>
      <c r="J122">
        <v>1341</v>
      </c>
      <c r="K122">
        <v>120998</v>
      </c>
      <c r="L122">
        <v>-37042</v>
      </c>
      <c r="M122">
        <v>6.48</v>
      </c>
      <c r="N122">
        <v>-42022</v>
      </c>
      <c r="O122">
        <v>22093800</v>
      </c>
      <c r="P122" s="2">
        <v>-0.19019815513854565</v>
      </c>
      <c r="Q122" s="4">
        <v>14.316782399999999</v>
      </c>
    </row>
    <row r="123" spans="1:17" x14ac:dyDescent="0.4">
      <c r="A123">
        <v>20210817</v>
      </c>
      <c r="B123" s="1">
        <v>0.95833333333333337</v>
      </c>
      <c r="C123">
        <v>12715</v>
      </c>
      <c r="D123">
        <v>-90953</v>
      </c>
      <c r="E123">
        <v>29084</v>
      </c>
      <c r="F123">
        <v>-165467</v>
      </c>
      <c r="G123">
        <v>-16249</v>
      </c>
      <c r="H123">
        <v>-194914</v>
      </c>
      <c r="I123">
        <v>-13279</v>
      </c>
      <c r="J123">
        <v>26</v>
      </c>
      <c r="K123">
        <v>91416</v>
      </c>
      <c r="L123">
        <v>-30534</v>
      </c>
      <c r="M123">
        <v>6.32</v>
      </c>
      <c r="N123">
        <v>-378155</v>
      </c>
      <c r="O123">
        <v>21369500</v>
      </c>
      <c r="P123" s="2">
        <v>-1.7696015348978684</v>
      </c>
      <c r="Q123" s="4">
        <v>13.505523999999999</v>
      </c>
    </row>
    <row r="124" spans="1:17" x14ac:dyDescent="0.4">
      <c r="A124">
        <v>20210817</v>
      </c>
      <c r="B124" s="1">
        <v>0.97916666666666663</v>
      </c>
      <c r="C124">
        <v>25795</v>
      </c>
      <c r="D124">
        <v>-138469</v>
      </c>
      <c r="E124">
        <v>24560</v>
      </c>
      <c r="F124">
        <v>-167898</v>
      </c>
      <c r="G124">
        <v>-31789</v>
      </c>
      <c r="H124">
        <v>34458</v>
      </c>
      <c r="I124">
        <v>7974</v>
      </c>
      <c r="J124">
        <v>2420</v>
      </c>
      <c r="K124">
        <v>31133</v>
      </c>
      <c r="L124">
        <v>-21975</v>
      </c>
      <c r="M124">
        <v>6.2</v>
      </c>
      <c r="N124">
        <v>-233791</v>
      </c>
      <c r="O124">
        <v>20248300</v>
      </c>
      <c r="P124" s="2">
        <v>-1.154620387884415</v>
      </c>
      <c r="Q124" s="4">
        <v>12.553946</v>
      </c>
    </row>
    <row r="125" spans="1:17" x14ac:dyDescent="0.4">
      <c r="A125">
        <v>20210818</v>
      </c>
      <c r="B125" s="1">
        <v>8.3333333333333329E-2</v>
      </c>
      <c r="C125">
        <v>-17664</v>
      </c>
      <c r="D125">
        <v>144951</v>
      </c>
      <c r="E125">
        <v>-59596</v>
      </c>
      <c r="F125">
        <v>-242838</v>
      </c>
      <c r="G125">
        <v>20980</v>
      </c>
      <c r="H125">
        <v>91636</v>
      </c>
      <c r="I125">
        <v>5492</v>
      </c>
      <c r="J125">
        <v>-12725</v>
      </c>
      <c r="K125">
        <v>-34343</v>
      </c>
      <c r="L125">
        <v>-12545</v>
      </c>
      <c r="M125">
        <v>5.72</v>
      </c>
      <c r="N125">
        <v>-116652</v>
      </c>
      <c r="O125">
        <v>19722750</v>
      </c>
      <c r="P125" s="2">
        <v>-0.59145910179868422</v>
      </c>
      <c r="Q125" s="4">
        <v>11.281413000000001</v>
      </c>
    </row>
    <row r="126" spans="1:17" x14ac:dyDescent="0.4">
      <c r="A126">
        <v>20210818</v>
      </c>
      <c r="B126" s="1">
        <v>0.10416666666666667</v>
      </c>
      <c r="C126">
        <v>-46082</v>
      </c>
      <c r="D126">
        <v>162684</v>
      </c>
      <c r="E126">
        <v>-94525</v>
      </c>
      <c r="F126">
        <v>-214932</v>
      </c>
      <c r="G126">
        <v>30435</v>
      </c>
      <c r="H126">
        <v>27615</v>
      </c>
      <c r="I126">
        <v>-1656</v>
      </c>
      <c r="J126">
        <v>-30728</v>
      </c>
      <c r="K126">
        <v>-38972</v>
      </c>
      <c r="L126">
        <v>-24681</v>
      </c>
      <c r="M126">
        <v>5.48</v>
      </c>
      <c r="N126">
        <v>-230842</v>
      </c>
      <c r="O126">
        <v>19959750</v>
      </c>
      <c r="P126" s="2">
        <v>-1.1565375317827127</v>
      </c>
      <c r="Q126" s="4">
        <v>10.937943000000001</v>
      </c>
    </row>
    <row r="127" spans="1:17" x14ac:dyDescent="0.4">
      <c r="A127">
        <v>20210818</v>
      </c>
      <c r="B127" s="1">
        <v>0.125</v>
      </c>
      <c r="C127">
        <v>-38</v>
      </c>
      <c r="D127">
        <v>175469</v>
      </c>
      <c r="E127">
        <v>-124128</v>
      </c>
      <c r="F127">
        <v>-274765</v>
      </c>
      <c r="G127">
        <v>11167</v>
      </c>
      <c r="H127">
        <v>46665</v>
      </c>
      <c r="I127">
        <v>30945</v>
      </c>
      <c r="J127">
        <v>-30066</v>
      </c>
      <c r="K127">
        <v>-126693</v>
      </c>
      <c r="L127">
        <v>-13707</v>
      </c>
      <c r="M127">
        <v>5.73</v>
      </c>
      <c r="N127">
        <v>-305151</v>
      </c>
      <c r="O127">
        <v>20060950</v>
      </c>
      <c r="P127" s="2">
        <v>-1.5211193886630494</v>
      </c>
      <c r="Q127" s="4">
        <v>11.494924350000002</v>
      </c>
    </row>
    <row r="128" spans="1:17" x14ac:dyDescent="0.4">
      <c r="A128">
        <v>20210818</v>
      </c>
      <c r="B128" s="1">
        <v>0.14583333333333334</v>
      </c>
      <c r="C128">
        <v>-14623</v>
      </c>
      <c r="D128">
        <v>190575</v>
      </c>
      <c r="E128">
        <v>-108753</v>
      </c>
      <c r="F128">
        <v>-328857</v>
      </c>
      <c r="G128">
        <v>-4934</v>
      </c>
      <c r="H128">
        <v>21235</v>
      </c>
      <c r="I128">
        <v>-15972</v>
      </c>
      <c r="J128">
        <v>-45113</v>
      </c>
      <c r="K128">
        <v>-121836</v>
      </c>
      <c r="L128">
        <v>-15203</v>
      </c>
      <c r="M128">
        <v>5.73</v>
      </c>
      <c r="N128">
        <v>-443481</v>
      </c>
      <c r="O128">
        <v>20057900</v>
      </c>
      <c r="P128" s="2">
        <v>-2.2110041430059977</v>
      </c>
      <c r="Q128" s="4">
        <v>11.493176700000001</v>
      </c>
    </row>
    <row r="129" spans="1:17" x14ac:dyDescent="0.4">
      <c r="A129">
        <v>20210818</v>
      </c>
      <c r="B129" s="1">
        <v>0.16666666666666666</v>
      </c>
      <c r="C129">
        <v>-46685</v>
      </c>
      <c r="D129">
        <v>188359</v>
      </c>
      <c r="E129">
        <v>-139353</v>
      </c>
      <c r="F129">
        <v>-106363</v>
      </c>
      <c r="G129">
        <v>-9918</v>
      </c>
      <c r="H129">
        <v>88081</v>
      </c>
      <c r="I129">
        <v>11023</v>
      </c>
      <c r="J129">
        <v>-62056</v>
      </c>
      <c r="K129">
        <v>-135332</v>
      </c>
      <c r="L129">
        <v>-7931</v>
      </c>
      <c r="M129">
        <v>5.9</v>
      </c>
      <c r="N129">
        <v>-220175</v>
      </c>
      <c r="O129">
        <v>20116750</v>
      </c>
      <c r="P129" s="2">
        <v>-1.0944859383349697</v>
      </c>
      <c r="Q129" s="4">
        <v>11.8688825</v>
      </c>
    </row>
    <row r="130" spans="1:17" x14ac:dyDescent="0.4">
      <c r="A130">
        <v>20210818</v>
      </c>
      <c r="B130" s="1">
        <v>0.1875</v>
      </c>
      <c r="C130">
        <v>-659</v>
      </c>
      <c r="D130">
        <v>172571</v>
      </c>
      <c r="E130">
        <v>-189750</v>
      </c>
      <c r="F130">
        <v>-56294</v>
      </c>
      <c r="G130">
        <v>-45086</v>
      </c>
      <c r="H130">
        <v>77614</v>
      </c>
      <c r="I130">
        <v>20795</v>
      </c>
      <c r="J130">
        <v>-52615</v>
      </c>
      <c r="K130">
        <v>-86884</v>
      </c>
      <c r="L130">
        <v>-14002</v>
      </c>
      <c r="M130">
        <v>5.96</v>
      </c>
      <c r="N130">
        <v>-174310</v>
      </c>
      <c r="O130">
        <v>20192550</v>
      </c>
      <c r="P130" s="2">
        <v>-0.86323916493954456</v>
      </c>
      <c r="Q130" s="4">
        <v>12.0347598</v>
      </c>
    </row>
    <row r="131" spans="1:17" x14ac:dyDescent="0.4">
      <c r="A131">
        <v>20210818</v>
      </c>
      <c r="B131" s="1">
        <v>0.22916666666666666</v>
      </c>
      <c r="C131">
        <v>-20531</v>
      </c>
      <c r="D131">
        <v>178013</v>
      </c>
      <c r="E131">
        <v>-77162</v>
      </c>
      <c r="F131">
        <v>-132197</v>
      </c>
      <c r="G131">
        <v>-13777</v>
      </c>
      <c r="H131">
        <v>-32599</v>
      </c>
      <c r="I131">
        <v>85524</v>
      </c>
      <c r="J131">
        <v>-38927</v>
      </c>
      <c r="K131">
        <v>-78677</v>
      </c>
      <c r="L131">
        <v>-15361</v>
      </c>
      <c r="M131">
        <v>5.98</v>
      </c>
      <c r="N131">
        <v>-145694</v>
      </c>
      <c r="O131">
        <v>20393400</v>
      </c>
      <c r="P131" s="2">
        <v>-0.7144174095540714</v>
      </c>
      <c r="Q131" s="4">
        <v>12.195253200000002</v>
      </c>
    </row>
    <row r="132" spans="1:17" x14ac:dyDescent="0.4">
      <c r="A132">
        <v>20210818</v>
      </c>
      <c r="B132" s="1">
        <v>0.29166666666666669</v>
      </c>
      <c r="C132">
        <v>-56054</v>
      </c>
      <c r="D132">
        <v>253749</v>
      </c>
      <c r="E132">
        <v>263894</v>
      </c>
      <c r="F132">
        <v>-251018</v>
      </c>
      <c r="G132">
        <v>1356</v>
      </c>
      <c r="H132">
        <v>-42061</v>
      </c>
      <c r="I132">
        <v>57090</v>
      </c>
      <c r="J132">
        <v>-39903</v>
      </c>
      <c r="K132">
        <v>-426865</v>
      </c>
      <c r="L132">
        <v>-13997</v>
      </c>
      <c r="M132">
        <v>6.13</v>
      </c>
      <c r="N132">
        <v>-253809</v>
      </c>
      <c r="O132">
        <v>22025600</v>
      </c>
      <c r="P132" s="2">
        <v>-1.1523363722214151</v>
      </c>
      <c r="Q132" s="4">
        <v>13.501692800000001</v>
      </c>
    </row>
    <row r="133" spans="1:17" x14ac:dyDescent="0.4">
      <c r="A133">
        <v>20210818</v>
      </c>
      <c r="B133" s="1">
        <v>0.3125</v>
      </c>
      <c r="C133">
        <v>-31352</v>
      </c>
      <c r="D133">
        <v>227693</v>
      </c>
      <c r="E133">
        <v>-124309</v>
      </c>
      <c r="F133">
        <v>-271030</v>
      </c>
      <c r="G133">
        <v>-8530</v>
      </c>
      <c r="H133">
        <v>-6385</v>
      </c>
      <c r="I133">
        <v>22832</v>
      </c>
      <c r="J133">
        <v>2688</v>
      </c>
      <c r="K133">
        <v>-562282</v>
      </c>
      <c r="L133">
        <v>-33429</v>
      </c>
      <c r="M133">
        <v>6.47</v>
      </c>
      <c r="N133">
        <v>-784104</v>
      </c>
      <c r="O133">
        <v>22105950</v>
      </c>
      <c r="P133" s="2">
        <v>-3.5470269316631948</v>
      </c>
      <c r="Q133" s="4">
        <v>14.30254965</v>
      </c>
    </row>
    <row r="134" spans="1:17" x14ac:dyDescent="0.4">
      <c r="A134">
        <v>20210818</v>
      </c>
      <c r="B134" s="1">
        <v>0.33333333333333331</v>
      </c>
      <c r="C134">
        <v>-18224</v>
      </c>
      <c r="D134">
        <v>-240886</v>
      </c>
      <c r="E134">
        <v>-50224</v>
      </c>
      <c r="F134">
        <v>-619687</v>
      </c>
      <c r="G134">
        <v>-14998</v>
      </c>
      <c r="H134">
        <v>35316</v>
      </c>
      <c r="I134">
        <v>-107703</v>
      </c>
      <c r="J134">
        <v>-17298</v>
      </c>
      <c r="K134">
        <v>-701830</v>
      </c>
      <c r="L134">
        <v>-18711</v>
      </c>
      <c r="M134">
        <v>6.63</v>
      </c>
      <c r="N134">
        <v>-1754245</v>
      </c>
      <c r="O134">
        <v>23204850</v>
      </c>
      <c r="P134" s="2">
        <v>-7.5598204685658388</v>
      </c>
      <c r="Q134" s="4">
        <v>15.384815550000001</v>
      </c>
    </row>
    <row r="135" spans="1:17" x14ac:dyDescent="0.4">
      <c r="A135">
        <v>20210818</v>
      </c>
      <c r="B135" s="1">
        <v>0.35416666666666669</v>
      </c>
      <c r="C135">
        <v>-26054</v>
      </c>
      <c r="D135">
        <v>-306170</v>
      </c>
      <c r="E135">
        <v>-941300</v>
      </c>
      <c r="F135">
        <v>-437816</v>
      </c>
      <c r="G135">
        <v>44357</v>
      </c>
      <c r="H135">
        <v>317145</v>
      </c>
      <c r="I135">
        <v>-180105</v>
      </c>
      <c r="J135">
        <v>-103863</v>
      </c>
      <c r="K135">
        <v>-816445</v>
      </c>
      <c r="L135">
        <v>-40975</v>
      </c>
      <c r="M135">
        <v>7.15</v>
      </c>
      <c r="N135">
        <v>-2491226</v>
      </c>
      <c r="O135">
        <v>23879650</v>
      </c>
      <c r="P135" s="2">
        <v>-10.432422585758166</v>
      </c>
      <c r="Q135" s="4">
        <v>17.073949750000001</v>
      </c>
    </row>
    <row r="136" spans="1:17" x14ac:dyDescent="0.4">
      <c r="A136">
        <v>20210818</v>
      </c>
      <c r="B136" s="1">
        <v>0.375</v>
      </c>
      <c r="C136">
        <v>18495</v>
      </c>
      <c r="D136">
        <v>-266653</v>
      </c>
      <c r="E136">
        <v>-921346</v>
      </c>
      <c r="F136">
        <v>-466363</v>
      </c>
      <c r="G136">
        <v>63429</v>
      </c>
      <c r="H136">
        <v>354271</v>
      </c>
      <c r="I136">
        <v>-114342</v>
      </c>
      <c r="J136">
        <v>-69836</v>
      </c>
      <c r="K136">
        <v>-1042871</v>
      </c>
      <c r="L136">
        <v>-44563</v>
      </c>
      <c r="M136">
        <v>7.19</v>
      </c>
      <c r="N136">
        <v>-2489779</v>
      </c>
      <c r="O136">
        <v>23928800</v>
      </c>
      <c r="P136" s="2">
        <v>-10.404947176623985</v>
      </c>
      <c r="Q136" s="4">
        <v>17.204807200000001</v>
      </c>
    </row>
    <row r="137" spans="1:17" x14ac:dyDescent="0.4">
      <c r="A137">
        <v>20210818</v>
      </c>
      <c r="B137" s="1">
        <v>0.39583333333333331</v>
      </c>
      <c r="C137">
        <v>-2521</v>
      </c>
      <c r="D137">
        <v>-160895</v>
      </c>
      <c r="E137">
        <v>-1056606</v>
      </c>
      <c r="F137">
        <v>-540502</v>
      </c>
      <c r="G137">
        <v>91700</v>
      </c>
      <c r="H137">
        <v>200165</v>
      </c>
      <c r="I137">
        <v>-83069</v>
      </c>
      <c r="J137">
        <v>-93519</v>
      </c>
      <c r="K137">
        <v>-1152462</v>
      </c>
      <c r="L137">
        <v>-38485</v>
      </c>
      <c r="M137">
        <v>7.19</v>
      </c>
      <c r="N137">
        <v>-2836194</v>
      </c>
      <c r="O137">
        <v>24017550</v>
      </c>
      <c r="P137" s="2">
        <v>-11.808839785906557</v>
      </c>
      <c r="Q137" s="4">
        <v>17.268618450000002</v>
      </c>
    </row>
    <row r="138" spans="1:17" x14ac:dyDescent="0.4">
      <c r="A138">
        <v>20210818</v>
      </c>
      <c r="B138" s="1">
        <v>0.41666666666666669</v>
      </c>
      <c r="C138">
        <v>-36009</v>
      </c>
      <c r="D138">
        <v>-128328</v>
      </c>
      <c r="E138">
        <v>-1364246</v>
      </c>
      <c r="F138">
        <v>-359970</v>
      </c>
      <c r="G138">
        <v>66863</v>
      </c>
      <c r="H138">
        <v>118395</v>
      </c>
      <c r="I138">
        <v>-51946</v>
      </c>
      <c r="J138">
        <v>-61991</v>
      </c>
      <c r="K138">
        <v>-1207047</v>
      </c>
      <c r="L138">
        <v>-34180</v>
      </c>
      <c r="M138">
        <v>7.23</v>
      </c>
      <c r="N138">
        <v>-3058459</v>
      </c>
      <c r="O138">
        <v>24386900</v>
      </c>
      <c r="P138" s="2">
        <v>-12.541401326121811</v>
      </c>
      <c r="Q138" s="4">
        <v>17.6317287</v>
      </c>
    </row>
    <row r="139" spans="1:17" x14ac:dyDescent="0.4">
      <c r="A139">
        <v>20210818</v>
      </c>
      <c r="B139" s="1">
        <v>0.4375</v>
      </c>
      <c r="C139">
        <v>6276</v>
      </c>
      <c r="D139">
        <v>-74369</v>
      </c>
      <c r="E139">
        <v>-1435034</v>
      </c>
      <c r="F139">
        <v>-346545</v>
      </c>
      <c r="G139">
        <v>101615</v>
      </c>
      <c r="H139">
        <v>124193</v>
      </c>
      <c r="I139">
        <v>-47504</v>
      </c>
      <c r="J139">
        <v>-58189</v>
      </c>
      <c r="K139">
        <v>-1249668</v>
      </c>
      <c r="L139">
        <v>-28262</v>
      </c>
      <c r="M139">
        <v>7.36</v>
      </c>
      <c r="N139">
        <v>-3007487</v>
      </c>
      <c r="O139">
        <v>24654750</v>
      </c>
      <c r="P139" s="2">
        <v>-12.198408014682769</v>
      </c>
      <c r="Q139" s="4">
        <v>18.145896</v>
      </c>
    </row>
    <row r="140" spans="1:17" x14ac:dyDescent="0.4">
      <c r="A140">
        <v>20210818</v>
      </c>
      <c r="B140" s="1">
        <v>0.45833333333333331</v>
      </c>
      <c r="C140">
        <v>64625</v>
      </c>
      <c r="D140">
        <v>-9614</v>
      </c>
      <c r="E140">
        <v>-1450234</v>
      </c>
      <c r="F140">
        <v>-499908</v>
      </c>
      <c r="G140">
        <v>-66729</v>
      </c>
      <c r="H140">
        <v>153975</v>
      </c>
      <c r="I140">
        <v>167582</v>
      </c>
      <c r="J140">
        <v>-85915</v>
      </c>
      <c r="K140">
        <v>-1306036</v>
      </c>
      <c r="L140">
        <v>-42498</v>
      </c>
      <c r="M140">
        <v>7.64</v>
      </c>
      <c r="N140">
        <v>-3074752</v>
      </c>
      <c r="O140">
        <v>24891400</v>
      </c>
      <c r="P140" s="2">
        <v>-12.352667989747463</v>
      </c>
      <c r="Q140" s="4">
        <v>19.017029600000001</v>
      </c>
    </row>
    <row r="141" spans="1:17" x14ac:dyDescent="0.4">
      <c r="A141">
        <v>20210818</v>
      </c>
      <c r="B141" s="1">
        <v>0.47916666666666669</v>
      </c>
      <c r="C141">
        <v>71266</v>
      </c>
      <c r="D141">
        <v>-44451</v>
      </c>
      <c r="E141">
        <v>-1718053</v>
      </c>
      <c r="F141">
        <v>-1224083</v>
      </c>
      <c r="G141">
        <v>-35457</v>
      </c>
      <c r="H141">
        <v>-127054</v>
      </c>
      <c r="I141">
        <v>121810</v>
      </c>
      <c r="J141">
        <v>-62363</v>
      </c>
      <c r="K141">
        <v>-1200112</v>
      </c>
      <c r="L141">
        <v>-35053</v>
      </c>
      <c r="M141">
        <v>7.38</v>
      </c>
      <c r="N141">
        <v>-4253550</v>
      </c>
      <c r="O141">
        <v>25052000</v>
      </c>
      <c r="P141" s="2">
        <v>-16.978883921443398</v>
      </c>
      <c r="Q141" s="4">
        <v>18.488375999999999</v>
      </c>
    </row>
    <row r="142" spans="1:17" x14ac:dyDescent="0.4">
      <c r="A142">
        <v>20210818</v>
      </c>
      <c r="B142" s="1">
        <v>0.5</v>
      </c>
      <c r="C142">
        <v>55840</v>
      </c>
      <c r="D142">
        <v>30247</v>
      </c>
      <c r="E142">
        <v>-1397223</v>
      </c>
      <c r="F142">
        <v>-1026776</v>
      </c>
      <c r="G142">
        <v>-28286</v>
      </c>
      <c r="H142">
        <v>176903</v>
      </c>
      <c r="I142">
        <v>47085</v>
      </c>
      <c r="J142">
        <v>-122184</v>
      </c>
      <c r="K142">
        <v>-1047918</v>
      </c>
      <c r="L142">
        <v>-33367</v>
      </c>
      <c r="M142">
        <v>7.2</v>
      </c>
      <c r="N142">
        <v>-3345679</v>
      </c>
      <c r="O142">
        <v>24926850</v>
      </c>
      <c r="P142" s="2">
        <v>-13.421988739050462</v>
      </c>
      <c r="Q142" s="4">
        <v>17.947331999999999</v>
      </c>
    </row>
    <row r="143" spans="1:17" x14ac:dyDescent="0.4">
      <c r="A143">
        <v>20210818</v>
      </c>
      <c r="B143" s="1">
        <v>0.52083333333333337</v>
      </c>
      <c r="C143">
        <v>46381</v>
      </c>
      <c r="D143">
        <v>73106</v>
      </c>
      <c r="E143">
        <v>-1056290</v>
      </c>
      <c r="F143">
        <v>-1130119</v>
      </c>
      <c r="G143">
        <v>-114041</v>
      </c>
      <c r="H143">
        <v>357003</v>
      </c>
      <c r="I143">
        <v>56794</v>
      </c>
      <c r="J143">
        <v>-109152</v>
      </c>
      <c r="K143">
        <v>-853029</v>
      </c>
      <c r="L143">
        <v>-36816</v>
      </c>
      <c r="M143">
        <v>7.17</v>
      </c>
      <c r="N143">
        <v>-2766163</v>
      </c>
      <c r="O143">
        <v>24947200</v>
      </c>
      <c r="P143" s="2">
        <v>-11.088070003848127</v>
      </c>
      <c r="Q143" s="4">
        <v>17.887142399999998</v>
      </c>
    </row>
    <row r="144" spans="1:17" x14ac:dyDescent="0.4">
      <c r="A144">
        <v>20210818</v>
      </c>
      <c r="B144" s="1">
        <v>0.54166666666666663</v>
      </c>
      <c r="C144">
        <v>57629</v>
      </c>
      <c r="D144">
        <v>91041</v>
      </c>
      <c r="E144">
        <v>-488779</v>
      </c>
      <c r="F144">
        <v>-467574</v>
      </c>
      <c r="G144">
        <v>-94526</v>
      </c>
      <c r="H144">
        <v>592415</v>
      </c>
      <c r="I144">
        <v>23880</v>
      </c>
      <c r="J144">
        <v>-176405</v>
      </c>
      <c r="K144">
        <v>-899216</v>
      </c>
      <c r="L144">
        <v>-43293</v>
      </c>
      <c r="M144">
        <v>7.45</v>
      </c>
      <c r="N144">
        <v>-1404828</v>
      </c>
      <c r="O144">
        <v>24430000</v>
      </c>
      <c r="P144" s="2">
        <v>-5.7504216127711834</v>
      </c>
      <c r="Q144" s="4">
        <v>18.20035</v>
      </c>
    </row>
    <row r="145" spans="1:17" x14ac:dyDescent="0.4">
      <c r="A145">
        <v>20210818</v>
      </c>
      <c r="B145" s="1">
        <v>0.5625</v>
      </c>
      <c r="C145">
        <v>26767</v>
      </c>
      <c r="D145">
        <v>98311</v>
      </c>
      <c r="E145">
        <v>-257948</v>
      </c>
      <c r="F145">
        <v>-651164</v>
      </c>
      <c r="G145">
        <v>-99971</v>
      </c>
      <c r="H145">
        <v>697319</v>
      </c>
      <c r="I145">
        <v>-69865</v>
      </c>
      <c r="J145">
        <v>-192846</v>
      </c>
      <c r="K145">
        <v>-838982</v>
      </c>
      <c r="L145">
        <v>-45441</v>
      </c>
      <c r="M145">
        <v>7.92</v>
      </c>
      <c r="N145">
        <v>-1333820</v>
      </c>
      <c r="O145">
        <v>24312950</v>
      </c>
      <c r="P145" s="2">
        <v>-5.4860475590169022</v>
      </c>
      <c r="Q145" s="4">
        <v>19.255856399999999</v>
      </c>
    </row>
    <row r="146" spans="1:17" x14ac:dyDescent="0.4">
      <c r="A146">
        <v>20210819</v>
      </c>
      <c r="B146" s="1">
        <v>0.39583333333333331</v>
      </c>
      <c r="C146">
        <v>148512</v>
      </c>
      <c r="D146">
        <v>197521</v>
      </c>
      <c r="E146">
        <v>417355</v>
      </c>
      <c r="F146">
        <v>-616816</v>
      </c>
      <c r="G146">
        <v>497</v>
      </c>
      <c r="H146">
        <v>-776571</v>
      </c>
      <c r="I146">
        <v>-50685</v>
      </c>
      <c r="J146">
        <v>-173611</v>
      </c>
      <c r="K146">
        <v>746707</v>
      </c>
      <c r="L146">
        <v>-52851</v>
      </c>
      <c r="M146">
        <v>7.31</v>
      </c>
      <c r="N146">
        <v>-159942</v>
      </c>
      <c r="O146">
        <v>24814950</v>
      </c>
      <c r="P146" s="2">
        <v>-0.64453887676582056</v>
      </c>
      <c r="Q146" s="4">
        <v>18.13972845</v>
      </c>
    </row>
    <row r="147" spans="1:17" x14ac:dyDescent="0.4">
      <c r="A147">
        <v>20210819</v>
      </c>
      <c r="B147" s="1">
        <v>0.4375</v>
      </c>
      <c r="C147">
        <v>157509</v>
      </c>
      <c r="D147">
        <v>35329</v>
      </c>
      <c r="E147">
        <v>207965</v>
      </c>
      <c r="F147">
        <v>-769981</v>
      </c>
      <c r="G147">
        <v>900</v>
      </c>
      <c r="H147">
        <v>-865175</v>
      </c>
      <c r="I147">
        <v>72205</v>
      </c>
      <c r="J147">
        <v>-147518</v>
      </c>
      <c r="K147">
        <v>967431</v>
      </c>
      <c r="L147">
        <v>-59241</v>
      </c>
      <c r="M147">
        <v>7.37</v>
      </c>
      <c r="N147">
        <v>-400576</v>
      </c>
      <c r="O147">
        <v>25232150</v>
      </c>
      <c r="P147" s="2">
        <v>-1.5875619001947912</v>
      </c>
      <c r="Q147" s="4">
        <v>18.59609455</v>
      </c>
    </row>
    <row r="148" spans="1:17" x14ac:dyDescent="0.4">
      <c r="A148">
        <v>20210819</v>
      </c>
      <c r="B148" s="1">
        <v>0.45833333333333331</v>
      </c>
      <c r="C148">
        <v>111882</v>
      </c>
      <c r="D148">
        <v>137947</v>
      </c>
      <c r="E148">
        <v>80639</v>
      </c>
      <c r="F148">
        <v>-871216</v>
      </c>
      <c r="G148">
        <v>24762</v>
      </c>
      <c r="H148">
        <v>-864404</v>
      </c>
      <c r="I148">
        <v>183938</v>
      </c>
      <c r="J148">
        <v>-141936</v>
      </c>
      <c r="K148">
        <v>1028299</v>
      </c>
      <c r="L148">
        <v>-56037</v>
      </c>
      <c r="M148">
        <v>7.64</v>
      </c>
      <c r="N148">
        <v>-366126</v>
      </c>
      <c r="O148">
        <v>25517850</v>
      </c>
      <c r="P148" s="2">
        <v>-1.4347838865735161</v>
      </c>
      <c r="Q148" s="4">
        <v>19.4956374</v>
      </c>
    </row>
    <row r="149" spans="1:17" x14ac:dyDescent="0.4">
      <c r="A149">
        <v>20210819</v>
      </c>
      <c r="B149" s="1">
        <v>0.5</v>
      </c>
      <c r="C149">
        <v>35291</v>
      </c>
      <c r="D149">
        <v>373899</v>
      </c>
      <c r="E149">
        <v>-51798</v>
      </c>
      <c r="F149">
        <v>-1202104</v>
      </c>
      <c r="G149">
        <v>67429</v>
      </c>
      <c r="H149">
        <v>-497090</v>
      </c>
      <c r="I149">
        <v>156120</v>
      </c>
      <c r="J149">
        <v>-88711</v>
      </c>
      <c r="K149">
        <v>974482</v>
      </c>
      <c r="L149">
        <v>-57918</v>
      </c>
      <c r="M149">
        <v>6.98</v>
      </c>
      <c r="N149">
        <v>-290400</v>
      </c>
      <c r="O149">
        <v>25550350</v>
      </c>
      <c r="P149" s="2">
        <v>-1.1365793423573454</v>
      </c>
      <c r="Q149" s="4">
        <v>17.834144299999998</v>
      </c>
    </row>
    <row r="150" spans="1:17" x14ac:dyDescent="0.4">
      <c r="A150">
        <v>20210819</v>
      </c>
      <c r="B150" s="1">
        <v>0.52083333333333337</v>
      </c>
      <c r="C150">
        <v>34470</v>
      </c>
      <c r="D150">
        <v>396773</v>
      </c>
      <c r="E150">
        <v>-108335</v>
      </c>
      <c r="F150">
        <v>-1342981</v>
      </c>
      <c r="G150">
        <v>7061</v>
      </c>
      <c r="H150">
        <v>-325547</v>
      </c>
      <c r="I150">
        <v>274359</v>
      </c>
      <c r="J150">
        <v>-96531</v>
      </c>
      <c r="K150">
        <v>1051331</v>
      </c>
      <c r="L150">
        <v>-45866</v>
      </c>
      <c r="M150">
        <v>6.98</v>
      </c>
      <c r="N150">
        <v>-155266</v>
      </c>
      <c r="O150">
        <v>25439000</v>
      </c>
      <c r="P150" s="2">
        <v>-0.61034631864460076</v>
      </c>
      <c r="Q150" s="4">
        <v>17.756422000000001</v>
      </c>
    </row>
    <row r="151" spans="1:17" x14ac:dyDescent="0.4">
      <c r="A151">
        <v>20210819</v>
      </c>
      <c r="B151" s="1">
        <v>0.54166666666666663</v>
      </c>
      <c r="C151">
        <v>75025</v>
      </c>
      <c r="D151">
        <v>371999</v>
      </c>
      <c r="E151">
        <v>-448020</v>
      </c>
      <c r="F151">
        <v>-1380318</v>
      </c>
      <c r="G151">
        <v>12680</v>
      </c>
      <c r="H151">
        <v>-71843</v>
      </c>
      <c r="I151">
        <v>331274</v>
      </c>
      <c r="J151">
        <v>-137977</v>
      </c>
      <c r="K151">
        <v>1213073</v>
      </c>
      <c r="L151">
        <v>-11520</v>
      </c>
      <c r="M151">
        <v>8.1199999999999992</v>
      </c>
      <c r="N151">
        <v>-45627</v>
      </c>
      <c r="O151">
        <v>24907450</v>
      </c>
      <c r="P151" s="2">
        <v>-0.18318615514635178</v>
      </c>
      <c r="Q151" s="4">
        <v>20.224849399999997</v>
      </c>
    </row>
    <row r="152" spans="1:17" x14ac:dyDescent="0.4">
      <c r="A152">
        <v>20210820</v>
      </c>
      <c r="B152" s="1">
        <v>0.35416666666666669</v>
      </c>
      <c r="C152">
        <v>108672</v>
      </c>
      <c r="D152">
        <v>511891</v>
      </c>
      <c r="E152">
        <v>597083</v>
      </c>
      <c r="F152">
        <v>-856531</v>
      </c>
      <c r="G152">
        <v>103333</v>
      </c>
      <c r="H152">
        <v>180646</v>
      </c>
      <c r="I152">
        <v>-136171</v>
      </c>
      <c r="J152">
        <v>-185100</v>
      </c>
      <c r="K152">
        <v>-709164</v>
      </c>
      <c r="L152">
        <v>34300</v>
      </c>
      <c r="M152">
        <v>6.96</v>
      </c>
      <c r="N152">
        <v>-351041</v>
      </c>
      <c r="O152">
        <v>23784550</v>
      </c>
      <c r="P152" s="2">
        <v>-1.4759202927951127</v>
      </c>
      <c r="Q152" s="4">
        <v>16.554046799999998</v>
      </c>
    </row>
    <row r="153" spans="1:17" x14ac:dyDescent="0.4">
      <c r="A153">
        <v>20210820</v>
      </c>
      <c r="B153" s="1">
        <v>0.375</v>
      </c>
      <c r="C153">
        <v>111948</v>
      </c>
      <c r="D153">
        <v>438744</v>
      </c>
      <c r="E153">
        <v>712989</v>
      </c>
      <c r="F153">
        <v>-896566</v>
      </c>
      <c r="G153">
        <v>120742</v>
      </c>
      <c r="H153">
        <v>25617</v>
      </c>
      <c r="I153">
        <v>-220297</v>
      </c>
      <c r="J153">
        <v>-189320</v>
      </c>
      <c r="K153">
        <v>-891388</v>
      </c>
      <c r="L153">
        <v>9156</v>
      </c>
      <c r="M153">
        <v>7.68</v>
      </c>
      <c r="N153">
        <v>-778375</v>
      </c>
      <c r="O153">
        <v>24124950</v>
      </c>
      <c r="P153" s="2">
        <v>-3.2264315573711033</v>
      </c>
      <c r="Q153" s="4">
        <v>18.527961600000001</v>
      </c>
    </row>
    <row r="154" spans="1:17" x14ac:dyDescent="0.4">
      <c r="A154">
        <v>20210820</v>
      </c>
      <c r="B154" s="1">
        <v>0.39583333333333331</v>
      </c>
      <c r="C154">
        <v>107823</v>
      </c>
      <c r="D154">
        <v>498053</v>
      </c>
      <c r="E154">
        <v>60227</v>
      </c>
      <c r="F154">
        <v>-564030</v>
      </c>
      <c r="G154">
        <v>99265</v>
      </c>
      <c r="H154">
        <v>-275193</v>
      </c>
      <c r="I154">
        <v>-186675</v>
      </c>
      <c r="J154">
        <v>-121271</v>
      </c>
      <c r="K154">
        <v>-892896</v>
      </c>
      <c r="L154">
        <v>2393</v>
      </c>
      <c r="M154">
        <v>7.39</v>
      </c>
      <c r="N154">
        <v>-1272304</v>
      </c>
      <c r="O154">
        <v>25178700</v>
      </c>
      <c r="P154" s="2">
        <v>-5.0530964664577596</v>
      </c>
      <c r="Q154" s="4">
        <v>18.6070593</v>
      </c>
    </row>
    <row r="155" spans="1:17" x14ac:dyDescent="0.4">
      <c r="A155">
        <v>20210820</v>
      </c>
      <c r="B155" s="1">
        <v>0.41666666666666669</v>
      </c>
      <c r="C155">
        <v>116250</v>
      </c>
      <c r="D155">
        <v>411218</v>
      </c>
      <c r="E155">
        <v>121443</v>
      </c>
      <c r="F155">
        <v>-306786</v>
      </c>
      <c r="G155">
        <v>93555</v>
      </c>
      <c r="H155">
        <v>-413361</v>
      </c>
      <c r="I155">
        <v>-221825</v>
      </c>
      <c r="J155">
        <v>-74140</v>
      </c>
      <c r="K155">
        <v>-733567</v>
      </c>
      <c r="L155">
        <v>17710</v>
      </c>
      <c r="M155">
        <v>7.86</v>
      </c>
      <c r="N155">
        <v>-989503</v>
      </c>
      <c r="O155">
        <v>25343900</v>
      </c>
      <c r="P155" s="2">
        <v>-3.9043043888272919</v>
      </c>
      <c r="Q155" s="4">
        <v>19.9203054</v>
      </c>
    </row>
    <row r="156" spans="1:17" x14ac:dyDescent="0.4">
      <c r="A156">
        <v>20210820</v>
      </c>
      <c r="B156" s="1">
        <v>0.4375</v>
      </c>
      <c r="C156">
        <v>126751</v>
      </c>
      <c r="D156">
        <v>357030</v>
      </c>
      <c r="E156">
        <v>63643</v>
      </c>
      <c r="F156">
        <v>-106696</v>
      </c>
      <c r="G156">
        <v>121596</v>
      </c>
      <c r="H156">
        <v>-677637</v>
      </c>
      <c r="I156">
        <v>-157161</v>
      </c>
      <c r="J156">
        <v>-119126</v>
      </c>
      <c r="K156">
        <v>-550669</v>
      </c>
      <c r="L156">
        <v>23872</v>
      </c>
      <c r="M156">
        <v>7.93</v>
      </c>
      <c r="N156">
        <v>-918397</v>
      </c>
      <c r="O156">
        <v>25464400</v>
      </c>
      <c r="P156" s="2">
        <v>-3.6065919479744268</v>
      </c>
      <c r="Q156" s="4">
        <v>20.1932692</v>
      </c>
    </row>
    <row r="157" spans="1:17" x14ac:dyDescent="0.4">
      <c r="A157">
        <v>20210820</v>
      </c>
      <c r="B157" s="1">
        <v>0.45833333333333331</v>
      </c>
      <c r="C157">
        <v>107797</v>
      </c>
      <c r="D157">
        <v>380676</v>
      </c>
      <c r="E157">
        <v>263645</v>
      </c>
      <c r="F157">
        <v>-114642</v>
      </c>
      <c r="G157">
        <v>115270</v>
      </c>
      <c r="H157">
        <v>-575306</v>
      </c>
      <c r="I157">
        <v>-123740</v>
      </c>
      <c r="J157">
        <v>-104510</v>
      </c>
      <c r="K157">
        <v>-317374</v>
      </c>
      <c r="L157">
        <v>36376</v>
      </c>
      <c r="M157">
        <v>8.39</v>
      </c>
      <c r="N157">
        <v>-331808</v>
      </c>
      <c r="O157">
        <v>25706300</v>
      </c>
      <c r="P157" s="2">
        <v>-1.2907652987788985</v>
      </c>
      <c r="Q157" s="4">
        <v>21.567585699999999</v>
      </c>
    </row>
    <row r="158" spans="1:17" x14ac:dyDescent="0.4">
      <c r="A158">
        <v>20210820</v>
      </c>
      <c r="B158" s="1">
        <v>0.47916666666666669</v>
      </c>
      <c r="C158">
        <v>105197</v>
      </c>
      <c r="D158">
        <v>387679</v>
      </c>
      <c r="E158">
        <v>9735</v>
      </c>
      <c r="F158">
        <v>-292963</v>
      </c>
      <c r="G158">
        <v>71020</v>
      </c>
      <c r="H158">
        <v>-499608</v>
      </c>
      <c r="I158">
        <v>-139452</v>
      </c>
      <c r="J158">
        <v>-98367</v>
      </c>
      <c r="K158">
        <v>-330439</v>
      </c>
      <c r="L158">
        <v>34967</v>
      </c>
      <c r="M158">
        <v>8.39</v>
      </c>
      <c r="N158">
        <v>-752231</v>
      </c>
      <c r="O158">
        <v>25641600</v>
      </c>
      <c r="P158" s="2">
        <v>-2.9336351865718209</v>
      </c>
      <c r="Q158" s="4">
        <v>21.513302400000001</v>
      </c>
    </row>
    <row r="159" spans="1:17" x14ac:dyDescent="0.4">
      <c r="A159">
        <v>20210820</v>
      </c>
      <c r="B159" s="1">
        <v>0.5</v>
      </c>
      <c r="C159">
        <v>139573</v>
      </c>
      <c r="D159">
        <v>354249</v>
      </c>
      <c r="E159">
        <v>-106657</v>
      </c>
      <c r="F159">
        <v>-306593</v>
      </c>
      <c r="G159">
        <v>56708</v>
      </c>
      <c r="H159">
        <v>-493852</v>
      </c>
      <c r="I159">
        <v>-45332</v>
      </c>
      <c r="J159">
        <v>-80559</v>
      </c>
      <c r="K159">
        <v>-161417</v>
      </c>
      <c r="L159">
        <v>27553</v>
      </c>
      <c r="M159">
        <v>7.93</v>
      </c>
      <c r="N159">
        <v>-616327</v>
      </c>
      <c r="O159">
        <v>25588150</v>
      </c>
      <c r="P159" s="2">
        <v>-2.408642281681169</v>
      </c>
      <c r="Q159" s="4">
        <v>20.291402949999998</v>
      </c>
    </row>
    <row r="160" spans="1:17" x14ac:dyDescent="0.4">
      <c r="A160">
        <v>20210820</v>
      </c>
      <c r="B160" s="1">
        <v>0.52083333333333337</v>
      </c>
      <c r="C160">
        <v>100063</v>
      </c>
      <c r="D160">
        <v>383935</v>
      </c>
      <c r="E160">
        <v>-196291</v>
      </c>
      <c r="F160">
        <v>-321355</v>
      </c>
      <c r="G160">
        <v>20135</v>
      </c>
      <c r="H160">
        <v>-640991</v>
      </c>
      <c r="I160">
        <v>-65770</v>
      </c>
      <c r="J160">
        <v>-118715</v>
      </c>
      <c r="K160">
        <v>-81059</v>
      </c>
      <c r="L160">
        <v>26739</v>
      </c>
      <c r="M160">
        <v>7.93</v>
      </c>
      <c r="N160">
        <v>-893309</v>
      </c>
      <c r="O160">
        <v>25538000</v>
      </c>
      <c r="P160" s="2">
        <v>-3.4979599028898112</v>
      </c>
      <c r="Q160" s="4">
        <v>20.251633999999999</v>
      </c>
    </row>
    <row r="161" spans="1:17" x14ac:dyDescent="0.4">
      <c r="A161">
        <v>20210820</v>
      </c>
      <c r="B161" s="1">
        <v>0.54166666666666663</v>
      </c>
      <c r="C161">
        <v>56827</v>
      </c>
      <c r="D161">
        <v>465417</v>
      </c>
      <c r="E161">
        <v>-236171</v>
      </c>
      <c r="F161">
        <v>-413284</v>
      </c>
      <c r="G161">
        <v>2012</v>
      </c>
      <c r="H161">
        <v>-772144</v>
      </c>
      <c r="I161">
        <v>-214648</v>
      </c>
      <c r="J161">
        <v>-133993</v>
      </c>
      <c r="K161">
        <v>-84998</v>
      </c>
      <c r="L161">
        <v>26104</v>
      </c>
      <c r="M161">
        <v>8.41</v>
      </c>
      <c r="N161">
        <v>-1304878</v>
      </c>
      <c r="O161">
        <v>25140900</v>
      </c>
      <c r="P161" s="2">
        <v>-5.1902596963513634</v>
      </c>
      <c r="Q161" s="4">
        <v>21.143496899999999</v>
      </c>
    </row>
    <row r="162" spans="1:17" x14ac:dyDescent="0.4">
      <c r="A162">
        <v>20210820</v>
      </c>
      <c r="B162" s="1">
        <v>0.5625</v>
      </c>
      <c r="C162">
        <v>113697</v>
      </c>
      <c r="D162">
        <v>390528</v>
      </c>
      <c r="E162">
        <v>-225728</v>
      </c>
      <c r="F162">
        <v>-140383</v>
      </c>
      <c r="G162">
        <v>44822</v>
      </c>
      <c r="H162">
        <v>-690135</v>
      </c>
      <c r="I162">
        <v>-13910</v>
      </c>
      <c r="J162">
        <v>-135730</v>
      </c>
      <c r="K162">
        <v>76210</v>
      </c>
      <c r="L162">
        <v>19179</v>
      </c>
      <c r="M162">
        <v>8.41</v>
      </c>
      <c r="N162">
        <v>-561450</v>
      </c>
      <c r="O162">
        <v>24790550</v>
      </c>
      <c r="P162" s="2">
        <v>-2.2647742789086971</v>
      </c>
      <c r="Q162" s="4">
        <v>20.84885255</v>
      </c>
    </row>
    <row r="163" spans="1:17" x14ac:dyDescent="0.4">
      <c r="A163">
        <v>20210820</v>
      </c>
      <c r="B163" s="1">
        <v>0.58333333333333337</v>
      </c>
      <c r="C163">
        <v>74700</v>
      </c>
      <c r="D163">
        <v>312207</v>
      </c>
      <c r="E163">
        <v>-297167</v>
      </c>
      <c r="F163">
        <v>-198678</v>
      </c>
      <c r="G163">
        <v>-14104</v>
      </c>
      <c r="H163">
        <v>-414725</v>
      </c>
      <c r="I163">
        <v>25522</v>
      </c>
      <c r="J163">
        <v>-144239</v>
      </c>
      <c r="K163">
        <v>218068</v>
      </c>
      <c r="L163">
        <v>6825</v>
      </c>
      <c r="M163">
        <v>9.0399999999999991</v>
      </c>
      <c r="N163">
        <v>-431591</v>
      </c>
      <c r="O163">
        <v>24517550</v>
      </c>
      <c r="P163" s="2">
        <v>-1.7603349437443789</v>
      </c>
      <c r="Q163" s="4">
        <v>22.163865199999996</v>
      </c>
    </row>
    <row r="164" spans="1:17" x14ac:dyDescent="0.4">
      <c r="A164">
        <v>20210820</v>
      </c>
      <c r="B164" s="1">
        <v>0.60416666666666663</v>
      </c>
      <c r="C164">
        <v>120303</v>
      </c>
      <c r="D164">
        <v>187919</v>
      </c>
      <c r="E164">
        <v>-235793</v>
      </c>
      <c r="F164">
        <v>-314562</v>
      </c>
      <c r="G164">
        <v>37437</v>
      </c>
      <c r="H164">
        <v>-63486</v>
      </c>
      <c r="I164">
        <v>6713</v>
      </c>
      <c r="J164">
        <v>-185637</v>
      </c>
      <c r="K164">
        <v>326687</v>
      </c>
      <c r="L164">
        <v>2037</v>
      </c>
      <c r="M164">
        <v>9.34</v>
      </c>
      <c r="N164">
        <v>-118382</v>
      </c>
      <c r="O164">
        <v>24175750</v>
      </c>
      <c r="P164" s="2">
        <v>-0.48967250240426874</v>
      </c>
      <c r="Q164" s="4">
        <v>22.580150499999998</v>
      </c>
    </row>
    <row r="165" spans="1:17" x14ac:dyDescent="0.4">
      <c r="A165">
        <v>20210820</v>
      </c>
      <c r="B165" s="1">
        <v>0.64583333333333337</v>
      </c>
      <c r="C165">
        <v>98797</v>
      </c>
      <c r="D165">
        <v>-3307</v>
      </c>
      <c r="E165">
        <v>-203041</v>
      </c>
      <c r="F165">
        <v>-685057</v>
      </c>
      <c r="G165">
        <v>36577</v>
      </c>
      <c r="H165">
        <v>591110</v>
      </c>
      <c r="I165">
        <v>6600</v>
      </c>
      <c r="J165">
        <v>-328479</v>
      </c>
      <c r="K165">
        <v>301145</v>
      </c>
      <c r="L165">
        <v>-7665</v>
      </c>
      <c r="M165">
        <v>9.81</v>
      </c>
      <c r="N165">
        <v>-193320</v>
      </c>
      <c r="O165">
        <v>23295750</v>
      </c>
      <c r="P165" s="2">
        <v>-0.8298509384759023</v>
      </c>
      <c r="Q165" s="4">
        <v>22.853130749999998</v>
      </c>
    </row>
    <row r="166" spans="1:17" x14ac:dyDescent="0.4">
      <c r="A166">
        <v>20210820</v>
      </c>
      <c r="B166" s="1">
        <v>0.66666666666666663</v>
      </c>
      <c r="C166">
        <v>3724</v>
      </c>
      <c r="D166">
        <v>-41070</v>
      </c>
      <c r="E166">
        <v>115979</v>
      </c>
      <c r="F166">
        <v>-708648</v>
      </c>
      <c r="G166">
        <v>3603</v>
      </c>
      <c r="H166">
        <v>653243</v>
      </c>
      <c r="I166">
        <v>-170748</v>
      </c>
      <c r="J166">
        <v>-288949</v>
      </c>
      <c r="K166">
        <v>221262</v>
      </c>
      <c r="L166">
        <v>-2009</v>
      </c>
      <c r="M166">
        <v>10.220000000000001</v>
      </c>
      <c r="N166">
        <v>-213613</v>
      </c>
      <c r="O166">
        <v>23720000</v>
      </c>
      <c r="P166" s="2">
        <v>-0.90056070826306911</v>
      </c>
      <c r="Q166" s="4">
        <v>24.241840000000003</v>
      </c>
    </row>
    <row r="167" spans="1:17" x14ac:dyDescent="0.4">
      <c r="A167">
        <v>20210820</v>
      </c>
      <c r="B167" s="1">
        <v>0.6875</v>
      </c>
      <c r="C167">
        <v>-2307</v>
      </c>
      <c r="D167">
        <v>-12780</v>
      </c>
      <c r="E167">
        <v>28244</v>
      </c>
      <c r="F167">
        <v>-601896</v>
      </c>
      <c r="G167">
        <v>11420</v>
      </c>
      <c r="H167">
        <v>674225</v>
      </c>
      <c r="I167">
        <v>-142589</v>
      </c>
      <c r="J167">
        <v>-220327</v>
      </c>
      <c r="K167">
        <v>185290</v>
      </c>
      <c r="L167">
        <v>-13003</v>
      </c>
      <c r="M167">
        <v>10.220000000000001</v>
      </c>
      <c r="N167">
        <v>-93723</v>
      </c>
      <c r="O167">
        <v>23305650</v>
      </c>
      <c r="P167" s="2">
        <v>-0.40214711883169962</v>
      </c>
      <c r="Q167" s="4">
        <v>23.818374299999999</v>
      </c>
    </row>
    <row r="168" spans="1:17" x14ac:dyDescent="0.4">
      <c r="A168">
        <v>20210821</v>
      </c>
      <c r="B168" s="1">
        <v>0.64583333333333337</v>
      </c>
      <c r="C168">
        <v>123990</v>
      </c>
      <c r="D168">
        <v>-110350</v>
      </c>
      <c r="E168">
        <v>-523272</v>
      </c>
      <c r="F168">
        <v>105487</v>
      </c>
      <c r="G168">
        <v>220</v>
      </c>
      <c r="H168">
        <v>132053</v>
      </c>
      <c r="I168">
        <v>-11304</v>
      </c>
      <c r="J168">
        <v>-73005</v>
      </c>
      <c r="K168">
        <v>324337</v>
      </c>
      <c r="L168">
        <v>-3331</v>
      </c>
      <c r="M168">
        <v>8.39</v>
      </c>
      <c r="N168">
        <v>-35175</v>
      </c>
      <c r="O168">
        <v>21068150</v>
      </c>
      <c r="P168" s="2">
        <v>-0.16695818095086659</v>
      </c>
      <c r="Q168" s="4">
        <v>17.676177849999998</v>
      </c>
    </row>
    <row r="169" spans="1:17" x14ac:dyDescent="0.4">
      <c r="A169">
        <v>20210821</v>
      </c>
      <c r="B169" s="1">
        <v>0.75</v>
      </c>
      <c r="C169">
        <v>72861</v>
      </c>
      <c r="D169">
        <v>-3520</v>
      </c>
      <c r="E169">
        <v>-446570</v>
      </c>
      <c r="F169">
        <v>47693</v>
      </c>
      <c r="G169">
        <v>-15700</v>
      </c>
      <c r="H169">
        <v>384757</v>
      </c>
      <c r="I169">
        <v>34347</v>
      </c>
      <c r="J169">
        <v>3044</v>
      </c>
      <c r="K169">
        <v>-122771</v>
      </c>
      <c r="L169">
        <v>7321</v>
      </c>
      <c r="M169">
        <v>9.41</v>
      </c>
      <c r="N169">
        <v>-38538</v>
      </c>
      <c r="O169">
        <v>20728200</v>
      </c>
      <c r="P169" s="2">
        <v>-0.18592062986655861</v>
      </c>
      <c r="Q169" s="4">
        <v>19.505236199999999</v>
      </c>
    </row>
    <row r="170" spans="1:17" x14ac:dyDescent="0.4">
      <c r="A170">
        <v>20210821</v>
      </c>
      <c r="B170" s="1">
        <v>0.77083333333333337</v>
      </c>
      <c r="C170">
        <v>56576</v>
      </c>
      <c r="D170">
        <v>-78500</v>
      </c>
      <c r="E170">
        <v>-459409</v>
      </c>
      <c r="F170">
        <v>43945</v>
      </c>
      <c r="G170">
        <v>-16761</v>
      </c>
      <c r="H170">
        <v>324453</v>
      </c>
      <c r="I170">
        <v>-42580</v>
      </c>
      <c r="J170">
        <v>-25677</v>
      </c>
      <c r="K170">
        <v>-135562</v>
      </c>
      <c r="L170">
        <v>1124</v>
      </c>
      <c r="M170">
        <v>9.61</v>
      </c>
      <c r="N170">
        <v>-332391</v>
      </c>
      <c r="O170">
        <v>20551250</v>
      </c>
      <c r="P170" s="2">
        <v>-1.6173760720150843</v>
      </c>
      <c r="Q170" s="4">
        <v>19.749751249999999</v>
      </c>
    </row>
    <row r="171" spans="1:17" x14ac:dyDescent="0.4">
      <c r="A171">
        <v>20210821</v>
      </c>
      <c r="B171" s="1">
        <v>0.79166666666666663</v>
      </c>
      <c r="C171">
        <v>37190</v>
      </c>
      <c r="D171">
        <v>-17711</v>
      </c>
      <c r="E171">
        <v>-375306</v>
      </c>
      <c r="F171">
        <v>99964</v>
      </c>
      <c r="G171">
        <v>-14515</v>
      </c>
      <c r="H171">
        <v>327324</v>
      </c>
      <c r="I171">
        <v>-39439</v>
      </c>
      <c r="J171">
        <v>9114</v>
      </c>
      <c r="K171">
        <v>-105661</v>
      </c>
      <c r="L171">
        <v>2330</v>
      </c>
      <c r="M171">
        <v>9.48</v>
      </c>
      <c r="N171">
        <v>-76710</v>
      </c>
      <c r="O171">
        <v>20484450</v>
      </c>
      <c r="P171" s="2">
        <v>-0.37447917810827236</v>
      </c>
      <c r="Q171" s="4">
        <v>19.419258599999999</v>
      </c>
    </row>
    <row r="172" spans="1:17" x14ac:dyDescent="0.4">
      <c r="A172">
        <v>20210821</v>
      </c>
      <c r="B172" s="1">
        <v>0.97916666666666663</v>
      </c>
      <c r="C172">
        <v>64829</v>
      </c>
      <c r="D172">
        <v>56813</v>
      </c>
      <c r="E172">
        <v>-459846</v>
      </c>
      <c r="F172">
        <v>78010</v>
      </c>
      <c r="G172">
        <v>21560</v>
      </c>
      <c r="H172">
        <v>150386</v>
      </c>
      <c r="I172">
        <v>-1887</v>
      </c>
      <c r="J172">
        <v>-26845</v>
      </c>
      <c r="K172">
        <v>67155</v>
      </c>
      <c r="L172">
        <v>-8244</v>
      </c>
      <c r="M172">
        <v>6.85</v>
      </c>
      <c r="N172">
        <v>-58069</v>
      </c>
      <c r="O172">
        <v>18448000</v>
      </c>
      <c r="P172" s="2">
        <v>-0.31477124891587166</v>
      </c>
      <c r="Q172" s="4">
        <v>12.63688</v>
      </c>
    </row>
    <row r="173" spans="1:17" x14ac:dyDescent="0.4">
      <c r="A173">
        <v>20210822</v>
      </c>
      <c r="B173" s="1">
        <v>0</v>
      </c>
      <c r="C173">
        <v>2591</v>
      </c>
      <c r="D173">
        <v>40400</v>
      </c>
      <c r="E173">
        <v>-563350</v>
      </c>
      <c r="F173">
        <v>6637</v>
      </c>
      <c r="G173">
        <v>17774</v>
      </c>
      <c r="H173">
        <v>41114</v>
      </c>
      <c r="I173">
        <v>-89174</v>
      </c>
      <c r="J173">
        <v>-45059</v>
      </c>
      <c r="K173">
        <v>34524</v>
      </c>
      <c r="L173">
        <v>-7827</v>
      </c>
      <c r="M173">
        <v>6.65</v>
      </c>
      <c r="N173">
        <v>-562370</v>
      </c>
      <c r="O173">
        <v>17004350</v>
      </c>
      <c r="P173" s="2">
        <v>-3.3072125661962968</v>
      </c>
      <c r="Q173" s="4">
        <v>11.307892750000001</v>
      </c>
    </row>
    <row r="174" spans="1:17" x14ac:dyDescent="0.4">
      <c r="A174">
        <v>20210822</v>
      </c>
      <c r="B174" s="1">
        <v>2.0833333333333332E-2</v>
      </c>
      <c r="C174">
        <v>15832</v>
      </c>
      <c r="D174">
        <v>-6285</v>
      </c>
      <c r="E174">
        <v>-441978</v>
      </c>
      <c r="F174">
        <v>-24013</v>
      </c>
      <c r="G174">
        <v>3860</v>
      </c>
      <c r="H174">
        <v>73672</v>
      </c>
      <c r="I174">
        <v>-64540</v>
      </c>
      <c r="J174">
        <v>-32296</v>
      </c>
      <c r="K174">
        <v>25170</v>
      </c>
      <c r="L174">
        <v>2695</v>
      </c>
      <c r="M174">
        <v>6.55</v>
      </c>
      <c r="N174">
        <v>-447883</v>
      </c>
      <c r="O174">
        <v>17769500</v>
      </c>
      <c r="P174" s="2">
        <v>-2.5205154900250428</v>
      </c>
      <c r="Q174" s="4">
        <v>11.639022499999999</v>
      </c>
    </row>
    <row r="175" spans="1:17" x14ac:dyDescent="0.4">
      <c r="A175">
        <v>20210822</v>
      </c>
      <c r="B175" s="1">
        <v>4.1666666666666664E-2</v>
      </c>
      <c r="C175">
        <v>9331</v>
      </c>
      <c r="D175">
        <v>31343</v>
      </c>
      <c r="E175">
        <v>-529475</v>
      </c>
      <c r="F175">
        <v>-84253</v>
      </c>
      <c r="G175">
        <v>11945</v>
      </c>
      <c r="H175">
        <v>120813</v>
      </c>
      <c r="I175">
        <v>9302</v>
      </c>
      <c r="J175">
        <v>-32194</v>
      </c>
      <c r="K175">
        <v>-3738</v>
      </c>
      <c r="L175">
        <v>-50</v>
      </c>
      <c r="M175">
        <v>6.55</v>
      </c>
      <c r="N175">
        <v>-466976</v>
      </c>
      <c r="O175">
        <v>17974750</v>
      </c>
      <c r="P175" s="2">
        <v>-2.5979554653054979</v>
      </c>
      <c r="Q175" s="4">
        <v>11.77346125</v>
      </c>
    </row>
    <row r="176" spans="1:17" x14ac:dyDescent="0.4">
      <c r="A176">
        <v>20210822</v>
      </c>
      <c r="B176" s="1">
        <v>6.25E-2</v>
      </c>
      <c r="C176">
        <v>-4631</v>
      </c>
      <c r="D176">
        <v>34368</v>
      </c>
      <c r="E176">
        <v>-563128</v>
      </c>
      <c r="F176">
        <v>2089</v>
      </c>
      <c r="G176">
        <v>19301</v>
      </c>
      <c r="H176">
        <v>74753</v>
      </c>
      <c r="I176">
        <v>-8262</v>
      </c>
      <c r="J176">
        <v>-35731</v>
      </c>
      <c r="K176">
        <v>1590</v>
      </c>
      <c r="L176">
        <v>2643</v>
      </c>
      <c r="M176">
        <v>6.55</v>
      </c>
      <c r="N176">
        <v>-477008</v>
      </c>
      <c r="O176">
        <v>17965500</v>
      </c>
      <c r="P176" s="2">
        <v>-2.6551334502240405</v>
      </c>
      <c r="Q176" s="4">
        <v>11.767402499999999</v>
      </c>
    </row>
    <row r="177" spans="1:17" x14ac:dyDescent="0.4">
      <c r="A177">
        <v>20210822</v>
      </c>
      <c r="B177" s="1">
        <v>8.3333333333333329E-2</v>
      </c>
      <c r="C177">
        <v>32083</v>
      </c>
      <c r="D177">
        <v>-12772</v>
      </c>
      <c r="E177">
        <v>-525753</v>
      </c>
      <c r="F177">
        <v>-37233</v>
      </c>
      <c r="G177">
        <v>37242</v>
      </c>
      <c r="H177">
        <v>78982</v>
      </c>
      <c r="I177">
        <v>69772</v>
      </c>
      <c r="J177">
        <v>-20809</v>
      </c>
      <c r="K177">
        <v>12462</v>
      </c>
      <c r="L177">
        <v>-2264</v>
      </c>
      <c r="M177">
        <v>6.43</v>
      </c>
      <c r="N177">
        <v>-368290</v>
      </c>
      <c r="O177">
        <v>17779400</v>
      </c>
      <c r="P177" s="2">
        <v>-2.0714422308964306</v>
      </c>
      <c r="Q177" s="4">
        <v>11.432154199999999</v>
      </c>
    </row>
    <row r="178" spans="1:17" x14ac:dyDescent="0.4">
      <c r="A178">
        <v>20210822</v>
      </c>
      <c r="B178" s="1">
        <v>0.10416666666666667</v>
      </c>
      <c r="C178">
        <v>-345</v>
      </c>
      <c r="D178">
        <v>-10352</v>
      </c>
      <c r="E178">
        <v>-544358</v>
      </c>
      <c r="F178">
        <v>-41811</v>
      </c>
      <c r="G178">
        <v>15897</v>
      </c>
      <c r="H178">
        <v>-38858</v>
      </c>
      <c r="I178">
        <v>-11193</v>
      </c>
      <c r="J178">
        <v>-20696</v>
      </c>
      <c r="K178">
        <v>-32720</v>
      </c>
      <c r="L178">
        <v>-9217</v>
      </c>
      <c r="M178">
        <v>6.48</v>
      </c>
      <c r="N178">
        <v>-693653</v>
      </c>
      <c r="O178">
        <v>17659100</v>
      </c>
      <c r="P178" s="2">
        <v>-3.9280201142753595</v>
      </c>
      <c r="Q178" s="4">
        <v>11.443096800000001</v>
      </c>
    </row>
    <row r="179" spans="1:17" x14ac:dyDescent="0.4">
      <c r="A179">
        <v>20210822</v>
      </c>
      <c r="B179" s="1">
        <v>0.125</v>
      </c>
      <c r="C179">
        <v>7306</v>
      </c>
      <c r="D179">
        <v>8873</v>
      </c>
      <c r="E179">
        <v>-525128</v>
      </c>
      <c r="F179">
        <v>-89502</v>
      </c>
      <c r="G179">
        <v>29543</v>
      </c>
      <c r="H179">
        <v>7236</v>
      </c>
      <c r="I179">
        <v>-12088</v>
      </c>
      <c r="J179">
        <v>-21146</v>
      </c>
      <c r="K179">
        <v>-21182</v>
      </c>
      <c r="L179">
        <v>-13085</v>
      </c>
      <c r="M179">
        <v>6.44</v>
      </c>
      <c r="N179">
        <v>-629173</v>
      </c>
      <c r="O179">
        <v>17632900</v>
      </c>
      <c r="P179" s="2">
        <v>-3.5681765336388227</v>
      </c>
      <c r="Q179" s="4">
        <v>11.3555876</v>
      </c>
    </row>
    <row r="180" spans="1:17" x14ac:dyDescent="0.4">
      <c r="A180">
        <v>20210822</v>
      </c>
      <c r="B180" s="1">
        <v>0.14583333333333334</v>
      </c>
      <c r="C180">
        <v>-17627</v>
      </c>
      <c r="D180">
        <v>-14028</v>
      </c>
      <c r="E180">
        <v>-357039</v>
      </c>
      <c r="F180">
        <v>-172587</v>
      </c>
      <c r="G180">
        <v>-6770</v>
      </c>
      <c r="H180">
        <v>-5521</v>
      </c>
      <c r="I180">
        <v>-24012</v>
      </c>
      <c r="J180">
        <v>-20564</v>
      </c>
      <c r="K180">
        <v>22544</v>
      </c>
      <c r="L180">
        <v>-9835</v>
      </c>
      <c r="M180">
        <v>6.47</v>
      </c>
      <c r="N180">
        <v>-605439</v>
      </c>
      <c r="O180">
        <v>17533000</v>
      </c>
      <c r="P180" s="2">
        <v>-3.4531397935321966</v>
      </c>
      <c r="Q180" s="4">
        <v>11.343851000000001</v>
      </c>
    </row>
    <row r="181" spans="1:17" x14ac:dyDescent="0.4">
      <c r="A181">
        <v>20210822</v>
      </c>
      <c r="B181" s="1">
        <v>0.16666666666666666</v>
      </c>
      <c r="C181">
        <v>-25664</v>
      </c>
      <c r="D181">
        <v>-18961</v>
      </c>
      <c r="E181">
        <v>-301919</v>
      </c>
      <c r="F181">
        <v>-115388</v>
      </c>
      <c r="G181">
        <v>31424</v>
      </c>
      <c r="H181">
        <v>-62758</v>
      </c>
      <c r="I181">
        <v>13340</v>
      </c>
      <c r="J181">
        <v>-13401</v>
      </c>
      <c r="K181">
        <v>-29688</v>
      </c>
      <c r="L181">
        <v>-7726</v>
      </c>
      <c r="M181">
        <v>6.47</v>
      </c>
      <c r="N181">
        <v>-530741</v>
      </c>
      <c r="O181">
        <v>17533350</v>
      </c>
      <c r="P181" s="2">
        <v>-3.0270370465427314</v>
      </c>
      <c r="Q181" s="4">
        <v>11.34407745</v>
      </c>
    </row>
    <row r="182" spans="1:17" x14ac:dyDescent="0.4">
      <c r="A182">
        <v>20210822</v>
      </c>
      <c r="B182" s="1">
        <v>0.1875</v>
      </c>
      <c r="C182">
        <v>16055</v>
      </c>
      <c r="D182">
        <v>-40941</v>
      </c>
      <c r="E182">
        <v>-156495</v>
      </c>
      <c r="F182">
        <v>-144008</v>
      </c>
      <c r="G182">
        <v>5028</v>
      </c>
      <c r="H182">
        <v>-85046</v>
      </c>
      <c r="I182">
        <v>-38971</v>
      </c>
      <c r="J182">
        <v>-1474</v>
      </c>
      <c r="K182">
        <v>-33292</v>
      </c>
      <c r="L182">
        <v>-10202</v>
      </c>
      <c r="M182">
        <v>6.47</v>
      </c>
      <c r="N182">
        <v>-489346</v>
      </c>
      <c r="O182">
        <v>17533600</v>
      </c>
      <c r="P182" s="2">
        <v>-2.7909043208468312</v>
      </c>
      <c r="Q182" s="4">
        <v>11.344239200000001</v>
      </c>
    </row>
    <row r="183" spans="1:17" x14ac:dyDescent="0.4">
      <c r="A183">
        <v>20210822</v>
      </c>
      <c r="B183" s="1">
        <v>0.20833333333333334</v>
      </c>
      <c r="C183">
        <v>43292</v>
      </c>
      <c r="D183">
        <v>-59839</v>
      </c>
      <c r="E183">
        <v>-234677</v>
      </c>
      <c r="F183">
        <v>-114786</v>
      </c>
      <c r="G183">
        <v>24595</v>
      </c>
      <c r="H183">
        <v>-30374</v>
      </c>
      <c r="I183">
        <v>-63236</v>
      </c>
      <c r="J183">
        <v>5030</v>
      </c>
      <c r="K183">
        <v>-82244</v>
      </c>
      <c r="L183">
        <v>-13009</v>
      </c>
      <c r="M183">
        <v>6.43</v>
      </c>
      <c r="N183">
        <v>-525248</v>
      </c>
      <c r="O183">
        <v>17473750</v>
      </c>
      <c r="P183" s="2">
        <v>-3.0059260319050005</v>
      </c>
      <c r="Q183" s="4">
        <v>11.235621249999999</v>
      </c>
    </row>
    <row r="184" spans="1:17" x14ac:dyDescent="0.4">
      <c r="A184">
        <v>20210822</v>
      </c>
      <c r="B184" s="1">
        <v>0.22916666666666666</v>
      </c>
      <c r="C184">
        <v>34475</v>
      </c>
      <c r="D184">
        <v>-29933</v>
      </c>
      <c r="E184">
        <v>-291676</v>
      </c>
      <c r="F184">
        <v>30091</v>
      </c>
      <c r="G184">
        <v>38430</v>
      </c>
      <c r="H184">
        <v>15875</v>
      </c>
      <c r="I184">
        <v>-11655</v>
      </c>
      <c r="J184">
        <v>29896</v>
      </c>
      <c r="K184">
        <v>-46580</v>
      </c>
      <c r="L184">
        <v>-7642</v>
      </c>
      <c r="M184">
        <v>6.38</v>
      </c>
      <c r="N184">
        <v>-238719</v>
      </c>
      <c r="O184">
        <v>17509600</v>
      </c>
      <c r="P184" s="2">
        <v>-1.3633606707177777</v>
      </c>
      <c r="Q184" s="4">
        <v>11.171124799999999</v>
      </c>
    </row>
    <row r="185" spans="1:17" x14ac:dyDescent="0.4">
      <c r="A185">
        <v>20210822</v>
      </c>
      <c r="B185" s="1">
        <v>0.39583333333333331</v>
      </c>
      <c r="C185">
        <v>49775</v>
      </c>
      <c r="D185">
        <v>107724</v>
      </c>
      <c r="E185">
        <v>-537255</v>
      </c>
      <c r="F185">
        <v>188133</v>
      </c>
      <c r="G185">
        <v>85799</v>
      </c>
      <c r="H185">
        <v>328003</v>
      </c>
      <c r="I185">
        <v>-169485</v>
      </c>
      <c r="J185">
        <v>68026</v>
      </c>
      <c r="K185">
        <v>-245405</v>
      </c>
      <c r="L185">
        <v>20841</v>
      </c>
      <c r="M185">
        <v>6.04</v>
      </c>
      <c r="N185">
        <v>-103844</v>
      </c>
      <c r="O185">
        <v>21401150</v>
      </c>
      <c r="P185" s="2">
        <v>-0.48522626120558943</v>
      </c>
      <c r="Q185" s="4">
        <v>12.9262946</v>
      </c>
    </row>
    <row r="186" spans="1:17" x14ac:dyDescent="0.4">
      <c r="A186">
        <v>20210822</v>
      </c>
      <c r="B186" s="1">
        <v>0.47916666666666669</v>
      </c>
      <c r="C186">
        <v>76266</v>
      </c>
      <c r="D186">
        <v>200988</v>
      </c>
      <c r="E186">
        <v>-568967</v>
      </c>
      <c r="F186">
        <v>412179</v>
      </c>
      <c r="G186">
        <v>56423</v>
      </c>
      <c r="H186">
        <v>33437</v>
      </c>
      <c r="I186">
        <v>-303068</v>
      </c>
      <c r="J186">
        <v>-133521</v>
      </c>
      <c r="K186">
        <v>-159466</v>
      </c>
      <c r="L186">
        <v>-10635</v>
      </c>
      <c r="M186">
        <v>5.86</v>
      </c>
      <c r="N186">
        <v>-396364</v>
      </c>
      <c r="O186">
        <v>23058100</v>
      </c>
      <c r="P186" s="2">
        <v>-1.7189794475694007</v>
      </c>
      <c r="Q186" s="4">
        <v>13.5120466</v>
      </c>
    </row>
    <row r="187" spans="1:17" x14ac:dyDescent="0.4">
      <c r="A187">
        <v>20210822</v>
      </c>
      <c r="B187" s="1">
        <v>0.5</v>
      </c>
      <c r="C187">
        <v>14763</v>
      </c>
      <c r="D187">
        <v>375629</v>
      </c>
      <c r="E187">
        <v>-183880</v>
      </c>
      <c r="F187">
        <v>80516</v>
      </c>
      <c r="G187">
        <v>19996</v>
      </c>
      <c r="H187">
        <v>4162</v>
      </c>
      <c r="I187">
        <v>-313647</v>
      </c>
      <c r="J187">
        <v>-198873</v>
      </c>
      <c r="K187">
        <v>-113956</v>
      </c>
      <c r="L187">
        <v>-38131</v>
      </c>
      <c r="M187">
        <v>5.93</v>
      </c>
      <c r="N187">
        <v>-353421</v>
      </c>
      <c r="O187">
        <v>23183650</v>
      </c>
      <c r="P187" s="2">
        <v>-1.5244407157630486</v>
      </c>
      <c r="Q187" s="4">
        <v>13.74790445</v>
      </c>
    </row>
    <row r="188" spans="1:17" x14ac:dyDescent="0.4">
      <c r="A188">
        <v>20210822</v>
      </c>
      <c r="B188" s="1">
        <v>0.52083333333333337</v>
      </c>
      <c r="C188">
        <v>16243</v>
      </c>
      <c r="D188">
        <v>391657</v>
      </c>
      <c r="E188">
        <v>-353</v>
      </c>
      <c r="F188">
        <v>-56399</v>
      </c>
      <c r="G188">
        <v>-39449</v>
      </c>
      <c r="H188">
        <v>36673</v>
      </c>
      <c r="I188">
        <v>-260362</v>
      </c>
      <c r="J188">
        <v>-195575</v>
      </c>
      <c r="K188">
        <v>-126636</v>
      </c>
      <c r="L188">
        <v>-37983</v>
      </c>
      <c r="M188">
        <v>5.94</v>
      </c>
      <c r="N188">
        <v>-272184</v>
      </c>
      <c r="O188">
        <v>23134400</v>
      </c>
      <c r="P188" s="2">
        <v>-1.1765336468635452</v>
      </c>
      <c r="Q188" s="4">
        <v>13.7418336</v>
      </c>
    </row>
    <row r="189" spans="1:17" x14ac:dyDescent="0.4">
      <c r="A189">
        <v>20210822</v>
      </c>
      <c r="B189" s="1">
        <v>0.54166666666666663</v>
      </c>
      <c r="C189">
        <v>29504</v>
      </c>
      <c r="D189">
        <v>557412</v>
      </c>
      <c r="E189">
        <v>-92590</v>
      </c>
      <c r="F189">
        <v>20801</v>
      </c>
      <c r="G189">
        <v>-19635</v>
      </c>
      <c r="H189">
        <v>-62735</v>
      </c>
      <c r="I189">
        <v>-332848</v>
      </c>
      <c r="J189">
        <v>-165448</v>
      </c>
      <c r="K189">
        <v>-20204</v>
      </c>
      <c r="L189">
        <v>-35046</v>
      </c>
      <c r="M189">
        <v>6.32</v>
      </c>
      <c r="N189">
        <v>-120789</v>
      </c>
      <c r="O189">
        <v>22627150</v>
      </c>
      <c r="P189" s="2">
        <v>-0.53382330518867815</v>
      </c>
      <c r="Q189" s="4">
        <v>14.3003588</v>
      </c>
    </row>
    <row r="190" spans="1:17" x14ac:dyDescent="0.4">
      <c r="A190">
        <v>20210822</v>
      </c>
      <c r="B190" s="1">
        <v>0.5625</v>
      </c>
      <c r="C190">
        <v>68696</v>
      </c>
      <c r="D190">
        <v>666883</v>
      </c>
      <c r="E190">
        <v>-556240</v>
      </c>
      <c r="F190">
        <v>144525</v>
      </c>
      <c r="G190">
        <v>-21963</v>
      </c>
      <c r="H190">
        <v>-219932</v>
      </c>
      <c r="I190">
        <v>-443446</v>
      </c>
      <c r="J190">
        <v>-202292</v>
      </c>
      <c r="K190">
        <v>63459</v>
      </c>
      <c r="L190">
        <v>-35556</v>
      </c>
      <c r="M190">
        <v>6.55</v>
      </c>
      <c r="N190">
        <v>-535866</v>
      </c>
      <c r="O190">
        <v>22306300</v>
      </c>
      <c r="P190" s="2">
        <v>-2.4023078681807384</v>
      </c>
      <c r="Q190" s="4">
        <v>14.6106265</v>
      </c>
    </row>
    <row r="191" spans="1:17" x14ac:dyDescent="0.4">
      <c r="A191">
        <v>20210822</v>
      </c>
      <c r="B191" s="1">
        <v>0.58333333333333337</v>
      </c>
      <c r="C191">
        <v>16240</v>
      </c>
      <c r="D191">
        <v>343588</v>
      </c>
      <c r="E191">
        <v>-344581</v>
      </c>
      <c r="F191">
        <v>82780</v>
      </c>
      <c r="G191">
        <v>17436</v>
      </c>
      <c r="H191">
        <v>-243567</v>
      </c>
      <c r="I191">
        <v>-490020</v>
      </c>
      <c r="J191">
        <v>-167565</v>
      </c>
      <c r="K191">
        <v>-63495</v>
      </c>
      <c r="L191">
        <v>-45992</v>
      </c>
      <c r="M191">
        <v>6.85</v>
      </c>
      <c r="N191">
        <v>-895176</v>
      </c>
      <c r="O191">
        <v>21969650</v>
      </c>
      <c r="P191" s="2">
        <v>-4.0746029181165833</v>
      </c>
      <c r="Q191" s="4">
        <v>15.04921025</v>
      </c>
    </row>
    <row r="192" spans="1:17" x14ac:dyDescent="0.4">
      <c r="A192">
        <v>20210822</v>
      </c>
      <c r="B192" s="1">
        <v>0.60416666666666663</v>
      </c>
      <c r="C192">
        <v>43113</v>
      </c>
      <c r="D192">
        <v>319048</v>
      </c>
      <c r="E192">
        <v>-381617</v>
      </c>
      <c r="F192">
        <v>-165304</v>
      </c>
      <c r="G192">
        <v>20987</v>
      </c>
      <c r="H192">
        <v>-315533</v>
      </c>
      <c r="I192">
        <v>-426253</v>
      </c>
      <c r="J192">
        <v>-162124</v>
      </c>
      <c r="K192">
        <v>-139237</v>
      </c>
      <c r="L192">
        <v>-48700</v>
      </c>
      <c r="M192">
        <v>6.86</v>
      </c>
      <c r="N192">
        <v>-1255620</v>
      </c>
      <c r="O192">
        <v>21941400</v>
      </c>
      <c r="P192" s="2">
        <v>-5.7226065793431591</v>
      </c>
      <c r="Q192" s="4">
        <v>15.051800399999999</v>
      </c>
    </row>
    <row r="193" spans="1:17" x14ac:dyDescent="0.4">
      <c r="A193">
        <v>20210822</v>
      </c>
      <c r="B193" s="1">
        <v>0.625</v>
      </c>
      <c r="C193">
        <v>52833</v>
      </c>
      <c r="D193">
        <v>295508</v>
      </c>
      <c r="E193">
        <v>-615685</v>
      </c>
      <c r="F193">
        <v>-180699</v>
      </c>
      <c r="G193">
        <v>11506</v>
      </c>
      <c r="H193">
        <v>-153768</v>
      </c>
      <c r="I193">
        <v>-453199</v>
      </c>
      <c r="J193">
        <v>-194195</v>
      </c>
      <c r="K193">
        <v>-182684</v>
      </c>
      <c r="L193">
        <v>-41095</v>
      </c>
      <c r="M193">
        <v>7.08</v>
      </c>
      <c r="N193">
        <v>-1461478</v>
      </c>
      <c r="O193">
        <v>21529100</v>
      </c>
      <c r="P193" s="2">
        <v>-6.7883840940866085</v>
      </c>
      <c r="Q193" s="4">
        <v>15.2426028</v>
      </c>
    </row>
    <row r="194" spans="1:17" x14ac:dyDescent="0.4">
      <c r="A194">
        <v>20210822</v>
      </c>
      <c r="B194" s="1">
        <v>0.64583333333333337</v>
      </c>
      <c r="C194">
        <v>71875</v>
      </c>
      <c r="D194">
        <v>220668</v>
      </c>
      <c r="E194">
        <v>-749304</v>
      </c>
      <c r="F194">
        <v>-421200</v>
      </c>
      <c r="G194">
        <v>7710</v>
      </c>
      <c r="H194">
        <v>21554</v>
      </c>
      <c r="I194">
        <v>-393739</v>
      </c>
      <c r="J194">
        <v>-252460</v>
      </c>
      <c r="K194">
        <v>-239374</v>
      </c>
      <c r="L194">
        <v>-48581</v>
      </c>
      <c r="M194">
        <v>7.11</v>
      </c>
      <c r="N194">
        <v>-1782851</v>
      </c>
      <c r="O194">
        <v>21194300</v>
      </c>
      <c r="P194" s="2">
        <v>-8.4119362281368097</v>
      </c>
      <c r="Q194" s="4">
        <v>15.069147299999999</v>
      </c>
    </row>
    <row r="195" spans="1:17" x14ac:dyDescent="0.4">
      <c r="A195">
        <v>20210822</v>
      </c>
      <c r="B195" s="1">
        <v>0.66666666666666663</v>
      </c>
      <c r="C195">
        <v>46541</v>
      </c>
      <c r="D195">
        <v>95307</v>
      </c>
      <c r="E195">
        <v>-472118</v>
      </c>
      <c r="F195">
        <v>-534946</v>
      </c>
      <c r="G195">
        <v>15003</v>
      </c>
      <c r="H195">
        <v>-87288</v>
      </c>
      <c r="I195">
        <v>-370839</v>
      </c>
      <c r="J195">
        <v>-236922</v>
      </c>
      <c r="K195">
        <v>-206647</v>
      </c>
      <c r="L195">
        <v>-32912</v>
      </c>
      <c r="M195">
        <v>7.73</v>
      </c>
      <c r="N195">
        <v>-1784821</v>
      </c>
      <c r="O195">
        <v>21531850</v>
      </c>
      <c r="P195" s="2">
        <v>-8.2892134210483537</v>
      </c>
      <c r="Q195" s="4">
        <v>16.644120050000001</v>
      </c>
    </row>
    <row r="196" spans="1:17" x14ac:dyDescent="0.4">
      <c r="A196">
        <v>20210822</v>
      </c>
      <c r="B196" s="1">
        <v>0.6875</v>
      </c>
      <c r="C196">
        <v>27723</v>
      </c>
      <c r="D196">
        <v>24123</v>
      </c>
      <c r="E196">
        <v>-575972</v>
      </c>
      <c r="F196">
        <v>-433668</v>
      </c>
      <c r="G196">
        <v>28509</v>
      </c>
      <c r="H196">
        <v>-128181</v>
      </c>
      <c r="I196">
        <v>103990</v>
      </c>
      <c r="J196">
        <v>-195184</v>
      </c>
      <c r="K196">
        <v>-271763</v>
      </c>
      <c r="L196">
        <v>-45223</v>
      </c>
      <c r="M196">
        <v>8.39</v>
      </c>
      <c r="N196">
        <v>-1465646</v>
      </c>
      <c r="O196">
        <v>21245650</v>
      </c>
      <c r="P196" s="2">
        <v>-6.8985698248817995</v>
      </c>
      <c r="Q196" s="4">
        <v>17.82510035</v>
      </c>
    </row>
    <row r="197" spans="1:17" x14ac:dyDescent="0.4">
      <c r="A197">
        <v>20210822</v>
      </c>
      <c r="B197" s="1">
        <v>0.70833333333333337</v>
      </c>
      <c r="C197">
        <v>-37556</v>
      </c>
      <c r="D197">
        <v>-30458</v>
      </c>
      <c r="E197">
        <v>-827918</v>
      </c>
      <c r="F197">
        <v>-365456</v>
      </c>
      <c r="G197">
        <v>42925</v>
      </c>
      <c r="H197">
        <v>-87029</v>
      </c>
      <c r="I197">
        <v>56767</v>
      </c>
      <c r="J197">
        <v>-191620</v>
      </c>
      <c r="K197">
        <v>-227316</v>
      </c>
      <c r="L197">
        <v>-47278</v>
      </c>
      <c r="M197">
        <v>8.86</v>
      </c>
      <c r="N197">
        <v>-1714939</v>
      </c>
      <c r="O197">
        <v>21155350</v>
      </c>
      <c r="P197" s="2">
        <v>-8.1064080717170839</v>
      </c>
      <c r="Q197" s="4">
        <v>18.7436401</v>
      </c>
    </row>
    <row r="198" spans="1:17" x14ac:dyDescent="0.4">
      <c r="A198">
        <v>20210822</v>
      </c>
      <c r="B198" s="1">
        <v>0.72916666666666663</v>
      </c>
      <c r="C198">
        <v>-25021</v>
      </c>
      <c r="D198">
        <v>-134777</v>
      </c>
      <c r="E198">
        <v>-810855</v>
      </c>
      <c r="F198">
        <v>-312451</v>
      </c>
      <c r="G198">
        <v>63341</v>
      </c>
      <c r="H198">
        <v>-242843</v>
      </c>
      <c r="I198">
        <v>58626</v>
      </c>
      <c r="J198">
        <v>-176202</v>
      </c>
      <c r="K198">
        <v>-234549</v>
      </c>
      <c r="L198">
        <v>-53739</v>
      </c>
      <c r="M198">
        <v>8.86</v>
      </c>
      <c r="N198">
        <v>-1868470</v>
      </c>
      <c r="O198">
        <v>20707350</v>
      </c>
      <c r="P198" s="2">
        <v>-9.0232212233820359</v>
      </c>
      <c r="Q198" s="4">
        <v>18.346712100000001</v>
      </c>
    </row>
    <row r="199" spans="1:17" x14ac:dyDescent="0.4">
      <c r="A199">
        <v>20210822</v>
      </c>
      <c r="B199" s="1">
        <v>0.75</v>
      </c>
      <c r="C199">
        <v>2488</v>
      </c>
      <c r="D199">
        <v>-217801</v>
      </c>
      <c r="E199">
        <v>-901298</v>
      </c>
      <c r="F199">
        <v>-134345</v>
      </c>
      <c r="G199">
        <v>44361</v>
      </c>
      <c r="H199">
        <v>-56180</v>
      </c>
      <c r="I199">
        <v>101584</v>
      </c>
      <c r="J199">
        <v>-140263</v>
      </c>
      <c r="K199">
        <v>-177628</v>
      </c>
      <c r="L199">
        <v>-31819</v>
      </c>
      <c r="M199">
        <v>9.1300000000000008</v>
      </c>
      <c r="N199">
        <v>-1510901</v>
      </c>
      <c r="O199">
        <v>20694700</v>
      </c>
      <c r="P199" s="2">
        <v>-7.3009079619419461</v>
      </c>
      <c r="Q199" s="4">
        <v>18.894261100000001</v>
      </c>
    </row>
    <row r="200" spans="1:17" x14ac:dyDescent="0.4">
      <c r="A200">
        <v>20210822</v>
      </c>
      <c r="B200" s="1">
        <v>0.77083333333333337</v>
      </c>
      <c r="C200">
        <v>3194</v>
      </c>
      <c r="D200">
        <v>-222209</v>
      </c>
      <c r="E200">
        <v>-920817</v>
      </c>
      <c r="F200">
        <v>-109214</v>
      </c>
      <c r="G200">
        <v>31800</v>
      </c>
      <c r="H200">
        <v>-163273</v>
      </c>
      <c r="I200">
        <v>81333</v>
      </c>
      <c r="J200">
        <v>-98835</v>
      </c>
      <c r="K200">
        <v>-118528</v>
      </c>
      <c r="L200">
        <v>-31809</v>
      </c>
      <c r="M200">
        <v>9.41</v>
      </c>
      <c r="N200">
        <v>-1548358</v>
      </c>
      <c r="O200">
        <v>20584550</v>
      </c>
      <c r="P200" s="2">
        <v>-7.5219424276945572</v>
      </c>
      <c r="Q200" s="4">
        <v>19.370061549999999</v>
      </c>
    </row>
    <row r="201" spans="1:17" x14ac:dyDescent="0.4">
      <c r="A201">
        <v>20210822</v>
      </c>
      <c r="B201" s="1">
        <v>0.79166666666666663</v>
      </c>
      <c r="C201">
        <v>-10408</v>
      </c>
      <c r="D201">
        <v>-97178</v>
      </c>
      <c r="E201">
        <v>-1017688</v>
      </c>
      <c r="F201">
        <v>-411712</v>
      </c>
      <c r="G201">
        <v>30864</v>
      </c>
      <c r="H201">
        <v>-71001</v>
      </c>
      <c r="I201">
        <v>101407</v>
      </c>
      <c r="J201">
        <v>-66340</v>
      </c>
      <c r="K201">
        <v>-123506</v>
      </c>
      <c r="L201">
        <v>-28447</v>
      </c>
      <c r="M201">
        <v>9.09</v>
      </c>
      <c r="N201">
        <v>-1694009</v>
      </c>
      <c r="O201">
        <v>20426400</v>
      </c>
      <c r="P201" s="2">
        <v>-8.2932332667528303</v>
      </c>
      <c r="Q201" s="4">
        <v>18.567597599999999</v>
      </c>
    </row>
    <row r="202" spans="1:17" x14ac:dyDescent="0.4">
      <c r="A202">
        <v>20210822</v>
      </c>
      <c r="B202" s="1">
        <v>0.8125</v>
      </c>
      <c r="C202">
        <v>17590</v>
      </c>
      <c r="D202">
        <v>-91825</v>
      </c>
      <c r="E202">
        <v>-444688</v>
      </c>
      <c r="F202">
        <v>-349198</v>
      </c>
      <c r="G202">
        <v>56898</v>
      </c>
      <c r="H202">
        <v>-46928</v>
      </c>
      <c r="I202">
        <v>98225</v>
      </c>
      <c r="J202">
        <v>-40293</v>
      </c>
      <c r="K202">
        <v>-86570</v>
      </c>
      <c r="L202">
        <v>-23244</v>
      </c>
      <c r="M202">
        <v>9.27</v>
      </c>
      <c r="N202">
        <v>-910033</v>
      </c>
      <c r="O202">
        <v>19630950</v>
      </c>
      <c r="P202" s="2">
        <v>-4.6357053530267258</v>
      </c>
      <c r="Q202" s="4">
        <v>18.197890650000002</v>
      </c>
    </row>
    <row r="203" spans="1:17" x14ac:dyDescent="0.4">
      <c r="A203">
        <v>20210822</v>
      </c>
      <c r="B203" s="1">
        <v>0.83333333333333337</v>
      </c>
      <c r="C203">
        <v>17128</v>
      </c>
      <c r="D203">
        <v>17479</v>
      </c>
      <c r="E203">
        <v>-543840</v>
      </c>
      <c r="F203">
        <v>-295550</v>
      </c>
      <c r="G203">
        <v>50882</v>
      </c>
      <c r="H203">
        <v>130900</v>
      </c>
      <c r="I203">
        <v>134646</v>
      </c>
      <c r="J203">
        <v>-29772</v>
      </c>
      <c r="K203">
        <v>36345</v>
      </c>
      <c r="L203">
        <v>-32643</v>
      </c>
      <c r="M203">
        <v>8.86</v>
      </c>
      <c r="N203">
        <v>-514425</v>
      </c>
      <c r="O203">
        <v>19145200</v>
      </c>
      <c r="P203" s="2">
        <v>-2.6869659235735326</v>
      </c>
      <c r="Q203" s="4">
        <v>16.962647199999999</v>
      </c>
    </row>
    <row r="204" spans="1:17" x14ac:dyDescent="0.4">
      <c r="A204">
        <v>20210822</v>
      </c>
      <c r="B204" s="1">
        <v>0.85416666666666663</v>
      </c>
      <c r="C204">
        <v>-38068</v>
      </c>
      <c r="D204">
        <v>44050</v>
      </c>
      <c r="E204">
        <v>-490528</v>
      </c>
      <c r="F204">
        <v>-333969</v>
      </c>
      <c r="G204">
        <v>70480</v>
      </c>
      <c r="H204">
        <v>53466</v>
      </c>
      <c r="I204">
        <v>102901</v>
      </c>
      <c r="J204">
        <v>-21232</v>
      </c>
      <c r="K204">
        <v>16135</v>
      </c>
      <c r="L204">
        <v>-30424</v>
      </c>
      <c r="M204">
        <v>8.14</v>
      </c>
      <c r="N204">
        <v>-627189</v>
      </c>
      <c r="O204">
        <v>19150400</v>
      </c>
      <c r="P204" s="2">
        <v>-3.2750699724287742</v>
      </c>
      <c r="Q204" s="4">
        <v>15.588425600000001</v>
      </c>
    </row>
    <row r="205" spans="1:17" x14ac:dyDescent="0.4">
      <c r="A205">
        <v>20210822</v>
      </c>
      <c r="B205" s="1">
        <v>0.875</v>
      </c>
      <c r="C205">
        <v>16842</v>
      </c>
      <c r="D205">
        <v>54287</v>
      </c>
      <c r="E205">
        <v>-518276</v>
      </c>
      <c r="F205">
        <v>-327880</v>
      </c>
      <c r="G205">
        <v>68521</v>
      </c>
      <c r="H205">
        <v>78003</v>
      </c>
      <c r="I205">
        <v>145383</v>
      </c>
      <c r="J205">
        <v>-23296</v>
      </c>
      <c r="K205">
        <v>47624</v>
      </c>
      <c r="L205">
        <v>-39421</v>
      </c>
      <c r="M205">
        <v>7.64</v>
      </c>
      <c r="N205">
        <v>-498213</v>
      </c>
      <c r="O205">
        <v>19145500</v>
      </c>
      <c r="P205" s="2">
        <v>-2.6022459585803452</v>
      </c>
      <c r="Q205" s="4">
        <v>14.627162</v>
      </c>
    </row>
    <row r="206" spans="1:17" x14ac:dyDescent="0.4">
      <c r="A206">
        <v>20210822</v>
      </c>
      <c r="B206" s="1">
        <v>0.89583333333333337</v>
      </c>
      <c r="C206">
        <v>-31395</v>
      </c>
      <c r="D206">
        <v>47667</v>
      </c>
      <c r="E206">
        <v>-522132</v>
      </c>
      <c r="F206">
        <v>-396694</v>
      </c>
      <c r="G206">
        <v>46315</v>
      </c>
      <c r="H206">
        <v>17932</v>
      </c>
      <c r="I206">
        <v>109243</v>
      </c>
      <c r="J206">
        <v>-18594</v>
      </c>
      <c r="K206">
        <v>74895</v>
      </c>
      <c r="L206">
        <v>-34711</v>
      </c>
      <c r="M206">
        <v>7.35</v>
      </c>
      <c r="N206">
        <v>-707474</v>
      </c>
      <c r="O206">
        <v>19375700</v>
      </c>
      <c r="P206" s="2">
        <v>-3.651346790051456</v>
      </c>
      <c r="Q206" s="4">
        <v>14.241139499999999</v>
      </c>
    </row>
    <row r="207" spans="1:17" x14ac:dyDescent="0.4">
      <c r="A207">
        <v>20210822</v>
      </c>
      <c r="B207" s="1">
        <v>0.91666666666666663</v>
      </c>
      <c r="C207">
        <v>-2144</v>
      </c>
      <c r="D207">
        <v>70772</v>
      </c>
      <c r="E207">
        <v>-611951</v>
      </c>
      <c r="F207">
        <v>-16596</v>
      </c>
      <c r="G207">
        <v>51968</v>
      </c>
      <c r="H207">
        <v>2034</v>
      </c>
      <c r="I207">
        <v>68189</v>
      </c>
      <c r="J207">
        <v>-169</v>
      </c>
      <c r="K207">
        <v>66532</v>
      </c>
      <c r="L207">
        <v>-32101</v>
      </c>
      <c r="M207">
        <v>7.08</v>
      </c>
      <c r="N207">
        <v>-403466</v>
      </c>
      <c r="O207">
        <v>19186450</v>
      </c>
      <c r="P207" s="2">
        <v>-2.1028694729874471</v>
      </c>
      <c r="Q207" s="4">
        <v>13.5840066</v>
      </c>
    </row>
    <row r="208" spans="1:17" x14ac:dyDescent="0.4">
      <c r="A208">
        <v>20210822</v>
      </c>
      <c r="B208" s="1">
        <v>0.9375</v>
      </c>
      <c r="C208">
        <v>46996</v>
      </c>
      <c r="D208">
        <v>67082</v>
      </c>
      <c r="E208">
        <v>-537049</v>
      </c>
      <c r="F208">
        <v>66714</v>
      </c>
      <c r="G208">
        <v>65376</v>
      </c>
      <c r="H208">
        <v>36965</v>
      </c>
      <c r="I208">
        <v>56655</v>
      </c>
      <c r="J208">
        <v>4180</v>
      </c>
      <c r="K208">
        <v>14336</v>
      </c>
      <c r="L208">
        <v>-24555</v>
      </c>
      <c r="M208">
        <v>7.02</v>
      </c>
      <c r="N208">
        <v>-203300</v>
      </c>
      <c r="O208">
        <v>18748500</v>
      </c>
      <c r="P208" s="2">
        <v>-1.0843534149398619</v>
      </c>
      <c r="Q208" s="4">
        <v>13.161446999999999</v>
      </c>
    </row>
    <row r="209" spans="1:17" x14ac:dyDescent="0.4">
      <c r="A209">
        <v>20210822</v>
      </c>
      <c r="B209" s="1">
        <v>0.95833333333333337</v>
      </c>
      <c r="C209">
        <v>334</v>
      </c>
      <c r="D209">
        <v>58347</v>
      </c>
      <c r="E209">
        <v>-235681</v>
      </c>
      <c r="F209">
        <v>103271</v>
      </c>
      <c r="G209">
        <v>50738</v>
      </c>
      <c r="H209">
        <v>-63117</v>
      </c>
      <c r="I209">
        <v>-28843</v>
      </c>
      <c r="J209">
        <v>7727</v>
      </c>
      <c r="K209">
        <v>2945</v>
      </c>
      <c r="L209">
        <v>-37688</v>
      </c>
      <c r="M209">
        <v>6.58</v>
      </c>
      <c r="N209">
        <v>-141967</v>
      </c>
      <c r="O209">
        <v>18710000</v>
      </c>
      <c r="P209" s="2">
        <v>-0.75877605558524852</v>
      </c>
      <c r="Q209" s="4">
        <v>12.31118</v>
      </c>
    </row>
    <row r="210" spans="1:17" x14ac:dyDescent="0.4">
      <c r="A210">
        <v>20210823</v>
      </c>
      <c r="B210" s="1">
        <v>8.3333333333333329E-2</v>
      </c>
      <c r="C210">
        <v>57947</v>
      </c>
      <c r="D210">
        <v>95803</v>
      </c>
      <c r="E210">
        <v>-314996</v>
      </c>
      <c r="F210">
        <v>84995</v>
      </c>
      <c r="G210">
        <v>7514</v>
      </c>
      <c r="H210">
        <v>-158797</v>
      </c>
      <c r="I210">
        <v>42147</v>
      </c>
      <c r="J210">
        <v>9709</v>
      </c>
      <c r="K210">
        <v>47826</v>
      </c>
      <c r="L210">
        <v>-877</v>
      </c>
      <c r="M210">
        <v>6.38</v>
      </c>
      <c r="N210">
        <v>-128729</v>
      </c>
      <c r="O210">
        <v>18482650</v>
      </c>
      <c r="P210" s="2">
        <v>-0.69648562300319494</v>
      </c>
      <c r="Q210" s="4">
        <v>11.7919307</v>
      </c>
    </row>
    <row r="211" spans="1:17" x14ac:dyDescent="0.4">
      <c r="A211">
        <v>20210823</v>
      </c>
      <c r="B211" s="1">
        <v>0.10416666666666667</v>
      </c>
      <c r="C211">
        <v>12805</v>
      </c>
      <c r="D211">
        <v>88635</v>
      </c>
      <c r="E211">
        <v>-281669</v>
      </c>
      <c r="F211">
        <v>118162</v>
      </c>
      <c r="G211">
        <v>-20963</v>
      </c>
      <c r="H211">
        <v>-167848</v>
      </c>
      <c r="I211">
        <v>67268</v>
      </c>
      <c r="J211">
        <v>-3208</v>
      </c>
      <c r="K211">
        <v>46430</v>
      </c>
      <c r="L211">
        <v>-6052</v>
      </c>
      <c r="M211">
        <v>6.49</v>
      </c>
      <c r="N211">
        <v>-146440</v>
      </c>
      <c r="O211">
        <v>18723250</v>
      </c>
      <c r="P211" s="2">
        <v>-0.78212917095055612</v>
      </c>
      <c r="Q211" s="4">
        <v>12.151389249999999</v>
      </c>
    </row>
    <row r="212" spans="1:17" x14ac:dyDescent="0.4">
      <c r="A212">
        <v>20210823</v>
      </c>
      <c r="B212" s="1">
        <v>0.125</v>
      </c>
      <c r="C212">
        <v>28301</v>
      </c>
      <c r="D212">
        <v>95511</v>
      </c>
      <c r="E212">
        <v>-315877</v>
      </c>
      <c r="F212">
        <v>70840</v>
      </c>
      <c r="G212">
        <v>-163</v>
      </c>
      <c r="H212">
        <v>-202141</v>
      </c>
      <c r="I212">
        <v>68007</v>
      </c>
      <c r="J212">
        <v>-4771</v>
      </c>
      <c r="K212">
        <v>46290</v>
      </c>
      <c r="L212">
        <v>-12938</v>
      </c>
      <c r="M212">
        <v>6.49</v>
      </c>
      <c r="N212">
        <v>-226941</v>
      </c>
      <c r="O212">
        <v>18968000</v>
      </c>
      <c r="P212" s="2">
        <v>-1.1964413749472795</v>
      </c>
      <c r="Q212" s="4">
        <v>12.310231999999999</v>
      </c>
    </row>
    <row r="213" spans="1:17" x14ac:dyDescent="0.4">
      <c r="A213">
        <v>20210823</v>
      </c>
      <c r="B213" s="1">
        <v>0.14583333333333334</v>
      </c>
      <c r="C213">
        <v>-5049</v>
      </c>
      <c r="D213">
        <v>125692</v>
      </c>
      <c r="E213">
        <v>-297978</v>
      </c>
      <c r="F213">
        <v>214666</v>
      </c>
      <c r="G213">
        <v>-7359</v>
      </c>
      <c r="H213">
        <v>-172735</v>
      </c>
      <c r="I213">
        <v>85237</v>
      </c>
      <c r="J213">
        <v>-12740</v>
      </c>
      <c r="K213">
        <v>40252</v>
      </c>
      <c r="L213">
        <v>-9669</v>
      </c>
      <c r="M213">
        <v>6.49</v>
      </c>
      <c r="N213">
        <v>-39683</v>
      </c>
      <c r="O213">
        <v>19073850</v>
      </c>
      <c r="P213" s="2">
        <v>-0.20804924019010321</v>
      </c>
      <c r="Q213" s="4">
        <v>12.378928650000001</v>
      </c>
    </row>
    <row r="214" spans="1:17" x14ac:dyDescent="0.4">
      <c r="A214">
        <v>20210823</v>
      </c>
      <c r="B214" s="1">
        <v>0.1875</v>
      </c>
      <c r="C214">
        <v>16542</v>
      </c>
      <c r="D214">
        <v>109925</v>
      </c>
      <c r="E214">
        <v>-103805</v>
      </c>
      <c r="F214">
        <v>166869</v>
      </c>
      <c r="G214">
        <v>-15870</v>
      </c>
      <c r="H214">
        <v>-264068</v>
      </c>
      <c r="I214">
        <v>113628</v>
      </c>
      <c r="J214">
        <v>-12677</v>
      </c>
      <c r="K214">
        <v>-2674</v>
      </c>
      <c r="L214">
        <v>-8288</v>
      </c>
      <c r="M214">
        <v>6.38</v>
      </c>
      <c r="N214">
        <v>-418</v>
      </c>
      <c r="O214">
        <v>19203450</v>
      </c>
      <c r="P214" s="2">
        <v>-2.1766922089520371E-3</v>
      </c>
      <c r="Q214" s="4">
        <v>12.2518011</v>
      </c>
    </row>
    <row r="215" spans="1:17" x14ac:dyDescent="0.4">
      <c r="A215">
        <v>20210823</v>
      </c>
      <c r="B215" s="1">
        <v>0.20833333333333334</v>
      </c>
      <c r="C215">
        <v>-13946</v>
      </c>
      <c r="D215">
        <v>104783</v>
      </c>
      <c r="E215">
        <v>-196692</v>
      </c>
      <c r="F215">
        <v>147655</v>
      </c>
      <c r="G215">
        <v>-21727</v>
      </c>
      <c r="H215">
        <v>-210703</v>
      </c>
      <c r="I215">
        <v>38331</v>
      </c>
      <c r="J215">
        <v>7590</v>
      </c>
      <c r="K215">
        <v>-18080</v>
      </c>
      <c r="L215">
        <v>-13969</v>
      </c>
      <c r="M215">
        <v>6.38</v>
      </c>
      <c r="N215">
        <v>-176758</v>
      </c>
      <c r="O215">
        <v>19375150</v>
      </c>
      <c r="P215" s="2">
        <v>-0.9122922919306431</v>
      </c>
      <c r="Q215" s="4">
        <v>12.361345699999999</v>
      </c>
    </row>
    <row r="216" spans="1:17" x14ac:dyDescent="0.4">
      <c r="A216">
        <v>20210823</v>
      </c>
      <c r="B216" s="1">
        <v>0.25</v>
      </c>
      <c r="C216">
        <v>-14252</v>
      </c>
      <c r="D216">
        <v>130236</v>
      </c>
      <c r="E216">
        <v>-92217</v>
      </c>
      <c r="F216">
        <v>-64134</v>
      </c>
      <c r="G216">
        <v>-18120</v>
      </c>
      <c r="H216">
        <v>-40178</v>
      </c>
      <c r="I216">
        <v>75773</v>
      </c>
      <c r="J216">
        <v>-38351</v>
      </c>
      <c r="K216">
        <v>-61324</v>
      </c>
      <c r="L216">
        <v>-18708</v>
      </c>
      <c r="M216">
        <v>6.28</v>
      </c>
      <c r="N216">
        <v>-141275</v>
      </c>
      <c r="O216">
        <v>19930150</v>
      </c>
      <c r="P216" s="2">
        <v>-0.70885066093330962</v>
      </c>
      <c r="Q216" s="4">
        <v>12.5161342</v>
      </c>
    </row>
    <row r="217" spans="1:17" x14ac:dyDescent="0.4">
      <c r="A217">
        <v>20210823</v>
      </c>
      <c r="B217" s="1">
        <v>0.27083333333333331</v>
      </c>
      <c r="C217">
        <v>17813</v>
      </c>
      <c r="D217">
        <v>25974</v>
      </c>
      <c r="E217">
        <v>-261954</v>
      </c>
      <c r="F217">
        <v>63187</v>
      </c>
      <c r="G217">
        <v>-24275</v>
      </c>
      <c r="H217">
        <v>-208645</v>
      </c>
      <c r="I217">
        <v>40707</v>
      </c>
      <c r="J217">
        <v>-72783</v>
      </c>
      <c r="K217">
        <v>53178</v>
      </c>
      <c r="L217">
        <v>-24325</v>
      </c>
      <c r="M217">
        <v>6.38</v>
      </c>
      <c r="N217">
        <v>-391123</v>
      </c>
      <c r="O217">
        <v>20440500</v>
      </c>
      <c r="P217" s="2">
        <v>-1.9134708055086715</v>
      </c>
      <c r="Q217" s="4">
        <v>13.041039</v>
      </c>
    </row>
    <row r="218" spans="1:17" x14ac:dyDescent="0.4">
      <c r="A218">
        <v>20210823</v>
      </c>
      <c r="B218" s="1">
        <v>0.29166666666666669</v>
      </c>
      <c r="C218">
        <v>-6664</v>
      </c>
      <c r="D218">
        <v>197072</v>
      </c>
      <c r="E218">
        <v>-277798</v>
      </c>
      <c r="F218">
        <v>-186850</v>
      </c>
      <c r="G218">
        <v>-2531</v>
      </c>
      <c r="H218">
        <v>-346163</v>
      </c>
      <c r="I218">
        <v>42551</v>
      </c>
      <c r="J218">
        <v>-82715</v>
      </c>
      <c r="K218">
        <v>-3529</v>
      </c>
      <c r="L218">
        <v>-30665</v>
      </c>
      <c r="M218">
        <v>6.48</v>
      </c>
      <c r="N218">
        <v>-697292</v>
      </c>
      <c r="O218">
        <v>21101950</v>
      </c>
      <c r="P218" s="2">
        <v>-3.3043960392286023</v>
      </c>
      <c r="Q218" s="4">
        <v>13.6740636</v>
      </c>
    </row>
    <row r="219" spans="1:17" x14ac:dyDescent="0.4">
      <c r="A219">
        <v>20210823</v>
      </c>
      <c r="B219" s="1">
        <v>0.3125</v>
      </c>
      <c r="C219">
        <v>-6597</v>
      </c>
      <c r="D219">
        <v>302655</v>
      </c>
      <c r="E219">
        <v>-412554</v>
      </c>
      <c r="F219">
        <v>12779</v>
      </c>
      <c r="G219">
        <v>-11200</v>
      </c>
      <c r="H219">
        <v>-459903</v>
      </c>
      <c r="I219">
        <v>114944</v>
      </c>
      <c r="J219">
        <v>-41775</v>
      </c>
      <c r="K219">
        <v>180643</v>
      </c>
      <c r="L219">
        <v>-44646</v>
      </c>
      <c r="M219">
        <v>6.92</v>
      </c>
      <c r="N219">
        <v>-365654</v>
      </c>
      <c r="O219">
        <v>21311850</v>
      </c>
      <c r="P219" s="2">
        <v>-1.7157309196526815</v>
      </c>
      <c r="Q219" s="4">
        <v>14.7478002</v>
      </c>
    </row>
    <row r="220" spans="1:17" x14ac:dyDescent="0.4">
      <c r="A220">
        <v>20210823</v>
      </c>
      <c r="B220" s="1">
        <v>0.33333333333333331</v>
      </c>
      <c r="C220">
        <v>-29596</v>
      </c>
      <c r="D220">
        <v>126435</v>
      </c>
      <c r="E220">
        <v>-92027</v>
      </c>
      <c r="F220">
        <v>-193801</v>
      </c>
      <c r="G220">
        <v>-18386</v>
      </c>
      <c r="H220">
        <v>-394313</v>
      </c>
      <c r="I220">
        <v>110040</v>
      </c>
      <c r="J220">
        <v>-21833</v>
      </c>
      <c r="K220">
        <v>391516</v>
      </c>
      <c r="L220">
        <v>-59990</v>
      </c>
      <c r="M220">
        <v>6.92</v>
      </c>
      <c r="N220">
        <v>-181955</v>
      </c>
      <c r="O220">
        <v>22616750</v>
      </c>
      <c r="P220" s="2">
        <v>-0.80451435330009835</v>
      </c>
      <c r="Q220" s="4">
        <v>15.650791</v>
      </c>
    </row>
    <row r="221" spans="1:17" x14ac:dyDescent="0.4">
      <c r="A221">
        <v>20210823</v>
      </c>
      <c r="B221" s="1">
        <v>0.6875</v>
      </c>
      <c r="C221">
        <v>-62624</v>
      </c>
      <c r="D221">
        <v>169351</v>
      </c>
      <c r="E221">
        <v>158304</v>
      </c>
      <c r="F221">
        <v>-50683</v>
      </c>
      <c r="G221">
        <v>-18131</v>
      </c>
      <c r="H221">
        <v>-221172</v>
      </c>
      <c r="I221">
        <v>-15973</v>
      </c>
      <c r="J221">
        <v>-67575</v>
      </c>
      <c r="K221">
        <v>-133814</v>
      </c>
      <c r="L221">
        <v>-42267</v>
      </c>
      <c r="M221">
        <v>10.26</v>
      </c>
      <c r="N221">
        <v>-284584</v>
      </c>
      <c r="O221">
        <v>23280000</v>
      </c>
      <c r="P221" s="2">
        <v>-1.2224398625429553</v>
      </c>
      <c r="Q221" s="4">
        <v>23.885280000000002</v>
      </c>
    </row>
    <row r="222" spans="1:17" x14ac:dyDescent="0.4">
      <c r="A222">
        <v>20210823</v>
      </c>
      <c r="B222" s="1">
        <v>0.70833333333333337</v>
      </c>
      <c r="C222">
        <v>-13383</v>
      </c>
      <c r="D222">
        <v>214757</v>
      </c>
      <c r="E222">
        <v>-109259</v>
      </c>
      <c r="F222">
        <v>-108865</v>
      </c>
      <c r="G222">
        <v>15135</v>
      </c>
      <c r="H222">
        <v>-238460</v>
      </c>
      <c r="I222">
        <v>26218</v>
      </c>
      <c r="J222">
        <v>-47877</v>
      </c>
      <c r="K222">
        <v>-137251</v>
      </c>
      <c r="L222">
        <v>-41714</v>
      </c>
      <c r="M222">
        <v>10.26</v>
      </c>
      <c r="N222">
        <v>-440699</v>
      </c>
      <c r="O222">
        <v>23035450</v>
      </c>
      <c r="P222" s="2">
        <v>-1.9131338871174646</v>
      </c>
      <c r="Q222" s="4">
        <v>23.634371699999999</v>
      </c>
    </row>
    <row r="223" spans="1:17" x14ac:dyDescent="0.4">
      <c r="A223">
        <v>20210823</v>
      </c>
      <c r="B223" s="1">
        <v>0.72916666666666663</v>
      </c>
      <c r="C223">
        <v>-3707</v>
      </c>
      <c r="D223">
        <v>103644</v>
      </c>
      <c r="E223">
        <v>-173962</v>
      </c>
      <c r="F223">
        <v>-140987</v>
      </c>
      <c r="G223">
        <v>-5554</v>
      </c>
      <c r="H223">
        <v>-366088</v>
      </c>
      <c r="I223">
        <v>-15420</v>
      </c>
      <c r="J223">
        <v>-24071</v>
      </c>
      <c r="K223">
        <v>-166093</v>
      </c>
      <c r="L223">
        <v>-38847</v>
      </c>
      <c r="M223">
        <v>10.26</v>
      </c>
      <c r="N223">
        <v>-831085</v>
      </c>
      <c r="O223">
        <v>22722600</v>
      </c>
      <c r="P223" s="2">
        <v>-3.6575259873429977</v>
      </c>
      <c r="Q223" s="4">
        <v>23.313387599999999</v>
      </c>
    </row>
    <row r="224" spans="1:17" x14ac:dyDescent="0.4">
      <c r="A224">
        <v>20210823</v>
      </c>
      <c r="B224" s="1">
        <v>0.75</v>
      </c>
      <c r="C224">
        <v>-11495</v>
      </c>
      <c r="D224">
        <v>16886</v>
      </c>
      <c r="E224">
        <v>-234406</v>
      </c>
      <c r="F224">
        <v>-218081</v>
      </c>
      <c r="G224">
        <v>-12309</v>
      </c>
      <c r="H224">
        <v>-251276</v>
      </c>
      <c r="I224">
        <v>-17453</v>
      </c>
      <c r="J224">
        <v>-24435</v>
      </c>
      <c r="K224">
        <v>-136344</v>
      </c>
      <c r="L224">
        <v>-28479</v>
      </c>
      <c r="M224">
        <v>10.26</v>
      </c>
      <c r="N224">
        <v>-917392</v>
      </c>
      <c r="O224">
        <v>22286500</v>
      </c>
      <c r="P224" s="2">
        <v>-4.1163574361160347</v>
      </c>
      <c r="Q224" s="4">
        <v>22.865949000000001</v>
      </c>
    </row>
    <row r="225" spans="1:17" x14ac:dyDescent="0.4">
      <c r="A225">
        <v>20210823</v>
      </c>
      <c r="B225" s="1">
        <v>0.77083333333333337</v>
      </c>
      <c r="C225">
        <v>10806</v>
      </c>
      <c r="D225">
        <v>58935</v>
      </c>
      <c r="E225">
        <v>-201154</v>
      </c>
      <c r="F225">
        <v>-244476</v>
      </c>
      <c r="G225">
        <v>-22247</v>
      </c>
      <c r="H225">
        <v>-297459</v>
      </c>
      <c r="I225">
        <v>-64937</v>
      </c>
      <c r="J225">
        <v>-22552</v>
      </c>
      <c r="K225">
        <v>-107442</v>
      </c>
      <c r="L225">
        <v>-31763</v>
      </c>
      <c r="M225">
        <v>10.26</v>
      </c>
      <c r="N225">
        <v>-922289</v>
      </c>
      <c r="O225">
        <v>22244750</v>
      </c>
      <c r="P225" s="2">
        <v>-4.1460973937670689</v>
      </c>
      <c r="Q225" s="4">
        <v>22.823113500000002</v>
      </c>
    </row>
    <row r="226" spans="1:17" x14ac:dyDescent="0.4">
      <c r="A226">
        <v>20210823</v>
      </c>
      <c r="B226" s="1">
        <v>0.79166666666666663</v>
      </c>
      <c r="C226">
        <v>-2030</v>
      </c>
      <c r="D226">
        <v>11016</v>
      </c>
      <c r="E226">
        <v>-155249</v>
      </c>
      <c r="F226">
        <v>-83109</v>
      </c>
      <c r="G226">
        <v>-28844</v>
      </c>
      <c r="H226">
        <v>-165375</v>
      </c>
      <c r="I226">
        <v>-32548</v>
      </c>
      <c r="J226">
        <v>-745</v>
      </c>
      <c r="K226">
        <v>-74696</v>
      </c>
      <c r="L226">
        <v>-32390</v>
      </c>
      <c r="M226">
        <v>9.9700000000000006</v>
      </c>
      <c r="N226">
        <v>-563970</v>
      </c>
      <c r="O226">
        <v>22213550</v>
      </c>
      <c r="P226" s="2">
        <v>-2.5388557884714511</v>
      </c>
      <c r="Q226" s="4">
        <v>22.146909350000001</v>
      </c>
    </row>
    <row r="227" spans="1:17" x14ac:dyDescent="0.4">
      <c r="A227">
        <v>20210823</v>
      </c>
      <c r="B227" s="1">
        <v>0.8125</v>
      </c>
      <c r="C227">
        <v>5653</v>
      </c>
      <c r="D227">
        <v>21393</v>
      </c>
      <c r="E227">
        <v>-120440</v>
      </c>
      <c r="F227">
        <v>-48305</v>
      </c>
      <c r="G227">
        <v>-41695</v>
      </c>
      <c r="H227">
        <v>-99742</v>
      </c>
      <c r="I227">
        <v>-28954</v>
      </c>
      <c r="J227">
        <v>-9660</v>
      </c>
      <c r="K227">
        <v>6781</v>
      </c>
      <c r="L227">
        <v>-25692</v>
      </c>
      <c r="M227">
        <v>9.61</v>
      </c>
      <c r="N227">
        <v>-340661</v>
      </c>
      <c r="O227">
        <v>22238100</v>
      </c>
      <c r="P227" s="2">
        <v>-1.5318799717601774</v>
      </c>
      <c r="Q227" s="4">
        <v>21.3708141</v>
      </c>
    </row>
    <row r="228" spans="1:17" x14ac:dyDescent="0.4">
      <c r="A228">
        <v>20210823</v>
      </c>
      <c r="B228" s="1">
        <v>0.83333333333333337</v>
      </c>
      <c r="C228">
        <v>24948</v>
      </c>
      <c r="D228">
        <v>13084</v>
      </c>
      <c r="E228">
        <v>-283061</v>
      </c>
      <c r="F228">
        <v>57941</v>
      </c>
      <c r="G228">
        <v>-30974</v>
      </c>
      <c r="H228">
        <v>-19273</v>
      </c>
      <c r="I228">
        <v>39741</v>
      </c>
      <c r="J228">
        <v>6396</v>
      </c>
      <c r="K228">
        <v>35124</v>
      </c>
      <c r="L228">
        <v>-25599</v>
      </c>
      <c r="M228">
        <v>8.86</v>
      </c>
      <c r="N228">
        <v>-181673</v>
      </c>
      <c r="O228">
        <v>21652700</v>
      </c>
      <c r="P228" s="2">
        <v>-0.83903162192243919</v>
      </c>
      <c r="Q228" s="4">
        <v>19.184292200000002</v>
      </c>
    </row>
    <row r="229" spans="1:17" x14ac:dyDescent="0.4">
      <c r="A229">
        <v>20210823</v>
      </c>
      <c r="B229" s="1">
        <v>0.95833333333333337</v>
      </c>
      <c r="C229">
        <v>14260</v>
      </c>
      <c r="D229">
        <v>9350</v>
      </c>
      <c r="E229">
        <v>-209858</v>
      </c>
      <c r="F229">
        <v>149419</v>
      </c>
      <c r="G229">
        <v>-20018</v>
      </c>
      <c r="H229">
        <v>-34261</v>
      </c>
      <c r="I229">
        <v>37076</v>
      </c>
      <c r="J229">
        <v>46434</v>
      </c>
      <c r="K229">
        <v>8305</v>
      </c>
      <c r="L229">
        <v>-14564</v>
      </c>
      <c r="M229">
        <v>6.92</v>
      </c>
      <c r="N229">
        <v>-13857</v>
      </c>
      <c r="O229">
        <v>20263150</v>
      </c>
      <c r="P229" s="2">
        <v>-6.8385221448787573E-2</v>
      </c>
      <c r="Q229" s="4">
        <v>14.022099799999999</v>
      </c>
    </row>
    <row r="230" spans="1:17" x14ac:dyDescent="0.4">
      <c r="A230">
        <v>20210823</v>
      </c>
      <c r="B230" s="1">
        <v>0.97916666666666663</v>
      </c>
      <c r="C230">
        <v>68717</v>
      </c>
      <c r="D230">
        <v>-72965</v>
      </c>
      <c r="E230">
        <v>-221759</v>
      </c>
      <c r="F230">
        <v>113717</v>
      </c>
      <c r="G230">
        <v>-5966</v>
      </c>
      <c r="H230">
        <v>-35194</v>
      </c>
      <c r="I230">
        <v>58160</v>
      </c>
      <c r="J230">
        <v>49626</v>
      </c>
      <c r="K230">
        <v>-36612</v>
      </c>
      <c r="L230">
        <v>-6955</v>
      </c>
      <c r="M230">
        <v>6.56</v>
      </c>
      <c r="N230">
        <v>-89231</v>
      </c>
      <c r="O230">
        <v>19653650</v>
      </c>
      <c r="P230" s="2">
        <v>-0.4540174471408619</v>
      </c>
      <c r="Q230" s="4">
        <v>12.892794399999998</v>
      </c>
    </row>
    <row r="231" spans="1:17" x14ac:dyDescent="0.4">
      <c r="A231">
        <v>20210824</v>
      </c>
      <c r="B231" s="1">
        <v>0</v>
      </c>
      <c r="C231">
        <v>-1161</v>
      </c>
      <c r="D231">
        <v>36845</v>
      </c>
      <c r="E231">
        <v>-214018</v>
      </c>
      <c r="F231">
        <v>58169</v>
      </c>
      <c r="G231">
        <v>-13562</v>
      </c>
      <c r="H231">
        <v>134946</v>
      </c>
      <c r="I231">
        <v>-38586</v>
      </c>
      <c r="J231">
        <v>13004</v>
      </c>
      <c r="K231">
        <v>3148</v>
      </c>
      <c r="L231">
        <v>-4008</v>
      </c>
      <c r="M231">
        <v>6.76</v>
      </c>
      <c r="N231">
        <v>-25223</v>
      </c>
      <c r="O231">
        <v>19023050</v>
      </c>
      <c r="P231" s="2">
        <v>-0.13259177681812329</v>
      </c>
      <c r="Q231" s="4">
        <v>12.859581800000001</v>
      </c>
    </row>
    <row r="232" spans="1:17" x14ac:dyDescent="0.4">
      <c r="A232">
        <v>20210824</v>
      </c>
      <c r="B232" s="1">
        <v>4.1666666666666664E-2</v>
      </c>
      <c r="C232">
        <v>10557</v>
      </c>
      <c r="D232">
        <v>-56796</v>
      </c>
      <c r="E232">
        <v>-143125</v>
      </c>
      <c r="F232">
        <v>15341</v>
      </c>
      <c r="G232">
        <v>-10252</v>
      </c>
      <c r="H232">
        <v>34532</v>
      </c>
      <c r="I232">
        <v>55353</v>
      </c>
      <c r="J232">
        <v>7786</v>
      </c>
      <c r="K232">
        <v>22506</v>
      </c>
      <c r="L232">
        <v>-3175</v>
      </c>
      <c r="M232">
        <v>6.63</v>
      </c>
      <c r="N232">
        <v>-67273</v>
      </c>
      <c r="O232">
        <v>20316450</v>
      </c>
      <c r="P232" s="2">
        <v>-0.33112576262093035</v>
      </c>
      <c r="Q232" s="4">
        <v>13.469806350000001</v>
      </c>
    </row>
    <row r="233" spans="1:17" x14ac:dyDescent="0.4">
      <c r="A233">
        <v>20210824</v>
      </c>
      <c r="B233" s="1">
        <v>0.10416666666666667</v>
      </c>
      <c r="C233">
        <v>13154</v>
      </c>
      <c r="D233">
        <v>-29740</v>
      </c>
      <c r="E233">
        <v>-208820</v>
      </c>
      <c r="F233">
        <v>205980</v>
      </c>
      <c r="G233">
        <v>-13773</v>
      </c>
      <c r="H233">
        <v>-11902</v>
      </c>
      <c r="I233">
        <v>50882</v>
      </c>
      <c r="J233">
        <v>3500</v>
      </c>
      <c r="K233">
        <v>-19860</v>
      </c>
      <c r="L233">
        <v>3402</v>
      </c>
      <c r="M233">
        <v>6.74</v>
      </c>
      <c r="N233">
        <v>-7177</v>
      </c>
      <c r="O233">
        <v>20690750</v>
      </c>
      <c r="P233" s="2">
        <v>-3.4686997813032396E-2</v>
      </c>
      <c r="Q233" s="4">
        <v>13.945565500000001</v>
      </c>
    </row>
    <row r="234" spans="1:17" x14ac:dyDescent="0.4">
      <c r="A234">
        <v>20210824</v>
      </c>
      <c r="B234" s="1">
        <v>0.125</v>
      </c>
      <c r="C234">
        <v>7767</v>
      </c>
      <c r="D234">
        <v>-24877</v>
      </c>
      <c r="E234">
        <v>-204731</v>
      </c>
      <c r="F234">
        <v>29903</v>
      </c>
      <c r="G234">
        <v>-30136</v>
      </c>
      <c r="H234">
        <v>-35624</v>
      </c>
      <c r="I234">
        <v>99682</v>
      </c>
      <c r="J234">
        <v>14370</v>
      </c>
      <c r="K234">
        <v>9075</v>
      </c>
      <c r="L234">
        <v>4509</v>
      </c>
      <c r="M234">
        <v>6.74</v>
      </c>
      <c r="N234">
        <v>-130062</v>
      </c>
      <c r="O234">
        <v>20792250</v>
      </c>
      <c r="P234" s="2">
        <v>-0.62553114742271765</v>
      </c>
      <c r="Q234" s="4">
        <v>14.0139765</v>
      </c>
    </row>
    <row r="235" spans="1:17" x14ac:dyDescent="0.4">
      <c r="A235">
        <v>20210824</v>
      </c>
      <c r="B235" s="1">
        <v>0.20833333333333334</v>
      </c>
      <c r="C235">
        <v>10532</v>
      </c>
      <c r="D235">
        <v>-70550</v>
      </c>
      <c r="E235">
        <v>-86884</v>
      </c>
      <c r="F235">
        <v>-2786</v>
      </c>
      <c r="G235">
        <v>-17950</v>
      </c>
      <c r="H235">
        <v>-26957</v>
      </c>
      <c r="I235">
        <v>66227</v>
      </c>
      <c r="J235">
        <v>17714</v>
      </c>
      <c r="K235">
        <v>-104727</v>
      </c>
      <c r="L235">
        <v>11146</v>
      </c>
      <c r="M235">
        <v>6.63</v>
      </c>
      <c r="N235">
        <v>-204235</v>
      </c>
      <c r="O235">
        <v>20683250</v>
      </c>
      <c r="P235" s="2">
        <v>-0.98744152877328273</v>
      </c>
      <c r="Q235" s="4">
        <v>13.71299475</v>
      </c>
    </row>
    <row r="236" spans="1:17" x14ac:dyDescent="0.4">
      <c r="A236">
        <v>20210824</v>
      </c>
      <c r="B236" s="1">
        <v>0.27083333333333331</v>
      </c>
      <c r="C236">
        <v>-11508</v>
      </c>
      <c r="D236">
        <v>9314</v>
      </c>
      <c r="E236">
        <v>140174</v>
      </c>
      <c r="F236">
        <v>130258</v>
      </c>
      <c r="G236">
        <v>-36043</v>
      </c>
      <c r="H236">
        <v>-31715</v>
      </c>
      <c r="I236">
        <v>-133265</v>
      </c>
      <c r="J236">
        <v>-11178</v>
      </c>
      <c r="K236">
        <v>-310541</v>
      </c>
      <c r="L236">
        <v>4820</v>
      </c>
      <c r="M236">
        <v>6.61</v>
      </c>
      <c r="N236">
        <v>-249684</v>
      </c>
      <c r="O236">
        <v>21557150</v>
      </c>
      <c r="P236" s="2">
        <v>-1.1582421609535583</v>
      </c>
      <c r="Q236" s="4">
        <v>14.24927615</v>
      </c>
    </row>
    <row r="237" spans="1:17" x14ac:dyDescent="0.4">
      <c r="A237">
        <v>20210824</v>
      </c>
      <c r="B237" s="1">
        <v>0.29166666666666669</v>
      </c>
      <c r="C237">
        <v>7985</v>
      </c>
      <c r="D237">
        <v>172809</v>
      </c>
      <c r="E237">
        <v>242276</v>
      </c>
      <c r="F237">
        <v>176965</v>
      </c>
      <c r="G237">
        <v>-32422</v>
      </c>
      <c r="H237">
        <v>-175148</v>
      </c>
      <c r="I237">
        <v>-217258</v>
      </c>
      <c r="J237">
        <v>467</v>
      </c>
      <c r="K237">
        <v>-354280</v>
      </c>
      <c r="L237">
        <v>13220</v>
      </c>
      <c r="M237">
        <v>6.71</v>
      </c>
      <c r="N237">
        <v>-165386</v>
      </c>
      <c r="O237">
        <v>22094200</v>
      </c>
      <c r="P237" s="2">
        <v>-0.74854939305338053</v>
      </c>
      <c r="Q237" s="4">
        <v>14.825208200000001</v>
      </c>
    </row>
    <row r="238" spans="1:17" x14ac:dyDescent="0.4">
      <c r="A238">
        <v>20210824</v>
      </c>
      <c r="B238" s="1">
        <v>0.3125</v>
      </c>
      <c r="C238">
        <v>-1904</v>
      </c>
      <c r="D238">
        <v>160444</v>
      </c>
      <c r="E238">
        <v>289160</v>
      </c>
      <c r="F238">
        <v>65220</v>
      </c>
      <c r="G238">
        <v>-37011</v>
      </c>
      <c r="H238">
        <v>-295893</v>
      </c>
      <c r="I238">
        <v>-192239</v>
      </c>
      <c r="J238">
        <v>4249</v>
      </c>
      <c r="K238">
        <v>-297797</v>
      </c>
      <c r="L238">
        <v>1065</v>
      </c>
      <c r="M238">
        <v>6.86</v>
      </c>
      <c r="N238">
        <v>-304706</v>
      </c>
      <c r="O238">
        <v>22481000</v>
      </c>
      <c r="P238" s="2">
        <v>-1.3553934433521639</v>
      </c>
      <c r="Q238" s="4">
        <v>15.421965999999999</v>
      </c>
    </row>
    <row r="239" spans="1:17" x14ac:dyDescent="0.4">
      <c r="A239">
        <v>20210824</v>
      </c>
      <c r="B239" s="1">
        <v>0.35416666666666669</v>
      </c>
      <c r="C239">
        <v>24967</v>
      </c>
      <c r="D239">
        <v>177632</v>
      </c>
      <c r="E239">
        <v>106920</v>
      </c>
      <c r="F239">
        <v>-59692</v>
      </c>
      <c r="G239">
        <v>-17952</v>
      </c>
      <c r="H239">
        <v>-252906</v>
      </c>
      <c r="I239">
        <v>-320838</v>
      </c>
      <c r="J239">
        <v>35483</v>
      </c>
      <c r="K239">
        <v>-155036</v>
      </c>
      <c r="L239">
        <v>-15008</v>
      </c>
      <c r="M239">
        <v>7.38</v>
      </c>
      <c r="N239">
        <v>-476430</v>
      </c>
      <c r="O239">
        <v>23788950</v>
      </c>
      <c r="P239" s="2">
        <v>-2.0027365646655273</v>
      </c>
      <c r="Q239" s="4">
        <v>17.556245100000002</v>
      </c>
    </row>
    <row r="240" spans="1:17" x14ac:dyDescent="0.4">
      <c r="A240">
        <v>20210824</v>
      </c>
      <c r="B240" s="1">
        <v>0.375</v>
      </c>
      <c r="C240">
        <v>-58957</v>
      </c>
      <c r="D240">
        <v>134846</v>
      </c>
      <c r="E240">
        <v>237689</v>
      </c>
      <c r="F240">
        <v>-204</v>
      </c>
      <c r="G240">
        <v>-35757</v>
      </c>
      <c r="H240">
        <v>-216609</v>
      </c>
      <c r="I240">
        <v>-431043</v>
      </c>
      <c r="J240">
        <v>5002</v>
      </c>
      <c r="K240">
        <v>84823</v>
      </c>
      <c r="L240">
        <v>323</v>
      </c>
      <c r="M240">
        <v>8.86</v>
      </c>
      <c r="N240">
        <v>-279887</v>
      </c>
      <c r="O240">
        <v>24108600</v>
      </c>
      <c r="P240" s="2">
        <v>-1.1609425682121732</v>
      </c>
      <c r="Q240" s="4">
        <v>21.360219600000001</v>
      </c>
    </row>
    <row r="241" spans="1:17" x14ac:dyDescent="0.4">
      <c r="A241">
        <v>20210824</v>
      </c>
      <c r="B241" s="1">
        <v>0.45833333333333331</v>
      </c>
      <c r="C241">
        <v>-3374</v>
      </c>
      <c r="D241">
        <v>-12404</v>
      </c>
      <c r="E241">
        <v>-282270</v>
      </c>
      <c r="F241">
        <v>168140</v>
      </c>
      <c r="G241">
        <v>19956</v>
      </c>
      <c r="H241">
        <v>-181707</v>
      </c>
      <c r="I241">
        <v>-242558</v>
      </c>
      <c r="J241">
        <v>-63568</v>
      </c>
      <c r="K241">
        <v>519146</v>
      </c>
      <c r="L241">
        <v>-11070</v>
      </c>
      <c r="M241">
        <v>8.86</v>
      </c>
      <c r="N241">
        <v>-89709</v>
      </c>
      <c r="O241">
        <v>24971550</v>
      </c>
      <c r="P241" s="2">
        <v>-0.35924482060584945</v>
      </c>
      <c r="Q241" s="4">
        <v>22.1247933</v>
      </c>
    </row>
    <row r="242" spans="1:17" x14ac:dyDescent="0.4">
      <c r="A242">
        <v>20210824</v>
      </c>
      <c r="B242" s="1">
        <v>0.47916666666666669</v>
      </c>
      <c r="C242">
        <v>-35014</v>
      </c>
      <c r="D242">
        <v>-48620</v>
      </c>
      <c r="E242">
        <v>-501178</v>
      </c>
      <c r="F242">
        <v>215953</v>
      </c>
      <c r="G242">
        <v>23141</v>
      </c>
      <c r="H242">
        <v>-82680</v>
      </c>
      <c r="I242">
        <v>-178343</v>
      </c>
      <c r="J242">
        <v>-119470</v>
      </c>
      <c r="K242">
        <v>474316</v>
      </c>
      <c r="L242">
        <v>-14225</v>
      </c>
      <c r="M242">
        <v>8.86</v>
      </c>
      <c r="N242">
        <v>-266120</v>
      </c>
      <c r="O242">
        <v>24901700</v>
      </c>
      <c r="P242" s="2">
        <v>-1.068682057851472</v>
      </c>
      <c r="Q242" s="4">
        <v>22.0629062</v>
      </c>
    </row>
    <row r="243" spans="1:17" x14ac:dyDescent="0.4">
      <c r="A243">
        <v>20210824</v>
      </c>
      <c r="B243" s="1">
        <v>0.52083333333333337</v>
      </c>
      <c r="C243">
        <v>4682</v>
      </c>
      <c r="D243">
        <v>3219</v>
      </c>
      <c r="E243">
        <v>-1278782</v>
      </c>
      <c r="F243">
        <v>600000</v>
      </c>
      <c r="G243">
        <v>-25361</v>
      </c>
      <c r="H243">
        <v>-142269</v>
      </c>
      <c r="I243">
        <v>-20158</v>
      </c>
      <c r="J243">
        <v>-164237</v>
      </c>
      <c r="K243">
        <v>472953</v>
      </c>
      <c r="L243">
        <v>25675</v>
      </c>
      <c r="M243">
        <v>8.86</v>
      </c>
      <c r="N243">
        <v>-524278</v>
      </c>
      <c r="O243">
        <v>24971750</v>
      </c>
      <c r="P243" s="2">
        <v>-2.0994844173916527</v>
      </c>
      <c r="Q243" s="4">
        <v>22.1249705</v>
      </c>
    </row>
    <row r="244" spans="1:17" x14ac:dyDescent="0.4">
      <c r="A244">
        <v>20210824</v>
      </c>
      <c r="B244" s="1">
        <v>0.54166666666666663</v>
      </c>
      <c r="C244">
        <v>15378</v>
      </c>
      <c r="D244">
        <v>47418</v>
      </c>
      <c r="E244">
        <v>-780877</v>
      </c>
      <c r="F244">
        <v>535430</v>
      </c>
      <c r="G244">
        <v>-30067</v>
      </c>
      <c r="H244">
        <v>-205207</v>
      </c>
      <c r="I244">
        <v>-182319</v>
      </c>
      <c r="J244">
        <v>-192192</v>
      </c>
      <c r="K244">
        <v>634146</v>
      </c>
      <c r="L244">
        <v>14869</v>
      </c>
      <c r="M244">
        <v>9.5399999999999991</v>
      </c>
      <c r="N244">
        <v>-143421</v>
      </c>
      <c r="O244">
        <v>24062700</v>
      </c>
      <c r="P244" s="2">
        <v>-0.59603037065665943</v>
      </c>
      <c r="Q244" s="4">
        <v>22.955815799999996</v>
      </c>
    </row>
    <row r="245" spans="1:17" x14ac:dyDescent="0.4">
      <c r="A245">
        <v>20210824</v>
      </c>
      <c r="B245" s="1">
        <v>0.5625</v>
      </c>
      <c r="C245">
        <v>90060</v>
      </c>
      <c r="D245">
        <v>66060</v>
      </c>
      <c r="E245">
        <v>-1905546</v>
      </c>
      <c r="F245">
        <v>475240</v>
      </c>
      <c r="G245">
        <v>-24963</v>
      </c>
      <c r="H245">
        <v>-91497</v>
      </c>
      <c r="I245">
        <v>-159713</v>
      </c>
      <c r="J245">
        <v>-129207</v>
      </c>
      <c r="K245">
        <v>734758</v>
      </c>
      <c r="L245">
        <v>12632</v>
      </c>
      <c r="M245">
        <v>9.83</v>
      </c>
      <c r="N245">
        <v>-932176</v>
      </c>
      <c r="O245">
        <v>23782850</v>
      </c>
      <c r="P245" s="2">
        <v>-3.9195302497387825</v>
      </c>
      <c r="Q245" s="4">
        <v>23.378541550000001</v>
      </c>
    </row>
    <row r="246" spans="1:17" x14ac:dyDescent="0.4">
      <c r="A246">
        <v>20210824</v>
      </c>
      <c r="B246" s="1">
        <v>0.9375</v>
      </c>
      <c r="C246">
        <v>17544</v>
      </c>
      <c r="D246">
        <v>42054</v>
      </c>
      <c r="E246">
        <v>-163250</v>
      </c>
      <c r="F246">
        <v>-99668</v>
      </c>
      <c r="G246">
        <v>1821</v>
      </c>
      <c r="H246">
        <v>49551</v>
      </c>
      <c r="I246">
        <v>26872</v>
      </c>
      <c r="J246">
        <v>-9223</v>
      </c>
      <c r="K246">
        <v>52082</v>
      </c>
      <c r="L246">
        <v>22424</v>
      </c>
      <c r="M246">
        <v>7.13</v>
      </c>
      <c r="N246">
        <v>-59793</v>
      </c>
      <c r="O246">
        <v>21126400</v>
      </c>
      <c r="P246" s="2">
        <v>-0.28302503029385034</v>
      </c>
      <c r="Q246" s="4">
        <v>15.0631232</v>
      </c>
    </row>
    <row r="247" spans="1:17" x14ac:dyDescent="0.4">
      <c r="A247">
        <v>20210824</v>
      </c>
      <c r="B247" s="1">
        <v>0.95833333333333337</v>
      </c>
      <c r="C247">
        <v>-5904</v>
      </c>
      <c r="D247">
        <v>122266</v>
      </c>
      <c r="E247">
        <v>-222859</v>
      </c>
      <c r="F247">
        <v>-44098</v>
      </c>
      <c r="G247">
        <v>-6941</v>
      </c>
      <c r="H247">
        <v>-31888</v>
      </c>
      <c r="I247">
        <v>54727</v>
      </c>
      <c r="J247">
        <v>-18317</v>
      </c>
      <c r="K247">
        <v>-8529</v>
      </c>
      <c r="L247">
        <v>3493</v>
      </c>
      <c r="M247">
        <v>6.9</v>
      </c>
      <c r="N247">
        <v>-158050</v>
      </c>
      <c r="O247">
        <v>20738050</v>
      </c>
      <c r="P247" s="2">
        <v>-0.76212565790901265</v>
      </c>
      <c r="Q247" s="4">
        <v>14.3092545</v>
      </c>
    </row>
    <row r="248" spans="1:17" x14ac:dyDescent="0.4">
      <c r="A248">
        <v>20210825</v>
      </c>
      <c r="B248" s="1">
        <v>0.20833333333333334</v>
      </c>
      <c r="C248">
        <v>-3324</v>
      </c>
      <c r="D248">
        <v>316431</v>
      </c>
      <c r="E248">
        <v>-287991</v>
      </c>
      <c r="F248">
        <v>-136945</v>
      </c>
      <c r="G248">
        <v>29155</v>
      </c>
      <c r="H248">
        <v>-136031</v>
      </c>
      <c r="I248">
        <v>-40640</v>
      </c>
      <c r="J248">
        <v>-6861</v>
      </c>
      <c r="K248">
        <v>86653</v>
      </c>
      <c r="L248">
        <v>5125</v>
      </c>
      <c r="M248">
        <v>6.79</v>
      </c>
      <c r="N248">
        <v>-174428</v>
      </c>
      <c r="O248">
        <v>21303050</v>
      </c>
      <c r="P248" s="2">
        <v>-0.8187935530358329</v>
      </c>
      <c r="Q248" s="4">
        <v>14.46477095</v>
      </c>
    </row>
    <row r="249" spans="1:17" x14ac:dyDescent="0.4">
      <c r="A249">
        <v>20210825</v>
      </c>
      <c r="B249" s="1">
        <v>0.22916666666666666</v>
      </c>
      <c r="C249">
        <v>43738</v>
      </c>
      <c r="D249">
        <v>357156</v>
      </c>
      <c r="E249">
        <v>-469799</v>
      </c>
      <c r="F249">
        <v>-186909</v>
      </c>
      <c r="G249">
        <v>27880</v>
      </c>
      <c r="H249">
        <v>-192470</v>
      </c>
      <c r="I249">
        <v>-14743</v>
      </c>
      <c r="J249">
        <v>13271</v>
      </c>
      <c r="K249">
        <v>146989</v>
      </c>
      <c r="L249">
        <v>7073</v>
      </c>
      <c r="M249">
        <v>6.79</v>
      </c>
      <c r="N249">
        <v>-267814</v>
      </c>
      <c r="O249">
        <v>21474500</v>
      </c>
      <c r="P249" s="2">
        <v>-1.2471256606673031</v>
      </c>
      <c r="Q249" s="4">
        <v>14.5811855</v>
      </c>
    </row>
    <row r="250" spans="1:17" x14ac:dyDescent="0.4">
      <c r="A250">
        <v>20210825</v>
      </c>
      <c r="B250" s="1">
        <v>0.25</v>
      </c>
      <c r="C250">
        <v>-28673</v>
      </c>
      <c r="D250">
        <v>156129</v>
      </c>
      <c r="E250">
        <v>-457217</v>
      </c>
      <c r="F250">
        <v>-216376</v>
      </c>
      <c r="G250">
        <v>-2203</v>
      </c>
      <c r="H250">
        <v>-260834</v>
      </c>
      <c r="I250">
        <v>-42406</v>
      </c>
      <c r="J250">
        <v>33534</v>
      </c>
      <c r="K250">
        <v>76317</v>
      </c>
      <c r="L250">
        <v>16113</v>
      </c>
      <c r="M250">
        <v>6.79</v>
      </c>
      <c r="N250">
        <v>-725616</v>
      </c>
      <c r="O250">
        <v>21906700</v>
      </c>
      <c r="P250" s="2">
        <v>-3.3123017159133963</v>
      </c>
      <c r="Q250" s="4">
        <v>14.8746493</v>
      </c>
    </row>
    <row r="251" spans="1:17" x14ac:dyDescent="0.4">
      <c r="A251">
        <v>20210825</v>
      </c>
      <c r="B251" s="1">
        <v>0.27083333333333331</v>
      </c>
      <c r="C251">
        <v>-18334</v>
      </c>
      <c r="D251">
        <v>138045</v>
      </c>
      <c r="E251">
        <v>-767063</v>
      </c>
      <c r="F251">
        <v>-291002</v>
      </c>
      <c r="G251">
        <v>-34414</v>
      </c>
      <c r="H251">
        <v>-224144</v>
      </c>
      <c r="I251">
        <v>-116675</v>
      </c>
      <c r="J251">
        <v>-7222</v>
      </c>
      <c r="K251">
        <v>-124830</v>
      </c>
      <c r="L251">
        <v>12796</v>
      </c>
      <c r="M251">
        <v>6.67</v>
      </c>
      <c r="N251">
        <v>-1432843</v>
      </c>
      <c r="O251">
        <v>22511300</v>
      </c>
      <c r="P251" s="2">
        <v>-6.3649944694442349</v>
      </c>
      <c r="Q251" s="4">
        <v>15.015037100000001</v>
      </c>
    </row>
    <row r="252" spans="1:17" x14ac:dyDescent="0.4">
      <c r="A252">
        <v>20210825</v>
      </c>
      <c r="B252" s="1">
        <v>0.29166666666666669</v>
      </c>
      <c r="C252">
        <v>-25113</v>
      </c>
      <c r="D252">
        <v>59833</v>
      </c>
      <c r="E252">
        <v>-695923</v>
      </c>
      <c r="F252">
        <v>-296418</v>
      </c>
      <c r="G252">
        <v>-39085</v>
      </c>
      <c r="H252">
        <v>-238394</v>
      </c>
      <c r="I252">
        <v>-151501</v>
      </c>
      <c r="J252">
        <v>50327</v>
      </c>
      <c r="K252">
        <v>-182743</v>
      </c>
      <c r="L252">
        <v>25410</v>
      </c>
      <c r="M252">
        <v>6.6</v>
      </c>
      <c r="N252">
        <v>-1493607</v>
      </c>
      <c r="O252">
        <v>23195400</v>
      </c>
      <c r="P252" s="2">
        <v>-6.439237952352622</v>
      </c>
      <c r="Q252" s="4">
        <v>15.308964</v>
      </c>
    </row>
    <row r="253" spans="1:17" x14ac:dyDescent="0.4">
      <c r="A253">
        <v>20210825</v>
      </c>
      <c r="B253" s="1">
        <v>0.3125</v>
      </c>
      <c r="C253">
        <v>-30775</v>
      </c>
      <c r="D253">
        <v>181783</v>
      </c>
      <c r="E253">
        <v>-712272</v>
      </c>
      <c r="F253">
        <v>-42503</v>
      </c>
      <c r="G253">
        <v>-59781</v>
      </c>
      <c r="H253">
        <v>-251155</v>
      </c>
      <c r="I253">
        <v>-49342</v>
      </c>
      <c r="J253">
        <v>59896</v>
      </c>
      <c r="K253">
        <v>-107990</v>
      </c>
      <c r="L253">
        <v>20120</v>
      </c>
      <c r="M253">
        <v>6.89</v>
      </c>
      <c r="N253">
        <v>-992019</v>
      </c>
      <c r="O253">
        <v>23453150</v>
      </c>
      <c r="P253" s="2">
        <v>-4.2297900282051666</v>
      </c>
      <c r="Q253" s="4">
        <v>16.159220349999998</v>
      </c>
    </row>
    <row r="254" spans="1:17" x14ac:dyDescent="0.4">
      <c r="A254">
        <v>20210825</v>
      </c>
      <c r="B254" s="1">
        <v>0.33333333333333331</v>
      </c>
      <c r="C254">
        <v>-83896</v>
      </c>
      <c r="D254">
        <v>131317</v>
      </c>
      <c r="E254">
        <v>-868664</v>
      </c>
      <c r="F254">
        <v>42662</v>
      </c>
      <c r="G254">
        <v>-97311</v>
      </c>
      <c r="H254">
        <v>-210219</v>
      </c>
      <c r="I254">
        <v>-52350</v>
      </c>
      <c r="J254">
        <v>49185</v>
      </c>
      <c r="K254">
        <v>-99916</v>
      </c>
      <c r="L254">
        <v>38334</v>
      </c>
      <c r="M254">
        <v>6.92</v>
      </c>
      <c r="N254">
        <v>-1150858</v>
      </c>
      <c r="O254">
        <v>24406500</v>
      </c>
      <c r="P254" s="2">
        <v>-4.7153750025607932</v>
      </c>
      <c r="Q254" s="4">
        <v>16.889298</v>
      </c>
    </row>
    <row r="255" spans="1:17" x14ac:dyDescent="0.4">
      <c r="A255">
        <v>20210825</v>
      </c>
      <c r="B255" s="1">
        <v>0.35416666666666669</v>
      </c>
      <c r="C255">
        <v>-56018</v>
      </c>
      <c r="D255">
        <v>371157</v>
      </c>
      <c r="E255">
        <v>-1353589</v>
      </c>
      <c r="F255">
        <v>-495394</v>
      </c>
      <c r="G255">
        <v>-96589</v>
      </c>
      <c r="H255">
        <v>-385268</v>
      </c>
      <c r="I255">
        <v>-196235</v>
      </c>
      <c r="J255">
        <v>24646</v>
      </c>
      <c r="K255">
        <v>-94722</v>
      </c>
      <c r="L255">
        <v>19133</v>
      </c>
      <c r="M255">
        <v>7.1</v>
      </c>
      <c r="N255">
        <v>-2262879</v>
      </c>
      <c r="O255">
        <v>24554200</v>
      </c>
      <c r="P255" s="2">
        <v>-9.2158530923426536</v>
      </c>
      <c r="Q255" s="4">
        <v>17.433482000000001</v>
      </c>
    </row>
    <row r="256" spans="1:17" x14ac:dyDescent="0.4">
      <c r="A256">
        <v>20210825</v>
      </c>
      <c r="B256" s="1">
        <v>0.375</v>
      </c>
      <c r="C256">
        <v>-40750</v>
      </c>
      <c r="D256">
        <v>309510</v>
      </c>
      <c r="E256">
        <v>-1457362</v>
      </c>
      <c r="F256">
        <v>-498578</v>
      </c>
      <c r="G256">
        <v>-138243</v>
      </c>
      <c r="H256">
        <v>-401121</v>
      </c>
      <c r="I256">
        <v>-213650</v>
      </c>
      <c r="J256">
        <v>38549</v>
      </c>
      <c r="K256">
        <v>-141126</v>
      </c>
      <c r="L256">
        <v>8659</v>
      </c>
      <c r="M256">
        <v>7.74</v>
      </c>
      <c r="N256">
        <v>-2534112</v>
      </c>
      <c r="O256">
        <v>25129650</v>
      </c>
      <c r="P256" s="2">
        <v>-10.084151589855011</v>
      </c>
      <c r="Q256" s="4">
        <v>19.4503491</v>
      </c>
    </row>
    <row r="257" spans="1:17" x14ac:dyDescent="0.4">
      <c r="A257">
        <v>20210825</v>
      </c>
      <c r="B257" s="1">
        <v>0.39583333333333331</v>
      </c>
      <c r="C257">
        <v>-57178</v>
      </c>
      <c r="D257">
        <v>274017</v>
      </c>
      <c r="E257">
        <v>-1587763</v>
      </c>
      <c r="F257">
        <v>-435569</v>
      </c>
      <c r="G257">
        <v>-117772</v>
      </c>
      <c r="H257">
        <v>-354889</v>
      </c>
      <c r="I257">
        <v>-150633</v>
      </c>
      <c r="J257">
        <v>89278</v>
      </c>
      <c r="K257">
        <v>-52218</v>
      </c>
      <c r="L257">
        <v>8212</v>
      </c>
      <c r="M257">
        <v>7.74</v>
      </c>
      <c r="N257">
        <v>-2384515</v>
      </c>
      <c r="O257">
        <v>25426450</v>
      </c>
      <c r="P257" s="2">
        <v>-9.3780885652538988</v>
      </c>
      <c r="Q257" s="4">
        <v>19.680072299999999</v>
      </c>
    </row>
    <row r="258" spans="1:17" x14ac:dyDescent="0.4">
      <c r="A258">
        <v>20210825</v>
      </c>
      <c r="B258" s="1">
        <v>0.41666666666666669</v>
      </c>
      <c r="C258">
        <v>-7742</v>
      </c>
      <c r="D258">
        <v>249130</v>
      </c>
      <c r="E258">
        <v>-1371359</v>
      </c>
      <c r="F258">
        <v>-304013</v>
      </c>
      <c r="G258">
        <v>-86043</v>
      </c>
      <c r="H258">
        <v>-388401</v>
      </c>
      <c r="I258">
        <v>-148757</v>
      </c>
      <c r="J258">
        <v>98143</v>
      </c>
      <c r="K258">
        <v>127237</v>
      </c>
      <c r="L258">
        <v>13339</v>
      </c>
      <c r="M258">
        <v>7.94</v>
      </c>
      <c r="N258">
        <v>-1818466</v>
      </c>
      <c r="O258">
        <v>25651250</v>
      </c>
      <c r="P258" s="2">
        <v>-7.0891905852541299</v>
      </c>
      <c r="Q258" s="4">
        <v>20.367092499999998</v>
      </c>
    </row>
    <row r="259" spans="1:17" x14ac:dyDescent="0.4">
      <c r="A259">
        <v>20210825</v>
      </c>
      <c r="B259" s="1">
        <v>0.4375</v>
      </c>
      <c r="C259">
        <v>-22563</v>
      </c>
      <c r="D259">
        <v>174013</v>
      </c>
      <c r="E259">
        <v>-1417853</v>
      </c>
      <c r="F259">
        <v>-314792</v>
      </c>
      <c r="G259">
        <v>-65840</v>
      </c>
      <c r="H259">
        <v>-408208</v>
      </c>
      <c r="I259">
        <v>-141327</v>
      </c>
      <c r="J259">
        <v>53967</v>
      </c>
      <c r="K259">
        <v>129183</v>
      </c>
      <c r="L259">
        <v>9115</v>
      </c>
      <c r="M259">
        <v>7.96</v>
      </c>
      <c r="N259">
        <v>-2004305</v>
      </c>
      <c r="O259">
        <v>25818750</v>
      </c>
      <c r="P259" s="2">
        <v>-7.7629823287339628</v>
      </c>
      <c r="Q259" s="4">
        <v>20.551725000000001</v>
      </c>
    </row>
    <row r="260" spans="1:17" x14ac:dyDescent="0.4">
      <c r="A260">
        <v>20210825</v>
      </c>
      <c r="B260" s="1">
        <v>0.45833333333333331</v>
      </c>
      <c r="C260">
        <v>14898</v>
      </c>
      <c r="D260">
        <v>233985</v>
      </c>
      <c r="E260">
        <v>-1309319</v>
      </c>
      <c r="F260">
        <v>-395918</v>
      </c>
      <c r="G260">
        <v>-64359</v>
      </c>
      <c r="H260">
        <v>-357425</v>
      </c>
      <c r="I260">
        <v>-110394</v>
      </c>
      <c r="J260">
        <v>18658</v>
      </c>
      <c r="K260">
        <v>161742</v>
      </c>
      <c r="L260">
        <v>14280</v>
      </c>
      <c r="M260">
        <v>8.39</v>
      </c>
      <c r="N260">
        <v>-1793852</v>
      </c>
      <c r="O260">
        <v>26170200</v>
      </c>
      <c r="P260" s="2">
        <v>-6.8545597664519189</v>
      </c>
      <c r="Q260" s="4">
        <v>21.9567978</v>
      </c>
    </row>
    <row r="261" spans="1:17" x14ac:dyDescent="0.4">
      <c r="A261">
        <v>20210825</v>
      </c>
      <c r="B261" s="1">
        <v>0.47916666666666669</v>
      </c>
      <c r="C261">
        <v>19894</v>
      </c>
      <c r="D261">
        <v>232210</v>
      </c>
      <c r="E261">
        <v>-1135951</v>
      </c>
      <c r="F261">
        <v>-61553</v>
      </c>
      <c r="G261">
        <v>-44251</v>
      </c>
      <c r="H261">
        <v>-337303</v>
      </c>
      <c r="I261">
        <v>-29882</v>
      </c>
      <c r="J261">
        <v>-12453</v>
      </c>
      <c r="K261">
        <v>183299</v>
      </c>
      <c r="L261">
        <v>14985</v>
      </c>
      <c r="M261">
        <v>8.6199999999999992</v>
      </c>
      <c r="N261">
        <v>-1171005</v>
      </c>
      <c r="O261">
        <v>26181500</v>
      </c>
      <c r="P261" s="2">
        <v>-4.4726428967018697</v>
      </c>
      <c r="Q261" s="4">
        <v>22.568452999999998</v>
      </c>
    </row>
    <row r="262" spans="1:17" x14ac:dyDescent="0.4">
      <c r="A262">
        <v>20210825</v>
      </c>
      <c r="B262" s="1">
        <v>0.5</v>
      </c>
      <c r="C262">
        <v>8246</v>
      </c>
      <c r="D262">
        <v>263757</v>
      </c>
      <c r="E262">
        <v>-1141942</v>
      </c>
      <c r="F262">
        <v>-346858</v>
      </c>
      <c r="G262">
        <v>-26734</v>
      </c>
      <c r="H262">
        <v>-344911</v>
      </c>
      <c r="I262">
        <v>-98296</v>
      </c>
      <c r="J262">
        <v>75</v>
      </c>
      <c r="K262">
        <v>184312</v>
      </c>
      <c r="L262">
        <v>18110</v>
      </c>
      <c r="M262">
        <v>8.39</v>
      </c>
      <c r="N262">
        <v>-1484241</v>
      </c>
      <c r="O262">
        <v>26197400</v>
      </c>
      <c r="P262" s="2">
        <v>-5.6656042202661334</v>
      </c>
      <c r="Q262" s="4">
        <v>21.979618599999998</v>
      </c>
    </row>
    <row r="263" spans="1:17" x14ac:dyDescent="0.4">
      <c r="A263">
        <v>20210825</v>
      </c>
      <c r="B263" s="1">
        <v>0.52083333333333337</v>
      </c>
      <c r="C263">
        <v>35898</v>
      </c>
      <c r="D263">
        <v>363999</v>
      </c>
      <c r="E263">
        <v>-1178291</v>
      </c>
      <c r="F263">
        <v>-395580</v>
      </c>
      <c r="G263">
        <v>-20236</v>
      </c>
      <c r="H263">
        <v>-453690</v>
      </c>
      <c r="I263">
        <v>139397</v>
      </c>
      <c r="J263">
        <v>-23111</v>
      </c>
      <c r="K263">
        <v>202678</v>
      </c>
      <c r="L263">
        <v>22184</v>
      </c>
      <c r="M263">
        <v>8.39</v>
      </c>
      <c r="N263">
        <v>-1306752</v>
      </c>
      <c r="O263">
        <v>26051000</v>
      </c>
      <c r="P263" s="2">
        <v>-5.0161298990441825</v>
      </c>
      <c r="Q263" s="4">
        <v>21.856788999999999</v>
      </c>
    </row>
    <row r="264" spans="1:17" x14ac:dyDescent="0.4">
      <c r="A264">
        <v>20210825</v>
      </c>
      <c r="B264" s="1">
        <v>0.54166666666666663</v>
      </c>
      <c r="C264">
        <v>22175</v>
      </c>
      <c r="D264">
        <v>428479</v>
      </c>
      <c r="E264">
        <v>-1112308</v>
      </c>
      <c r="F264">
        <v>-382507</v>
      </c>
      <c r="G264">
        <v>1703</v>
      </c>
      <c r="H264">
        <v>-447914</v>
      </c>
      <c r="I264">
        <v>122082</v>
      </c>
      <c r="J264">
        <v>-28236</v>
      </c>
      <c r="K264">
        <v>227038</v>
      </c>
      <c r="L264">
        <v>26846</v>
      </c>
      <c r="M264">
        <v>9.0500000000000007</v>
      </c>
      <c r="N264">
        <v>-1142642</v>
      </c>
      <c r="O264">
        <v>25095100</v>
      </c>
      <c r="P264" s="2">
        <v>-4.5532474467127049</v>
      </c>
      <c r="Q264" s="4">
        <v>22.711065500000004</v>
      </c>
    </row>
    <row r="265" spans="1:17" x14ac:dyDescent="0.4">
      <c r="A265">
        <v>20210825</v>
      </c>
      <c r="B265" s="1">
        <v>0.5625</v>
      </c>
      <c r="C265">
        <v>33120</v>
      </c>
      <c r="D265">
        <v>434079</v>
      </c>
      <c r="E265">
        <v>-1151850</v>
      </c>
      <c r="F265">
        <v>-308397</v>
      </c>
      <c r="G265">
        <v>-2321</v>
      </c>
      <c r="H265">
        <v>-338230</v>
      </c>
      <c r="I265">
        <v>73022</v>
      </c>
      <c r="J265">
        <v>-63145</v>
      </c>
      <c r="K265">
        <v>388700</v>
      </c>
      <c r="L265">
        <v>17924</v>
      </c>
      <c r="M265">
        <v>9.57</v>
      </c>
      <c r="N265">
        <v>-917098</v>
      </c>
      <c r="O265">
        <v>24810950</v>
      </c>
      <c r="P265" s="2">
        <v>-3.6963437514484534</v>
      </c>
      <c r="Q265" s="4">
        <v>23.744079150000001</v>
      </c>
    </row>
    <row r="266" spans="1:17" x14ac:dyDescent="0.4">
      <c r="A266">
        <v>20210825</v>
      </c>
      <c r="B266" s="1">
        <v>0.58333333333333337</v>
      </c>
      <c r="C266">
        <v>32212</v>
      </c>
      <c r="D266">
        <v>315994</v>
      </c>
      <c r="E266">
        <v>-1201243</v>
      </c>
      <c r="F266">
        <v>-363202</v>
      </c>
      <c r="G266">
        <v>-3986</v>
      </c>
      <c r="H266">
        <v>-238228</v>
      </c>
      <c r="I266">
        <v>326439</v>
      </c>
      <c r="J266">
        <v>-68190</v>
      </c>
      <c r="K266">
        <v>362476</v>
      </c>
      <c r="L266">
        <v>4204</v>
      </c>
      <c r="M266">
        <v>9.86</v>
      </c>
      <c r="N266">
        <v>-833524</v>
      </c>
      <c r="O266">
        <v>24507100</v>
      </c>
      <c r="P266" s="2">
        <v>-3.4011531352138769</v>
      </c>
      <c r="Q266" s="4">
        <v>24.164000600000001</v>
      </c>
    </row>
    <row r="267" spans="1:17" x14ac:dyDescent="0.4">
      <c r="A267">
        <v>20210825</v>
      </c>
      <c r="B267" s="1">
        <v>0.60416666666666663</v>
      </c>
      <c r="C267">
        <v>27730</v>
      </c>
      <c r="D267">
        <v>311001</v>
      </c>
      <c r="E267">
        <v>-1107904</v>
      </c>
      <c r="F267">
        <v>-412938</v>
      </c>
      <c r="G267">
        <v>-3669</v>
      </c>
      <c r="H267">
        <v>-195247</v>
      </c>
      <c r="I267">
        <v>257493</v>
      </c>
      <c r="J267">
        <v>-78085</v>
      </c>
      <c r="K267">
        <v>362704</v>
      </c>
      <c r="L267">
        <v>-5968</v>
      </c>
      <c r="M267">
        <v>10.119999999999999</v>
      </c>
      <c r="N267">
        <v>-844883</v>
      </c>
      <c r="O267">
        <v>23929050</v>
      </c>
      <c r="P267" s="2">
        <v>-3.5307837126839554</v>
      </c>
      <c r="Q267" s="4">
        <v>24.216198599999998</v>
      </c>
    </row>
    <row r="268" spans="1:17" x14ac:dyDescent="0.4">
      <c r="A268">
        <v>20210825</v>
      </c>
      <c r="B268" s="1">
        <v>0.625</v>
      </c>
      <c r="C268">
        <v>37487</v>
      </c>
      <c r="D268">
        <v>155089</v>
      </c>
      <c r="E268">
        <v>-1188684</v>
      </c>
      <c r="F268">
        <v>-382732</v>
      </c>
      <c r="G268">
        <v>-11047</v>
      </c>
      <c r="H268">
        <v>-57553</v>
      </c>
      <c r="I268">
        <v>233177</v>
      </c>
      <c r="J268">
        <v>-34285</v>
      </c>
      <c r="K268">
        <v>376442</v>
      </c>
      <c r="L268">
        <v>-111</v>
      </c>
      <c r="M268">
        <v>10.06</v>
      </c>
      <c r="N268">
        <v>-872217</v>
      </c>
      <c r="O268">
        <v>24028050</v>
      </c>
      <c r="P268" s="2">
        <v>-3.6299949434098897</v>
      </c>
      <c r="Q268" s="4">
        <v>24.172218300000001</v>
      </c>
    </row>
    <row r="269" spans="1:17" x14ac:dyDescent="0.4">
      <c r="A269">
        <v>20210825</v>
      </c>
      <c r="B269" s="1">
        <v>0.64583333333333337</v>
      </c>
      <c r="C269">
        <v>57395</v>
      </c>
      <c r="D269">
        <v>203329</v>
      </c>
      <c r="E269">
        <v>-1220263</v>
      </c>
      <c r="F269">
        <v>-465420</v>
      </c>
      <c r="G269">
        <v>42801</v>
      </c>
      <c r="H269">
        <v>-169700</v>
      </c>
      <c r="I269">
        <v>174330</v>
      </c>
      <c r="J269">
        <v>-90593</v>
      </c>
      <c r="K269">
        <v>314375</v>
      </c>
      <c r="L269">
        <v>-12623</v>
      </c>
      <c r="M269">
        <v>10.32</v>
      </c>
      <c r="N269">
        <v>-1166369</v>
      </c>
      <c r="O269">
        <v>23581900</v>
      </c>
      <c r="P269" s="2">
        <v>-4.9460348826854492</v>
      </c>
      <c r="Q269" s="4">
        <v>24.336520799999999</v>
      </c>
    </row>
    <row r="270" spans="1:17" x14ac:dyDescent="0.4">
      <c r="A270">
        <v>20210825</v>
      </c>
      <c r="B270" s="1">
        <v>0.66666666666666663</v>
      </c>
      <c r="C270">
        <v>46636</v>
      </c>
      <c r="D270">
        <v>28440</v>
      </c>
      <c r="E270">
        <v>-1175793</v>
      </c>
      <c r="F270">
        <v>-390853</v>
      </c>
      <c r="G270">
        <v>62591</v>
      </c>
      <c r="H270">
        <v>-374034</v>
      </c>
      <c r="I270">
        <v>534681</v>
      </c>
      <c r="J270">
        <v>-77935</v>
      </c>
      <c r="K270">
        <v>198790</v>
      </c>
      <c r="L270">
        <v>-30979</v>
      </c>
      <c r="M270">
        <v>11.41</v>
      </c>
      <c r="N270">
        <v>-1178456</v>
      </c>
      <c r="O270">
        <v>24108950</v>
      </c>
      <c r="P270" s="2">
        <v>-4.8880436518388404</v>
      </c>
      <c r="Q270" s="4">
        <v>27.50831195</v>
      </c>
    </row>
    <row r="271" spans="1:17" x14ac:dyDescent="0.4">
      <c r="A271">
        <v>20210825</v>
      </c>
      <c r="B271" s="1">
        <v>0.6875</v>
      </c>
      <c r="C271">
        <v>51887</v>
      </c>
      <c r="D271">
        <v>69875</v>
      </c>
      <c r="E271">
        <v>-1182224</v>
      </c>
      <c r="F271">
        <v>-372673</v>
      </c>
      <c r="G271">
        <v>26728</v>
      </c>
      <c r="H271">
        <v>-414068</v>
      </c>
      <c r="I271">
        <v>313469</v>
      </c>
      <c r="J271">
        <v>-108584</v>
      </c>
      <c r="K271">
        <v>61775</v>
      </c>
      <c r="L271">
        <v>-35269</v>
      </c>
      <c r="M271">
        <v>12.79</v>
      </c>
      <c r="N271">
        <v>-1589084</v>
      </c>
      <c r="O271">
        <v>23691900</v>
      </c>
      <c r="P271" s="2">
        <v>-6.7072881448934023</v>
      </c>
      <c r="Q271" s="4">
        <v>30.301940099999999</v>
      </c>
    </row>
    <row r="272" spans="1:17" x14ac:dyDescent="0.4">
      <c r="A272">
        <v>20210825</v>
      </c>
      <c r="B272" s="1">
        <v>0.70833333333333337</v>
      </c>
      <c r="C272">
        <v>49959</v>
      </c>
      <c r="D272">
        <v>-159867</v>
      </c>
      <c r="E272">
        <v>-1308824</v>
      </c>
      <c r="F272">
        <v>-140940</v>
      </c>
      <c r="G272">
        <v>25025</v>
      </c>
      <c r="H272">
        <v>-394250</v>
      </c>
      <c r="I272">
        <v>184096</v>
      </c>
      <c r="J272">
        <v>-54287</v>
      </c>
      <c r="K272">
        <v>50296</v>
      </c>
      <c r="L272">
        <v>-26572</v>
      </c>
      <c r="M272">
        <v>11.94</v>
      </c>
      <c r="N272">
        <v>-1775364</v>
      </c>
      <c r="O272">
        <v>23131650</v>
      </c>
      <c r="P272" s="2">
        <v>-7.6750426363878059</v>
      </c>
      <c r="Q272" s="4">
        <v>27.619190100000001</v>
      </c>
    </row>
    <row r="273" spans="1:17" x14ac:dyDescent="0.4">
      <c r="A273">
        <v>20210825</v>
      </c>
      <c r="B273" s="1">
        <v>0.72916666666666663</v>
      </c>
      <c r="C273">
        <v>16226</v>
      </c>
      <c r="D273">
        <v>-84916</v>
      </c>
      <c r="E273">
        <v>-1216284</v>
      </c>
      <c r="F273">
        <v>-163682</v>
      </c>
      <c r="G273">
        <v>17702</v>
      </c>
      <c r="H273">
        <v>-350806</v>
      </c>
      <c r="I273">
        <v>83625</v>
      </c>
      <c r="J273">
        <v>-22211</v>
      </c>
      <c r="K273">
        <v>77940</v>
      </c>
      <c r="L273">
        <v>-28416</v>
      </c>
      <c r="M273">
        <v>12.19</v>
      </c>
      <c r="N273">
        <v>-1670822</v>
      </c>
      <c r="O273">
        <v>22738700</v>
      </c>
      <c r="P273" s="2">
        <v>-7.347922264685316</v>
      </c>
      <c r="Q273" s="4">
        <v>27.718475300000001</v>
      </c>
    </row>
    <row r="274" spans="1:17" x14ac:dyDescent="0.4">
      <c r="A274">
        <v>20210825</v>
      </c>
      <c r="B274" s="1">
        <v>0.75</v>
      </c>
      <c r="C274">
        <v>42713</v>
      </c>
      <c r="D274">
        <v>-68708</v>
      </c>
      <c r="E274">
        <v>-1318276</v>
      </c>
      <c r="F274">
        <v>-174264</v>
      </c>
      <c r="G274">
        <v>46986</v>
      </c>
      <c r="H274">
        <v>-243286</v>
      </c>
      <c r="I274">
        <v>37534</v>
      </c>
      <c r="J274">
        <v>23699</v>
      </c>
      <c r="K274">
        <v>118830</v>
      </c>
      <c r="L274">
        <v>-29507</v>
      </c>
      <c r="M274">
        <v>10.32</v>
      </c>
      <c r="N274">
        <v>-1564279</v>
      </c>
      <c r="O274">
        <v>22496100</v>
      </c>
      <c r="P274" s="2">
        <v>-6.9535563942194427</v>
      </c>
      <c r="Q274" s="4">
        <v>23.215975199999999</v>
      </c>
    </row>
    <row r="275" spans="1:17" x14ac:dyDescent="0.4">
      <c r="A275">
        <v>20210825</v>
      </c>
      <c r="B275" s="1">
        <v>0.77083333333333337</v>
      </c>
      <c r="C275">
        <v>23074</v>
      </c>
      <c r="D275">
        <v>21185</v>
      </c>
      <c r="E275">
        <v>-1349648</v>
      </c>
      <c r="F275">
        <v>-186512</v>
      </c>
      <c r="G275">
        <v>-5982</v>
      </c>
      <c r="H275">
        <v>-232343</v>
      </c>
      <c r="I275">
        <v>-22037</v>
      </c>
      <c r="J275">
        <v>54059</v>
      </c>
      <c r="K275">
        <v>125833</v>
      </c>
      <c r="L275">
        <v>-30535</v>
      </c>
      <c r="M275">
        <v>10.32</v>
      </c>
      <c r="N275">
        <v>-1602906</v>
      </c>
      <c r="O275">
        <v>22680400</v>
      </c>
      <c r="P275" s="2">
        <v>-7.0673621276520695</v>
      </c>
      <c r="Q275" s="4">
        <v>23.4061728</v>
      </c>
    </row>
    <row r="276" spans="1:17" x14ac:dyDescent="0.4">
      <c r="A276">
        <v>20210825</v>
      </c>
      <c r="B276" s="1">
        <v>0.79166666666666663</v>
      </c>
      <c r="C276">
        <v>43246</v>
      </c>
      <c r="D276">
        <v>30520</v>
      </c>
      <c r="E276">
        <v>-1295251</v>
      </c>
      <c r="F276">
        <v>-115957</v>
      </c>
      <c r="G276">
        <v>-764</v>
      </c>
      <c r="H276">
        <v>-117377</v>
      </c>
      <c r="I276">
        <v>-76992</v>
      </c>
      <c r="J276">
        <v>60757</v>
      </c>
      <c r="K276">
        <v>105069</v>
      </c>
      <c r="L276">
        <v>-28307</v>
      </c>
      <c r="M276">
        <v>10.32</v>
      </c>
      <c r="N276">
        <v>-1395056</v>
      </c>
      <c r="O276">
        <v>22727850</v>
      </c>
      <c r="P276" s="2">
        <v>-6.1380904925014903</v>
      </c>
      <c r="Q276" s="4">
        <v>23.4551412</v>
      </c>
    </row>
    <row r="277" spans="1:17" x14ac:dyDescent="0.4">
      <c r="A277">
        <v>20210825</v>
      </c>
      <c r="B277" s="1">
        <v>0.8125</v>
      </c>
      <c r="C277">
        <v>11559</v>
      </c>
      <c r="D277">
        <v>58506</v>
      </c>
      <c r="E277">
        <v>-1220408</v>
      </c>
      <c r="F277">
        <v>-45651</v>
      </c>
      <c r="G277">
        <v>27891</v>
      </c>
      <c r="H277">
        <v>-94960</v>
      </c>
      <c r="I277">
        <v>-44240</v>
      </c>
      <c r="J277">
        <v>73965</v>
      </c>
      <c r="K277">
        <v>164544</v>
      </c>
      <c r="L277">
        <v>-25705</v>
      </c>
      <c r="M277">
        <v>10.32</v>
      </c>
      <c r="N277">
        <v>-1094499</v>
      </c>
      <c r="O277">
        <v>22503000</v>
      </c>
      <c r="P277" s="2">
        <v>-4.8637914944674048</v>
      </c>
      <c r="Q277" s="4">
        <v>23.223096000000002</v>
      </c>
    </row>
    <row r="278" spans="1:17" x14ac:dyDescent="0.4">
      <c r="A278">
        <v>20210825</v>
      </c>
      <c r="B278" s="1">
        <v>0.83333333333333337</v>
      </c>
      <c r="C278">
        <v>49350</v>
      </c>
      <c r="D278">
        <v>189947</v>
      </c>
      <c r="E278">
        <v>-1423173</v>
      </c>
      <c r="F278">
        <v>17010</v>
      </c>
      <c r="G278">
        <v>30956</v>
      </c>
      <c r="H278">
        <v>8885</v>
      </c>
      <c r="I278">
        <v>-36385</v>
      </c>
      <c r="J278">
        <v>83583</v>
      </c>
      <c r="K278">
        <v>185855</v>
      </c>
      <c r="L278">
        <v>-28044</v>
      </c>
      <c r="M278">
        <v>9.61</v>
      </c>
      <c r="N278">
        <v>-922016</v>
      </c>
      <c r="O278">
        <v>21767750</v>
      </c>
      <c r="P278" s="2">
        <v>-4.2356973044986272</v>
      </c>
      <c r="Q278" s="4">
        <v>20.918807749999999</v>
      </c>
    </row>
    <row r="279" spans="1:17" x14ac:dyDescent="0.4">
      <c r="A279">
        <v>20210825</v>
      </c>
      <c r="B279" s="1">
        <v>0.85416666666666663</v>
      </c>
      <c r="C279">
        <v>16694</v>
      </c>
      <c r="D279">
        <v>359805</v>
      </c>
      <c r="E279">
        <v>-702678</v>
      </c>
      <c r="F279">
        <v>-4093</v>
      </c>
      <c r="G279">
        <v>27333</v>
      </c>
      <c r="H279">
        <v>-33410</v>
      </c>
      <c r="I279">
        <v>-49078</v>
      </c>
      <c r="J279">
        <v>74154</v>
      </c>
      <c r="K279">
        <v>245677</v>
      </c>
      <c r="L279">
        <v>-17583</v>
      </c>
      <c r="M279">
        <v>9.4600000000000009</v>
      </c>
      <c r="N279">
        <v>-83179</v>
      </c>
      <c r="O279">
        <v>21740550</v>
      </c>
      <c r="P279" s="2">
        <v>-0.38259841632341407</v>
      </c>
      <c r="Q279" s="4">
        <v>20.566560300000003</v>
      </c>
    </row>
    <row r="280" spans="1:17" x14ac:dyDescent="0.4">
      <c r="A280">
        <v>20210825</v>
      </c>
      <c r="B280" s="1">
        <v>0.875</v>
      </c>
      <c r="C280">
        <v>84122</v>
      </c>
      <c r="D280">
        <v>354161</v>
      </c>
      <c r="E280">
        <v>-723919</v>
      </c>
      <c r="F280">
        <v>30037</v>
      </c>
      <c r="G280">
        <v>40172</v>
      </c>
      <c r="H280">
        <v>220</v>
      </c>
      <c r="I280">
        <v>-2275</v>
      </c>
      <c r="J280">
        <v>25521</v>
      </c>
      <c r="K280">
        <v>179560</v>
      </c>
      <c r="L280">
        <v>-27232</v>
      </c>
      <c r="M280">
        <v>8.86</v>
      </c>
      <c r="N280">
        <v>-39633</v>
      </c>
      <c r="O280">
        <v>21704750</v>
      </c>
      <c r="P280" s="2">
        <v>-0.18260058282173258</v>
      </c>
      <c r="Q280" s="4">
        <v>19.230408499999999</v>
      </c>
    </row>
    <row r="281" spans="1:17" x14ac:dyDescent="0.4">
      <c r="A281">
        <v>20210825</v>
      </c>
      <c r="B281" s="1">
        <v>0.91666666666666663</v>
      </c>
      <c r="C281">
        <v>44109</v>
      </c>
      <c r="D281">
        <v>395554</v>
      </c>
      <c r="E281">
        <v>-447138</v>
      </c>
      <c r="F281">
        <v>-18355</v>
      </c>
      <c r="G281">
        <v>26714</v>
      </c>
      <c r="H281">
        <v>-102073</v>
      </c>
      <c r="I281">
        <v>46167</v>
      </c>
      <c r="J281">
        <v>31647</v>
      </c>
      <c r="K281">
        <v>43965</v>
      </c>
      <c r="L281">
        <v>-22850</v>
      </c>
      <c r="M281">
        <v>8.33</v>
      </c>
      <c r="N281">
        <v>-2260</v>
      </c>
      <c r="O281">
        <v>21452750</v>
      </c>
      <c r="P281" s="2">
        <v>-1.0534779923319854E-2</v>
      </c>
      <c r="Q281" s="4">
        <v>17.870140750000001</v>
      </c>
    </row>
    <row r="282" spans="1:17" x14ac:dyDescent="0.4">
      <c r="A282">
        <v>20210825</v>
      </c>
      <c r="B282" s="1">
        <v>0.95833333333333337</v>
      </c>
      <c r="C282">
        <v>37289</v>
      </c>
      <c r="D282">
        <v>274973</v>
      </c>
      <c r="E282">
        <v>-313197</v>
      </c>
      <c r="F282">
        <v>8456</v>
      </c>
      <c r="G282">
        <v>45627</v>
      </c>
      <c r="H282">
        <v>-178171</v>
      </c>
      <c r="I282">
        <v>29130</v>
      </c>
      <c r="J282">
        <v>11015</v>
      </c>
      <c r="K282">
        <v>-72617</v>
      </c>
      <c r="L282">
        <v>-24332</v>
      </c>
      <c r="M282">
        <v>7.12</v>
      </c>
      <c r="N282">
        <v>-181827</v>
      </c>
      <c r="O282">
        <v>21136900</v>
      </c>
      <c r="P282" s="2">
        <v>-0.86023494457560001</v>
      </c>
      <c r="Q282" s="4">
        <v>15.0494728</v>
      </c>
    </row>
    <row r="283" spans="1:17" x14ac:dyDescent="0.4">
      <c r="A283">
        <v>20210825</v>
      </c>
      <c r="B283" s="1">
        <v>0.97916666666666663</v>
      </c>
      <c r="C283">
        <v>69200</v>
      </c>
      <c r="D283">
        <v>250519</v>
      </c>
      <c r="E283">
        <v>-260747</v>
      </c>
      <c r="F283">
        <v>-56872</v>
      </c>
      <c r="G283">
        <v>42899</v>
      </c>
      <c r="H283">
        <v>-169946</v>
      </c>
      <c r="I283">
        <v>30947</v>
      </c>
      <c r="J283">
        <v>20596</v>
      </c>
      <c r="K283">
        <v>1634</v>
      </c>
      <c r="L283">
        <v>-14317</v>
      </c>
      <c r="M283">
        <v>6.91</v>
      </c>
      <c r="N283">
        <v>-86087</v>
      </c>
      <c r="O283">
        <v>20326750</v>
      </c>
      <c r="P283" s="2">
        <v>-0.42351581044682501</v>
      </c>
      <c r="Q283" s="4">
        <v>14.045784250000001</v>
      </c>
    </row>
    <row r="284" spans="1:17" x14ac:dyDescent="0.4">
      <c r="A284">
        <v>20210826</v>
      </c>
      <c r="B284" s="1">
        <v>0</v>
      </c>
      <c r="C284">
        <v>27522</v>
      </c>
      <c r="D284">
        <v>142823</v>
      </c>
      <c r="E284">
        <v>-342155</v>
      </c>
      <c r="F284">
        <v>-175018</v>
      </c>
      <c r="G284">
        <v>63580</v>
      </c>
      <c r="H284">
        <v>-24235</v>
      </c>
      <c r="I284">
        <v>12012</v>
      </c>
      <c r="J284">
        <v>11472</v>
      </c>
      <c r="K284">
        <v>-102189</v>
      </c>
      <c r="L284">
        <v>-20129</v>
      </c>
      <c r="M284">
        <v>6.97</v>
      </c>
      <c r="N284">
        <v>-406317</v>
      </c>
      <c r="O284">
        <v>18818400</v>
      </c>
      <c r="P284" s="2">
        <v>-2.1591474301747224</v>
      </c>
      <c r="Q284" s="4">
        <v>13.116424800000001</v>
      </c>
    </row>
    <row r="285" spans="1:17" x14ac:dyDescent="0.4">
      <c r="A285">
        <v>20210826</v>
      </c>
      <c r="B285" s="1">
        <v>2.0833333333333332E-2</v>
      </c>
      <c r="C285">
        <v>45218</v>
      </c>
      <c r="D285">
        <v>176171</v>
      </c>
      <c r="E285">
        <v>-348129</v>
      </c>
      <c r="F285">
        <v>-133080</v>
      </c>
      <c r="G285">
        <v>77613</v>
      </c>
      <c r="H285">
        <v>-78909</v>
      </c>
      <c r="I285">
        <v>25164</v>
      </c>
      <c r="J285">
        <v>-916</v>
      </c>
      <c r="K285">
        <v>-78172</v>
      </c>
      <c r="L285">
        <v>-13505</v>
      </c>
      <c r="M285">
        <v>6.86</v>
      </c>
      <c r="N285">
        <v>-328545</v>
      </c>
      <c r="O285">
        <v>20077300</v>
      </c>
      <c r="P285" s="2">
        <v>-1.6364003127910625</v>
      </c>
      <c r="Q285" s="4">
        <v>13.773027799999999</v>
      </c>
    </row>
    <row r="286" spans="1:17" x14ac:dyDescent="0.4">
      <c r="A286">
        <v>20210826</v>
      </c>
      <c r="B286" s="1">
        <v>4.1666666666666664E-2</v>
      </c>
      <c r="C286">
        <v>27616</v>
      </c>
      <c r="D286">
        <v>205593</v>
      </c>
      <c r="E286">
        <v>-348453</v>
      </c>
      <c r="F286">
        <v>-93654</v>
      </c>
      <c r="G286">
        <v>67370</v>
      </c>
      <c r="H286">
        <v>-114897</v>
      </c>
      <c r="I286">
        <v>-30954</v>
      </c>
      <c r="J286">
        <v>-119</v>
      </c>
      <c r="K286">
        <v>-90459</v>
      </c>
      <c r="L286">
        <v>-21495</v>
      </c>
      <c r="M286">
        <v>6.73</v>
      </c>
      <c r="N286">
        <v>-399452</v>
      </c>
      <c r="O286">
        <v>20265400</v>
      </c>
      <c r="P286" s="2">
        <v>-1.971103457123965</v>
      </c>
      <c r="Q286" s="4">
        <v>13.638614199999999</v>
      </c>
    </row>
    <row r="287" spans="1:17" x14ac:dyDescent="0.4">
      <c r="A287">
        <v>20210826</v>
      </c>
      <c r="B287" s="1">
        <v>6.25E-2</v>
      </c>
      <c r="C287">
        <v>27514</v>
      </c>
      <c r="D287">
        <v>244308</v>
      </c>
      <c r="E287">
        <v>-364675</v>
      </c>
      <c r="F287">
        <v>-80868</v>
      </c>
      <c r="G287">
        <v>49892</v>
      </c>
      <c r="H287">
        <v>-138523</v>
      </c>
      <c r="I287">
        <v>-15158</v>
      </c>
      <c r="J287">
        <v>-3200</v>
      </c>
      <c r="K287">
        <v>-67577</v>
      </c>
      <c r="L287">
        <v>-16174</v>
      </c>
      <c r="M287">
        <v>6.73</v>
      </c>
      <c r="N287">
        <v>-364461</v>
      </c>
      <c r="O287">
        <v>20412550</v>
      </c>
      <c r="P287" s="2">
        <v>-1.7854751121246488</v>
      </c>
      <c r="Q287" s="4">
        <v>13.73764615</v>
      </c>
    </row>
    <row r="288" spans="1:17" x14ac:dyDescent="0.4">
      <c r="A288">
        <v>20210826</v>
      </c>
      <c r="B288" s="1">
        <v>8.3333333333333329E-2</v>
      </c>
      <c r="C288">
        <v>45934</v>
      </c>
      <c r="D288">
        <v>305145</v>
      </c>
      <c r="E288">
        <v>-306104</v>
      </c>
      <c r="F288">
        <v>-3887</v>
      </c>
      <c r="G288">
        <v>50261</v>
      </c>
      <c r="H288">
        <v>-96389</v>
      </c>
      <c r="I288">
        <v>-35716</v>
      </c>
      <c r="J288">
        <v>5866</v>
      </c>
      <c r="K288">
        <v>1333</v>
      </c>
      <c r="L288">
        <v>-10890</v>
      </c>
      <c r="M288">
        <v>6.78</v>
      </c>
      <c r="N288">
        <v>-44447</v>
      </c>
      <c r="O288">
        <v>20526850</v>
      </c>
      <c r="P288" s="2">
        <v>-0.21653103130777493</v>
      </c>
      <c r="Q288" s="4">
        <v>13.9172043</v>
      </c>
    </row>
    <row r="289" spans="1:17" x14ac:dyDescent="0.4">
      <c r="A289">
        <v>20210826</v>
      </c>
      <c r="B289" s="1">
        <v>0.10416666666666667</v>
      </c>
      <c r="C289">
        <v>28763</v>
      </c>
      <c r="D289">
        <v>307963</v>
      </c>
      <c r="E289">
        <v>-373688</v>
      </c>
      <c r="F289">
        <v>17200</v>
      </c>
      <c r="G289">
        <v>36906</v>
      </c>
      <c r="H289">
        <v>-82910</v>
      </c>
      <c r="I289">
        <v>-14062</v>
      </c>
      <c r="J289">
        <v>-1582</v>
      </c>
      <c r="K289">
        <v>-125965</v>
      </c>
      <c r="L289">
        <v>-16065</v>
      </c>
      <c r="M289">
        <v>6.78</v>
      </c>
      <c r="N289">
        <v>-223440</v>
      </c>
      <c r="O289">
        <v>20909000</v>
      </c>
      <c r="P289" s="2">
        <v>-1.0686307331771008</v>
      </c>
      <c r="Q289" s="4">
        <v>14.176302</v>
      </c>
    </row>
    <row r="290" spans="1:17" x14ac:dyDescent="0.4">
      <c r="A290">
        <v>20210826</v>
      </c>
      <c r="B290" s="1">
        <v>0.125</v>
      </c>
      <c r="C290">
        <v>17562</v>
      </c>
      <c r="D290">
        <v>250929</v>
      </c>
      <c r="E290">
        <v>-273270</v>
      </c>
      <c r="F290">
        <v>40745</v>
      </c>
      <c r="G290">
        <v>60768</v>
      </c>
      <c r="H290">
        <v>-104406</v>
      </c>
      <c r="I290">
        <v>-13702</v>
      </c>
      <c r="J290">
        <v>9774</v>
      </c>
      <c r="K290">
        <v>-38273</v>
      </c>
      <c r="L290">
        <v>-12071</v>
      </c>
      <c r="M290">
        <v>6.85</v>
      </c>
      <c r="N290">
        <v>-61944</v>
      </c>
      <c r="O290">
        <v>21384300</v>
      </c>
      <c r="P290" s="2">
        <v>-0.28967045916864242</v>
      </c>
      <c r="Q290" s="4">
        <v>14.6482455</v>
      </c>
    </row>
    <row r="291" spans="1:17" x14ac:dyDescent="0.4">
      <c r="A291">
        <v>20210826</v>
      </c>
      <c r="B291" s="1">
        <v>0.20833333333333334</v>
      </c>
      <c r="C291">
        <v>-27381</v>
      </c>
      <c r="D291">
        <v>297226</v>
      </c>
      <c r="E291">
        <v>-362246</v>
      </c>
      <c r="F291">
        <v>19464</v>
      </c>
      <c r="G291">
        <v>55921</v>
      </c>
      <c r="H291">
        <v>-77960</v>
      </c>
      <c r="I291">
        <v>23286</v>
      </c>
      <c r="J291">
        <v>11005</v>
      </c>
      <c r="K291">
        <v>22098</v>
      </c>
      <c r="L291">
        <v>-15446</v>
      </c>
      <c r="M291">
        <v>6.85</v>
      </c>
      <c r="N291">
        <v>-54033</v>
      </c>
      <c r="O291">
        <v>21252950</v>
      </c>
      <c r="P291" s="2">
        <v>-0.25423764700900348</v>
      </c>
      <c r="Q291" s="4">
        <v>14.55827075</v>
      </c>
    </row>
    <row r="292" spans="1:17" x14ac:dyDescent="0.4">
      <c r="A292">
        <v>20210826</v>
      </c>
      <c r="B292" s="1">
        <v>0.25</v>
      </c>
      <c r="C292">
        <v>-38743</v>
      </c>
      <c r="D292">
        <v>285140</v>
      </c>
      <c r="E292">
        <v>-358932</v>
      </c>
      <c r="F292">
        <v>-48023</v>
      </c>
      <c r="G292">
        <v>30093</v>
      </c>
      <c r="H292">
        <v>-85953</v>
      </c>
      <c r="I292">
        <v>-83331</v>
      </c>
      <c r="J292">
        <v>35522</v>
      </c>
      <c r="K292">
        <v>64845</v>
      </c>
      <c r="L292">
        <v>-7201</v>
      </c>
      <c r="M292">
        <v>6.85</v>
      </c>
      <c r="N292">
        <v>-206583</v>
      </c>
      <c r="O292">
        <v>21673100</v>
      </c>
      <c r="P292" s="2">
        <v>-0.95317697975831794</v>
      </c>
      <c r="Q292" s="4">
        <v>14.846073499999999</v>
      </c>
    </row>
    <row r="293" spans="1:17" x14ac:dyDescent="0.4">
      <c r="A293">
        <v>20210826</v>
      </c>
      <c r="B293" s="1">
        <v>0.27083333333333331</v>
      </c>
      <c r="C293">
        <v>9503</v>
      </c>
      <c r="D293">
        <v>385210</v>
      </c>
      <c r="E293">
        <v>-545331</v>
      </c>
      <c r="F293">
        <v>2948</v>
      </c>
      <c r="G293">
        <v>44386</v>
      </c>
      <c r="H293">
        <v>-76687</v>
      </c>
      <c r="I293">
        <v>-154542</v>
      </c>
      <c r="J293">
        <v>15326</v>
      </c>
      <c r="K293">
        <v>-78840</v>
      </c>
      <c r="L293">
        <v>-15102</v>
      </c>
      <c r="M293">
        <v>6.85</v>
      </c>
      <c r="N293">
        <v>-413129</v>
      </c>
      <c r="O293">
        <v>22125500</v>
      </c>
      <c r="P293" s="2">
        <v>-1.8672075207339947</v>
      </c>
      <c r="Q293" s="4">
        <v>15.155967499999999</v>
      </c>
    </row>
    <row r="294" spans="1:17" x14ac:dyDescent="0.4">
      <c r="A294">
        <v>20210826</v>
      </c>
      <c r="B294" s="1">
        <v>0.29166666666666669</v>
      </c>
      <c r="C294">
        <v>28859</v>
      </c>
      <c r="D294">
        <v>480746</v>
      </c>
      <c r="E294">
        <v>-791945</v>
      </c>
      <c r="F294">
        <v>-7165</v>
      </c>
      <c r="G294">
        <v>46864</v>
      </c>
      <c r="H294">
        <v>-185121</v>
      </c>
      <c r="I294">
        <v>-184764</v>
      </c>
      <c r="J294">
        <v>14890</v>
      </c>
      <c r="K294">
        <v>-167916</v>
      </c>
      <c r="L294">
        <v>-7002</v>
      </c>
      <c r="M294">
        <v>6.91</v>
      </c>
      <c r="N294">
        <v>-772554</v>
      </c>
      <c r="O294">
        <v>22825700</v>
      </c>
      <c r="P294" s="2">
        <v>-3.3845796623980862</v>
      </c>
      <c r="Q294" s="4">
        <v>15.772558699999999</v>
      </c>
    </row>
    <row r="295" spans="1:17" x14ac:dyDescent="0.4">
      <c r="A295">
        <v>20210826</v>
      </c>
      <c r="B295" s="1">
        <v>0.3125</v>
      </c>
      <c r="C295">
        <v>-9191</v>
      </c>
      <c r="D295">
        <v>548993</v>
      </c>
      <c r="E295">
        <v>-744732</v>
      </c>
      <c r="F295">
        <v>17488</v>
      </c>
      <c r="G295">
        <v>30191</v>
      </c>
      <c r="H295">
        <v>-261447</v>
      </c>
      <c r="I295">
        <v>-197532</v>
      </c>
      <c r="J295">
        <v>26587</v>
      </c>
      <c r="K295">
        <v>-277608</v>
      </c>
      <c r="L295">
        <v>-18765</v>
      </c>
      <c r="M295">
        <v>6.92</v>
      </c>
      <c r="N295">
        <v>-886016</v>
      </c>
      <c r="O295">
        <v>23326400</v>
      </c>
      <c r="P295" s="2">
        <v>-3.7983400781946637</v>
      </c>
      <c r="Q295" s="4">
        <v>16.141868800000001</v>
      </c>
    </row>
    <row r="296" spans="1:17" x14ac:dyDescent="0.4">
      <c r="A296">
        <v>20210826</v>
      </c>
      <c r="B296" s="1">
        <v>0.33333333333333331</v>
      </c>
      <c r="C296">
        <v>-34324</v>
      </c>
      <c r="D296">
        <v>832074</v>
      </c>
      <c r="E296">
        <v>-873800</v>
      </c>
      <c r="F296">
        <v>-304345</v>
      </c>
      <c r="G296">
        <v>-44803</v>
      </c>
      <c r="H296">
        <v>-288998</v>
      </c>
      <c r="I296">
        <v>-315885</v>
      </c>
      <c r="J296">
        <v>45811</v>
      </c>
      <c r="K296">
        <v>-381900</v>
      </c>
      <c r="L296">
        <v>-7077</v>
      </c>
      <c r="M296">
        <v>7.1</v>
      </c>
      <c r="N296">
        <v>-1373247</v>
      </c>
      <c r="O296">
        <v>24381750</v>
      </c>
      <c r="P296" s="2">
        <v>-5.6322741394690699</v>
      </c>
      <c r="Q296" s="4">
        <v>17.311042499999999</v>
      </c>
    </row>
    <row r="297" spans="1:17" x14ac:dyDescent="0.4">
      <c r="A297">
        <v>20210826</v>
      </c>
      <c r="B297" s="1">
        <v>0.35416666666666669</v>
      </c>
      <c r="C297">
        <v>64446</v>
      </c>
      <c r="D297">
        <v>741547</v>
      </c>
      <c r="E297">
        <v>-976313</v>
      </c>
      <c r="F297">
        <v>-249263</v>
      </c>
      <c r="G297">
        <v>-84638</v>
      </c>
      <c r="H297">
        <v>-360294</v>
      </c>
      <c r="I297">
        <v>-458873</v>
      </c>
      <c r="J297">
        <v>10390</v>
      </c>
      <c r="K297">
        <v>-397314</v>
      </c>
      <c r="L297">
        <v>-16932</v>
      </c>
      <c r="M297">
        <v>7.1</v>
      </c>
      <c r="N297">
        <v>-1727244</v>
      </c>
      <c r="O297">
        <v>25120700</v>
      </c>
      <c r="P297" s="2">
        <v>-6.8757797354373089</v>
      </c>
      <c r="Q297" s="4">
        <v>17.835697</v>
      </c>
    </row>
    <row r="298" spans="1:17" x14ac:dyDescent="0.4">
      <c r="A298">
        <v>20210826</v>
      </c>
      <c r="B298" s="1">
        <v>0.375</v>
      </c>
      <c r="C298">
        <v>64334</v>
      </c>
      <c r="D298">
        <v>647341</v>
      </c>
      <c r="E298">
        <v>-1115550</v>
      </c>
      <c r="F298">
        <v>-220871</v>
      </c>
      <c r="G298">
        <v>-3160</v>
      </c>
      <c r="H298">
        <v>-444060</v>
      </c>
      <c r="I298">
        <v>-492130</v>
      </c>
      <c r="J298">
        <v>-39175</v>
      </c>
      <c r="K298">
        <v>-456792</v>
      </c>
      <c r="L298">
        <v>-9785</v>
      </c>
      <c r="M298">
        <v>8.0399999999999991</v>
      </c>
      <c r="N298">
        <v>-2069848</v>
      </c>
      <c r="O298">
        <v>25771050</v>
      </c>
      <c r="P298" s="2">
        <v>-8.0316789575900085</v>
      </c>
      <c r="Q298" s="4">
        <v>20.719924199999998</v>
      </c>
    </row>
    <row r="299" spans="1:17" x14ac:dyDescent="0.4">
      <c r="A299">
        <v>20210826</v>
      </c>
      <c r="B299" s="1">
        <v>0.39583333333333331</v>
      </c>
      <c r="C299">
        <v>97813</v>
      </c>
      <c r="D299">
        <v>512225</v>
      </c>
      <c r="E299">
        <v>-1026380</v>
      </c>
      <c r="F299">
        <v>-258241</v>
      </c>
      <c r="G299">
        <v>-3779</v>
      </c>
      <c r="H299">
        <v>-540349</v>
      </c>
      <c r="I299">
        <v>-381239</v>
      </c>
      <c r="J299">
        <v>-97991</v>
      </c>
      <c r="K299">
        <v>-442679</v>
      </c>
      <c r="L299">
        <v>-8814</v>
      </c>
      <c r="M299">
        <v>8.39</v>
      </c>
      <c r="N299">
        <v>-2149434</v>
      </c>
      <c r="O299">
        <v>26033500</v>
      </c>
      <c r="P299" s="2">
        <v>-8.2564157719860951</v>
      </c>
      <c r="Q299" s="4">
        <v>21.8421065</v>
      </c>
    </row>
    <row r="300" spans="1:17" x14ac:dyDescent="0.4">
      <c r="A300">
        <v>20210826</v>
      </c>
      <c r="B300" s="1">
        <v>0.41666666666666669</v>
      </c>
      <c r="C300">
        <v>144255</v>
      </c>
      <c r="D300">
        <v>304646</v>
      </c>
      <c r="E300">
        <v>-1115111</v>
      </c>
      <c r="F300">
        <v>-439577</v>
      </c>
      <c r="G300">
        <v>-12506</v>
      </c>
      <c r="H300">
        <v>-514385</v>
      </c>
      <c r="I300">
        <v>-351442</v>
      </c>
      <c r="J300">
        <v>-125270</v>
      </c>
      <c r="K300">
        <v>-345563</v>
      </c>
      <c r="L300">
        <v>-7268</v>
      </c>
      <c r="M300">
        <v>8.39</v>
      </c>
      <c r="N300">
        <v>-2462221</v>
      </c>
      <c r="O300">
        <v>26270750</v>
      </c>
      <c r="P300" s="2">
        <v>-9.3724808008907239</v>
      </c>
      <c r="Q300" s="4">
        <v>22.041159250000003</v>
      </c>
    </row>
    <row r="301" spans="1:17" x14ac:dyDescent="0.4">
      <c r="A301">
        <v>20210826</v>
      </c>
      <c r="B301" s="1">
        <v>0.4375</v>
      </c>
      <c r="C301">
        <v>179831</v>
      </c>
      <c r="D301">
        <v>117544</v>
      </c>
      <c r="E301">
        <v>-1191752</v>
      </c>
      <c r="F301">
        <v>-550911</v>
      </c>
      <c r="G301">
        <v>-4432</v>
      </c>
      <c r="H301">
        <v>-511012</v>
      </c>
      <c r="I301">
        <v>-189197</v>
      </c>
      <c r="J301">
        <v>-150198</v>
      </c>
      <c r="K301">
        <v>-306834</v>
      </c>
      <c r="L301">
        <v>-9430</v>
      </c>
      <c r="M301">
        <v>8.39</v>
      </c>
      <c r="N301">
        <v>-2616391</v>
      </c>
      <c r="O301">
        <v>26421450</v>
      </c>
      <c r="P301" s="2">
        <v>-9.9025261671861315</v>
      </c>
      <c r="Q301" s="4">
        <v>22.167596550000003</v>
      </c>
    </row>
    <row r="302" spans="1:17" x14ac:dyDescent="0.4">
      <c r="A302">
        <v>20210826</v>
      </c>
      <c r="B302" s="1">
        <v>0.45833333333333331</v>
      </c>
      <c r="C302">
        <v>115406</v>
      </c>
      <c r="D302">
        <v>-152832</v>
      </c>
      <c r="E302">
        <v>-1141944</v>
      </c>
      <c r="F302">
        <v>-509394</v>
      </c>
      <c r="G302">
        <v>20449</v>
      </c>
      <c r="H302">
        <v>-500715</v>
      </c>
      <c r="I302">
        <v>-219684</v>
      </c>
      <c r="J302">
        <v>-123426</v>
      </c>
      <c r="K302">
        <v>-190605</v>
      </c>
      <c r="L302">
        <v>7384</v>
      </c>
      <c r="M302">
        <v>8.86</v>
      </c>
      <c r="N302">
        <v>-2695361</v>
      </c>
      <c r="O302">
        <v>26787300</v>
      </c>
      <c r="P302" s="2">
        <v>-10.062085391211507</v>
      </c>
      <c r="Q302" s="4">
        <v>23.733547799999997</v>
      </c>
    </row>
    <row r="303" spans="1:17" x14ac:dyDescent="0.4">
      <c r="A303">
        <v>20210826</v>
      </c>
      <c r="B303" s="1">
        <v>0.47916666666666669</v>
      </c>
      <c r="C303">
        <v>86544</v>
      </c>
      <c r="D303">
        <v>-269735</v>
      </c>
      <c r="E303">
        <v>-1159450</v>
      </c>
      <c r="F303">
        <v>-440477</v>
      </c>
      <c r="G303">
        <v>2262</v>
      </c>
      <c r="H303">
        <v>-536558</v>
      </c>
      <c r="I303">
        <v>-230275</v>
      </c>
      <c r="J303">
        <v>-167008</v>
      </c>
      <c r="K303">
        <v>-276295</v>
      </c>
      <c r="L303">
        <v>2989</v>
      </c>
      <c r="M303">
        <v>8.86</v>
      </c>
      <c r="N303">
        <v>-2988003</v>
      </c>
      <c r="O303">
        <v>26837550</v>
      </c>
      <c r="P303" s="2">
        <v>-11.133665330851736</v>
      </c>
      <c r="Q303" s="4">
        <v>23.778069299999999</v>
      </c>
    </row>
    <row r="304" spans="1:17" x14ac:dyDescent="0.4">
      <c r="A304">
        <v>20210826</v>
      </c>
      <c r="B304" s="1">
        <v>0.5</v>
      </c>
      <c r="C304">
        <v>136327</v>
      </c>
      <c r="D304">
        <v>-378664</v>
      </c>
      <c r="E304">
        <v>-1282049</v>
      </c>
      <c r="F304">
        <v>-385291</v>
      </c>
      <c r="G304">
        <v>-100990</v>
      </c>
      <c r="H304">
        <v>-442597</v>
      </c>
      <c r="I304">
        <v>-306469</v>
      </c>
      <c r="J304">
        <v>-200856</v>
      </c>
      <c r="K304">
        <v>-232312</v>
      </c>
      <c r="L304">
        <v>-3966</v>
      </c>
      <c r="M304">
        <v>8.39</v>
      </c>
      <c r="N304">
        <v>-3196867</v>
      </c>
      <c r="O304">
        <v>26859700</v>
      </c>
      <c r="P304" s="2">
        <v>-11.902094960107522</v>
      </c>
      <c r="Q304" s="4">
        <v>22.535288300000001</v>
      </c>
    </row>
    <row r="305" spans="1:17" x14ac:dyDescent="0.4">
      <c r="A305">
        <v>20210826</v>
      </c>
      <c r="B305" s="1">
        <v>0.52083333333333337</v>
      </c>
      <c r="C305">
        <v>96973</v>
      </c>
      <c r="D305">
        <v>-316801</v>
      </c>
      <c r="E305">
        <v>-1102727</v>
      </c>
      <c r="F305">
        <v>-362066</v>
      </c>
      <c r="G305">
        <v>-116097</v>
      </c>
      <c r="H305">
        <v>-579828</v>
      </c>
      <c r="I305">
        <v>-164747</v>
      </c>
      <c r="J305">
        <v>-190481</v>
      </c>
      <c r="K305">
        <v>-425963</v>
      </c>
      <c r="L305">
        <v>-5482</v>
      </c>
      <c r="M305">
        <v>8.6300000000000008</v>
      </c>
      <c r="N305">
        <v>-3167219</v>
      </c>
      <c r="O305">
        <v>26651700</v>
      </c>
      <c r="P305" s="2">
        <v>-11.883740999636046</v>
      </c>
      <c r="Q305" s="4">
        <v>23.000417100000004</v>
      </c>
    </row>
    <row r="306" spans="1:17" x14ac:dyDescent="0.4">
      <c r="A306">
        <v>20210826</v>
      </c>
      <c r="B306" s="1">
        <v>0.54166666666666663</v>
      </c>
      <c r="C306">
        <v>28780</v>
      </c>
      <c r="D306">
        <v>-316543</v>
      </c>
      <c r="E306">
        <v>-1250676</v>
      </c>
      <c r="F306">
        <v>-474950</v>
      </c>
      <c r="G306">
        <v>-61400</v>
      </c>
      <c r="H306">
        <v>-500599</v>
      </c>
      <c r="I306">
        <v>132580</v>
      </c>
      <c r="J306">
        <v>-169613</v>
      </c>
      <c r="K306">
        <v>-370236</v>
      </c>
      <c r="L306">
        <v>-20366</v>
      </c>
      <c r="M306">
        <v>9.68</v>
      </c>
      <c r="N306">
        <v>-3003023</v>
      </c>
      <c r="O306">
        <v>25644600</v>
      </c>
      <c r="P306" s="2">
        <v>-11.710157304071812</v>
      </c>
      <c r="Q306" s="4">
        <v>24.8239728</v>
      </c>
    </row>
    <row r="307" spans="1:17" x14ac:dyDescent="0.4">
      <c r="A307">
        <v>20210826</v>
      </c>
      <c r="B307" s="1">
        <v>0.5625</v>
      </c>
      <c r="C307">
        <v>69808</v>
      </c>
      <c r="D307">
        <v>-198897</v>
      </c>
      <c r="E307">
        <v>-978430</v>
      </c>
      <c r="F307">
        <v>-586831</v>
      </c>
      <c r="G307">
        <v>37432</v>
      </c>
      <c r="H307">
        <v>-327589</v>
      </c>
      <c r="I307">
        <v>153453</v>
      </c>
      <c r="J307">
        <v>-164397</v>
      </c>
      <c r="K307">
        <v>-426840</v>
      </c>
      <c r="L307">
        <v>-22354</v>
      </c>
      <c r="M307">
        <v>9.9</v>
      </c>
      <c r="N307">
        <v>-2444645</v>
      </c>
      <c r="O307">
        <v>25339950</v>
      </c>
      <c r="P307" s="2">
        <v>-9.6473947265089315</v>
      </c>
      <c r="Q307" s="4">
        <v>25.086550500000001</v>
      </c>
    </row>
    <row r="308" spans="1:17" x14ac:dyDescent="0.4">
      <c r="A308">
        <v>20210826</v>
      </c>
      <c r="B308" s="1">
        <v>0.58333333333333337</v>
      </c>
      <c r="C308">
        <v>73523</v>
      </c>
      <c r="D308">
        <v>22129</v>
      </c>
      <c r="E308">
        <v>-883708</v>
      </c>
      <c r="F308">
        <v>-625656</v>
      </c>
      <c r="G308">
        <v>-56555</v>
      </c>
      <c r="H308">
        <v>-196898</v>
      </c>
      <c r="I308">
        <v>-15388</v>
      </c>
      <c r="J308">
        <v>-177482</v>
      </c>
      <c r="K308">
        <v>-421336</v>
      </c>
      <c r="L308">
        <v>-16142</v>
      </c>
      <c r="M308">
        <v>10.32</v>
      </c>
      <c r="N308">
        <v>-2297513</v>
      </c>
      <c r="O308">
        <v>25018150</v>
      </c>
      <c r="P308" s="2">
        <v>-9.1833848625897598</v>
      </c>
      <c r="Q308" s="4">
        <v>25.818730800000001</v>
      </c>
    </row>
    <row r="309" spans="1:17" x14ac:dyDescent="0.4">
      <c r="A309">
        <v>20210826</v>
      </c>
      <c r="B309" s="1">
        <v>0.60416666666666663</v>
      </c>
      <c r="C309">
        <v>46109</v>
      </c>
      <c r="D309">
        <v>48555</v>
      </c>
      <c r="E309">
        <v>-743579</v>
      </c>
      <c r="F309">
        <v>-570596</v>
      </c>
      <c r="G309">
        <v>-45906</v>
      </c>
      <c r="H309">
        <v>9776</v>
      </c>
      <c r="I309">
        <v>-21958</v>
      </c>
      <c r="J309">
        <v>-173057</v>
      </c>
      <c r="K309">
        <v>-507542</v>
      </c>
      <c r="L309">
        <v>-18474</v>
      </c>
      <c r="M309">
        <v>10.32</v>
      </c>
      <c r="N309">
        <v>-1976672</v>
      </c>
      <c r="O309">
        <v>24725550</v>
      </c>
      <c r="P309" s="2">
        <v>-7.9944510840001533</v>
      </c>
      <c r="Q309" s="4">
        <v>25.516767600000001</v>
      </c>
    </row>
    <row r="310" spans="1:17" x14ac:dyDescent="0.4">
      <c r="A310">
        <v>20210826</v>
      </c>
      <c r="B310" s="1">
        <v>0.625</v>
      </c>
      <c r="C310">
        <v>62152</v>
      </c>
      <c r="D310">
        <v>-31991</v>
      </c>
      <c r="E310">
        <v>-730290</v>
      </c>
      <c r="F310">
        <v>-609869</v>
      </c>
      <c r="G310">
        <v>-34956</v>
      </c>
      <c r="H310">
        <v>235913</v>
      </c>
      <c r="I310">
        <v>135624</v>
      </c>
      <c r="J310">
        <v>-195343</v>
      </c>
      <c r="K310">
        <v>-347826</v>
      </c>
      <c r="L310">
        <v>-13568</v>
      </c>
      <c r="M310">
        <v>10.74</v>
      </c>
      <c r="N310">
        <v>-1530154</v>
      </c>
      <c r="O310">
        <v>24465950</v>
      </c>
      <c r="P310" s="2">
        <v>-6.2542186181202855</v>
      </c>
      <c r="Q310" s="4">
        <v>26.276430300000001</v>
      </c>
    </row>
    <row r="311" spans="1:17" x14ac:dyDescent="0.4">
      <c r="A311">
        <v>20210826</v>
      </c>
      <c r="B311" s="1">
        <v>0.64583333333333337</v>
      </c>
      <c r="C311">
        <v>49164</v>
      </c>
      <c r="D311">
        <v>-105811</v>
      </c>
      <c r="E311">
        <v>-776501</v>
      </c>
      <c r="F311">
        <v>-544482</v>
      </c>
      <c r="G311">
        <v>-8805</v>
      </c>
      <c r="H311">
        <v>224979</v>
      </c>
      <c r="I311">
        <v>177861</v>
      </c>
      <c r="J311">
        <v>-149560</v>
      </c>
      <c r="K311">
        <v>-266878</v>
      </c>
      <c r="L311">
        <v>-25919</v>
      </c>
      <c r="M311">
        <v>12.19</v>
      </c>
      <c r="N311">
        <v>-1425952</v>
      </c>
      <c r="O311">
        <v>23990350</v>
      </c>
      <c r="P311" s="2">
        <v>-5.943856592338169</v>
      </c>
      <c r="Q311" s="4">
        <v>29.244236650000001</v>
      </c>
    </row>
    <row r="312" spans="1:17" x14ac:dyDescent="0.4">
      <c r="A312">
        <v>20210826</v>
      </c>
      <c r="B312" s="1">
        <v>0.66666666666666663</v>
      </c>
      <c r="C312">
        <v>-22024</v>
      </c>
      <c r="D312">
        <v>-84049</v>
      </c>
      <c r="E312">
        <v>-1291433</v>
      </c>
      <c r="F312">
        <v>-520559</v>
      </c>
      <c r="G312">
        <v>-6154</v>
      </c>
      <c r="H312">
        <v>229398</v>
      </c>
      <c r="I312">
        <v>294204</v>
      </c>
      <c r="J312">
        <v>-120565</v>
      </c>
      <c r="K312">
        <v>-304618</v>
      </c>
      <c r="L312">
        <v>-46461</v>
      </c>
      <c r="M312">
        <v>15.86</v>
      </c>
      <c r="N312">
        <v>-1872261</v>
      </c>
      <c r="O312">
        <v>24365950</v>
      </c>
      <c r="P312" s="2">
        <v>-7.6839236721736688</v>
      </c>
      <c r="Q312" s="4">
        <v>38.644396700000001</v>
      </c>
    </row>
    <row r="313" spans="1:17" x14ac:dyDescent="0.4">
      <c r="A313">
        <v>20210826</v>
      </c>
      <c r="B313" s="1">
        <v>0.6875</v>
      </c>
      <c r="C313">
        <v>-13462</v>
      </c>
      <c r="D313">
        <v>-120114</v>
      </c>
      <c r="E313">
        <v>-1439669</v>
      </c>
      <c r="F313">
        <v>-390224</v>
      </c>
      <c r="G313">
        <v>7379</v>
      </c>
      <c r="H313">
        <v>197380</v>
      </c>
      <c r="I313">
        <v>254892</v>
      </c>
      <c r="J313">
        <v>-94522</v>
      </c>
      <c r="K313">
        <v>-188106</v>
      </c>
      <c r="L313">
        <v>-53645</v>
      </c>
      <c r="M313">
        <v>18</v>
      </c>
      <c r="N313">
        <v>-1840091</v>
      </c>
      <c r="O313">
        <v>23669200</v>
      </c>
      <c r="P313" s="2">
        <v>-7.7742002264546333</v>
      </c>
      <c r="Q313" s="4">
        <v>42.604559999999999</v>
      </c>
    </row>
    <row r="314" spans="1:17" x14ac:dyDescent="0.4">
      <c r="A314">
        <v>20210826</v>
      </c>
      <c r="B314" s="1">
        <v>0.70833333333333337</v>
      </c>
      <c r="C314">
        <v>13006</v>
      </c>
      <c r="D314">
        <v>-122765</v>
      </c>
      <c r="E314">
        <v>-1157102</v>
      </c>
      <c r="F314">
        <v>-129816</v>
      </c>
      <c r="G314">
        <v>45858</v>
      </c>
      <c r="H314">
        <v>161214</v>
      </c>
      <c r="I314">
        <v>145363</v>
      </c>
      <c r="J314">
        <v>-35153</v>
      </c>
      <c r="K314">
        <v>-117391</v>
      </c>
      <c r="L314">
        <v>-37123</v>
      </c>
      <c r="M314">
        <v>15.86</v>
      </c>
      <c r="N314">
        <v>-1233909</v>
      </c>
      <c r="O314">
        <v>23204850</v>
      </c>
      <c r="P314" s="2">
        <v>-5.3174616513358197</v>
      </c>
      <c r="Q314" s="4">
        <v>36.802892100000001</v>
      </c>
    </row>
    <row r="315" spans="1:17" x14ac:dyDescent="0.4">
      <c r="A315">
        <v>20210826</v>
      </c>
      <c r="B315" s="1">
        <v>0.72916666666666663</v>
      </c>
      <c r="C315">
        <v>16909</v>
      </c>
      <c r="D315">
        <v>-133868</v>
      </c>
      <c r="E315">
        <v>-1221157</v>
      </c>
      <c r="F315">
        <v>35171</v>
      </c>
      <c r="G315">
        <v>40572</v>
      </c>
      <c r="H315">
        <v>-122969</v>
      </c>
      <c r="I315">
        <v>62922</v>
      </c>
      <c r="J315">
        <v>-18936</v>
      </c>
      <c r="K315">
        <v>-57532</v>
      </c>
      <c r="L315">
        <v>-39353</v>
      </c>
      <c r="M315">
        <v>17.23</v>
      </c>
      <c r="N315">
        <v>-1438241</v>
      </c>
      <c r="O315">
        <v>22804600</v>
      </c>
      <c r="P315" s="2">
        <v>-6.3068021364110747</v>
      </c>
      <c r="Q315" s="4">
        <v>39.2923258</v>
      </c>
    </row>
    <row r="316" spans="1:17" x14ac:dyDescent="0.4">
      <c r="A316">
        <v>20210826</v>
      </c>
      <c r="B316" s="1">
        <v>0.75</v>
      </c>
      <c r="C316">
        <v>24725</v>
      </c>
      <c r="D316">
        <v>18474</v>
      </c>
      <c r="E316">
        <v>-995441</v>
      </c>
      <c r="F316">
        <v>85255</v>
      </c>
      <c r="G316">
        <v>68998</v>
      </c>
      <c r="H316">
        <v>272587</v>
      </c>
      <c r="I316">
        <v>113076</v>
      </c>
      <c r="J316">
        <v>10413</v>
      </c>
      <c r="K316">
        <v>7599</v>
      </c>
      <c r="L316">
        <v>-39352</v>
      </c>
      <c r="M316">
        <v>18</v>
      </c>
      <c r="N316">
        <v>-433666</v>
      </c>
      <c r="O316">
        <v>21995500</v>
      </c>
      <c r="P316" s="2">
        <v>-1.9716123752585757</v>
      </c>
      <c r="Q316" s="4">
        <v>39.591900000000003</v>
      </c>
    </row>
    <row r="317" spans="1:17" x14ac:dyDescent="0.4">
      <c r="A317">
        <v>20210826</v>
      </c>
      <c r="B317" s="1">
        <v>0.77083333333333337</v>
      </c>
      <c r="C317">
        <v>-64552</v>
      </c>
      <c r="D317">
        <v>-2422</v>
      </c>
      <c r="E317">
        <v>-873991</v>
      </c>
      <c r="F317">
        <v>32241</v>
      </c>
      <c r="G317">
        <v>39864</v>
      </c>
      <c r="H317">
        <v>68390</v>
      </c>
      <c r="I317">
        <v>-41540</v>
      </c>
      <c r="J317">
        <v>-739</v>
      </c>
      <c r="K317">
        <v>54538</v>
      </c>
      <c r="L317">
        <v>-37729</v>
      </c>
      <c r="M317">
        <v>17.010000000000002</v>
      </c>
      <c r="N317">
        <v>-825940</v>
      </c>
      <c r="O317">
        <v>22215350</v>
      </c>
      <c r="P317" s="2">
        <v>-3.7178797543140214</v>
      </c>
      <c r="Q317" s="4">
        <v>37.788310350000003</v>
      </c>
    </row>
    <row r="318" spans="1:17" x14ac:dyDescent="0.4">
      <c r="A318">
        <v>20210826</v>
      </c>
      <c r="B318" s="1">
        <v>0.79166666666666663</v>
      </c>
      <c r="C318">
        <v>-5881</v>
      </c>
      <c r="D318">
        <v>39653</v>
      </c>
      <c r="E318">
        <v>-877273</v>
      </c>
      <c r="F318">
        <v>98410</v>
      </c>
      <c r="G318">
        <v>21103</v>
      </c>
      <c r="H318">
        <v>201</v>
      </c>
      <c r="I318">
        <v>-7766</v>
      </c>
      <c r="J318">
        <v>-2572</v>
      </c>
      <c r="K318">
        <v>-14539</v>
      </c>
      <c r="L318">
        <v>-38054</v>
      </c>
      <c r="M318">
        <v>12.36</v>
      </c>
      <c r="N318">
        <v>-786718</v>
      </c>
      <c r="O318">
        <v>22378450</v>
      </c>
      <c r="P318" s="2">
        <v>-3.5155160433363348</v>
      </c>
      <c r="Q318" s="4">
        <v>27.659764200000001</v>
      </c>
    </row>
    <row r="319" spans="1:17" x14ac:dyDescent="0.4">
      <c r="A319">
        <v>20210826</v>
      </c>
      <c r="B319" s="1">
        <v>0.8125</v>
      </c>
      <c r="C319">
        <v>22703</v>
      </c>
      <c r="D319">
        <v>-5025</v>
      </c>
      <c r="E319">
        <v>-857588</v>
      </c>
      <c r="F319">
        <v>131773</v>
      </c>
      <c r="G319">
        <v>17197</v>
      </c>
      <c r="H319">
        <v>57571</v>
      </c>
      <c r="I319">
        <v>-27635</v>
      </c>
      <c r="J319">
        <v>2518</v>
      </c>
      <c r="K319">
        <v>58332</v>
      </c>
      <c r="L319">
        <v>-31739</v>
      </c>
      <c r="M319">
        <v>10.26</v>
      </c>
      <c r="N319">
        <v>-631893</v>
      </c>
      <c r="O319">
        <v>22526850</v>
      </c>
      <c r="P319" s="2">
        <v>-2.8050659546274779</v>
      </c>
      <c r="Q319" s="4">
        <v>23.112548100000001</v>
      </c>
    </row>
    <row r="320" spans="1:17" x14ac:dyDescent="0.4">
      <c r="A320">
        <v>20210826</v>
      </c>
      <c r="B320" s="1">
        <v>0.83333333333333337</v>
      </c>
      <c r="C320">
        <v>56684</v>
      </c>
      <c r="D320">
        <v>39953</v>
      </c>
      <c r="E320">
        <v>-887666</v>
      </c>
      <c r="F320">
        <v>275827</v>
      </c>
      <c r="G320">
        <v>23298</v>
      </c>
      <c r="H320">
        <v>56894</v>
      </c>
      <c r="I320">
        <v>-67956</v>
      </c>
      <c r="J320">
        <v>12870</v>
      </c>
      <c r="K320">
        <v>-14410</v>
      </c>
      <c r="L320">
        <v>-34801</v>
      </c>
      <c r="M320">
        <v>10.17</v>
      </c>
      <c r="N320">
        <v>-539307</v>
      </c>
      <c r="O320">
        <v>21607350</v>
      </c>
      <c r="P320" s="2">
        <v>-2.4959423529493434</v>
      </c>
      <c r="Q320" s="4">
        <v>21.974674950000001</v>
      </c>
    </row>
    <row r="321" spans="1:17" x14ac:dyDescent="0.4">
      <c r="A321">
        <v>20210826</v>
      </c>
      <c r="B321" s="1">
        <v>0.85416666666666663</v>
      </c>
      <c r="C321">
        <v>40042</v>
      </c>
      <c r="D321">
        <v>-37037</v>
      </c>
      <c r="E321">
        <v>-870415</v>
      </c>
      <c r="F321">
        <v>202291</v>
      </c>
      <c r="G321">
        <v>-3363</v>
      </c>
      <c r="H321">
        <v>58268</v>
      </c>
      <c r="I321">
        <v>-59385</v>
      </c>
      <c r="J321">
        <v>7691</v>
      </c>
      <c r="K321">
        <v>-30564</v>
      </c>
      <c r="L321">
        <v>-23894</v>
      </c>
      <c r="M321">
        <v>10.01</v>
      </c>
      <c r="N321">
        <v>-716366</v>
      </c>
      <c r="O321">
        <v>21742650</v>
      </c>
      <c r="P321" s="2">
        <v>-3.2947501799458667</v>
      </c>
      <c r="Q321" s="4">
        <v>21.764392650000001</v>
      </c>
    </row>
    <row r="322" spans="1:17" x14ac:dyDescent="0.4">
      <c r="A322">
        <v>20210826</v>
      </c>
      <c r="B322" s="1">
        <v>0.875</v>
      </c>
      <c r="C322">
        <v>61679</v>
      </c>
      <c r="D322">
        <v>-15088</v>
      </c>
      <c r="E322">
        <v>-732737</v>
      </c>
      <c r="F322">
        <v>154793</v>
      </c>
      <c r="G322">
        <v>-25493</v>
      </c>
      <c r="H322">
        <v>60064</v>
      </c>
      <c r="I322">
        <v>-32974</v>
      </c>
      <c r="J322">
        <v>39142</v>
      </c>
      <c r="K322">
        <v>25369</v>
      </c>
      <c r="L322">
        <v>-30289</v>
      </c>
      <c r="M322">
        <v>9.68</v>
      </c>
      <c r="N322">
        <v>-495534</v>
      </c>
      <c r="O322">
        <v>21706100</v>
      </c>
      <c r="P322" s="2">
        <v>-2.2829250763610229</v>
      </c>
      <c r="Q322" s="4">
        <v>21.011504800000001</v>
      </c>
    </row>
    <row r="323" spans="1:17" x14ac:dyDescent="0.4">
      <c r="A323">
        <v>20210826</v>
      </c>
      <c r="B323" s="1">
        <v>0.89583333333333337</v>
      </c>
      <c r="C323">
        <v>26284</v>
      </c>
      <c r="D323">
        <v>1213</v>
      </c>
      <c r="E323">
        <v>-754222</v>
      </c>
      <c r="F323">
        <v>47031</v>
      </c>
      <c r="G323">
        <v>-6015</v>
      </c>
      <c r="H323">
        <v>52082</v>
      </c>
      <c r="I323">
        <v>-38212</v>
      </c>
      <c r="J323">
        <v>25650</v>
      </c>
      <c r="K323">
        <v>22024</v>
      </c>
      <c r="L323">
        <v>-25184</v>
      </c>
      <c r="M323">
        <v>9.2799999999999994</v>
      </c>
      <c r="N323">
        <v>-649349</v>
      </c>
      <c r="O323">
        <v>21673400</v>
      </c>
      <c r="P323" s="2">
        <v>-2.9960643000175331</v>
      </c>
      <c r="Q323" s="4">
        <v>20.1129152</v>
      </c>
    </row>
    <row r="324" spans="1:17" x14ac:dyDescent="0.4">
      <c r="A324">
        <v>20210826</v>
      </c>
      <c r="B324" s="1">
        <v>0.91666666666666663</v>
      </c>
      <c r="C324">
        <v>16627</v>
      </c>
      <c r="D324">
        <v>43729</v>
      </c>
      <c r="E324">
        <v>-769304</v>
      </c>
      <c r="F324">
        <v>24223</v>
      </c>
      <c r="G324">
        <v>1588</v>
      </c>
      <c r="H324">
        <v>-3955</v>
      </c>
      <c r="I324">
        <v>-52448</v>
      </c>
      <c r="J324">
        <v>33487</v>
      </c>
      <c r="K324">
        <v>-22258</v>
      </c>
      <c r="L324">
        <v>-42823</v>
      </c>
      <c r="M324">
        <v>8.99</v>
      </c>
      <c r="N324">
        <v>-771134</v>
      </c>
      <c r="O324">
        <v>21356350</v>
      </c>
      <c r="P324" s="2">
        <v>-3.6107949157978774</v>
      </c>
      <c r="Q324" s="4">
        <v>19.199358650000001</v>
      </c>
    </row>
    <row r="325" spans="1:17" x14ac:dyDescent="0.4">
      <c r="A325">
        <v>20210826</v>
      </c>
      <c r="B325" s="1">
        <v>0.9375</v>
      </c>
      <c r="C325">
        <v>41854</v>
      </c>
      <c r="D325">
        <v>-13093</v>
      </c>
      <c r="E325">
        <v>-684715</v>
      </c>
      <c r="F325">
        <v>26666</v>
      </c>
      <c r="G325">
        <v>6550</v>
      </c>
      <c r="H325">
        <v>29087</v>
      </c>
      <c r="I325">
        <v>-42637</v>
      </c>
      <c r="J325">
        <v>16667</v>
      </c>
      <c r="K325">
        <v>-48832</v>
      </c>
      <c r="L325">
        <v>-36178</v>
      </c>
      <c r="M325">
        <v>8.39</v>
      </c>
      <c r="N325">
        <v>-704631</v>
      </c>
      <c r="O325">
        <v>21390350</v>
      </c>
      <c r="P325" s="2">
        <v>-3.2941536720998021</v>
      </c>
      <c r="Q325" s="4">
        <v>17.94650365</v>
      </c>
    </row>
    <row r="326" spans="1:17" x14ac:dyDescent="0.4">
      <c r="A326">
        <v>20210826</v>
      </c>
      <c r="B326" s="1">
        <v>0.95833333333333337</v>
      </c>
      <c r="C326">
        <v>35375</v>
      </c>
      <c r="D326">
        <v>52483</v>
      </c>
      <c r="E326">
        <v>-367017</v>
      </c>
      <c r="F326">
        <v>13891</v>
      </c>
      <c r="G326">
        <v>2420</v>
      </c>
      <c r="H326">
        <v>-55403</v>
      </c>
      <c r="I326">
        <v>-16295</v>
      </c>
      <c r="J326">
        <v>30769</v>
      </c>
      <c r="K326">
        <v>-55109</v>
      </c>
      <c r="L326">
        <v>-26287</v>
      </c>
      <c r="M326">
        <v>7.37</v>
      </c>
      <c r="N326">
        <v>-385173</v>
      </c>
      <c r="O326">
        <v>20809900</v>
      </c>
      <c r="P326" s="2">
        <v>-1.850912306161971</v>
      </c>
      <c r="Q326" s="4">
        <v>15.336896299999999</v>
      </c>
    </row>
    <row r="327" spans="1:17" x14ac:dyDescent="0.4">
      <c r="A327">
        <v>20210826</v>
      </c>
      <c r="B327" s="1">
        <v>0.97916666666666663</v>
      </c>
      <c r="C327">
        <v>75455</v>
      </c>
      <c r="D327">
        <v>-17765</v>
      </c>
      <c r="E327">
        <v>-628790</v>
      </c>
      <c r="F327">
        <v>-35735</v>
      </c>
      <c r="G327">
        <v>6662</v>
      </c>
      <c r="H327">
        <v>-65128</v>
      </c>
      <c r="I327">
        <v>-33585</v>
      </c>
      <c r="J327">
        <v>11963</v>
      </c>
      <c r="K327">
        <v>-64605</v>
      </c>
      <c r="L327">
        <v>-19213</v>
      </c>
      <c r="M327">
        <v>7.02</v>
      </c>
      <c r="N327">
        <v>-770741</v>
      </c>
      <c r="O327">
        <v>20047050</v>
      </c>
      <c r="P327" s="2">
        <v>-3.844660436323549</v>
      </c>
      <c r="Q327" s="4">
        <v>14.073029099999999</v>
      </c>
    </row>
    <row r="328" spans="1:17" x14ac:dyDescent="0.4">
      <c r="A328">
        <v>20210827</v>
      </c>
      <c r="B328" s="1">
        <v>0</v>
      </c>
      <c r="C328">
        <v>-17202</v>
      </c>
      <c r="D328">
        <v>-29616</v>
      </c>
      <c r="E328">
        <v>-274318</v>
      </c>
      <c r="F328">
        <v>-49036</v>
      </c>
      <c r="G328">
        <v>5958</v>
      </c>
      <c r="H328">
        <v>51875</v>
      </c>
      <c r="I328">
        <v>23990</v>
      </c>
      <c r="J328">
        <v>-8366</v>
      </c>
      <c r="K328">
        <v>-4104</v>
      </c>
      <c r="L328">
        <v>-29963</v>
      </c>
      <c r="M328">
        <v>7.11</v>
      </c>
      <c r="N328">
        <v>-330782</v>
      </c>
      <c r="O328">
        <v>19356750</v>
      </c>
      <c r="P328" s="2">
        <v>-1.7088715822645848</v>
      </c>
      <c r="Q328" s="4">
        <v>13.762649250000001</v>
      </c>
    </row>
    <row r="329" spans="1:17" x14ac:dyDescent="0.4">
      <c r="A329">
        <v>20210827</v>
      </c>
      <c r="B329" s="1">
        <v>2.0833333333333332E-2</v>
      </c>
      <c r="C329">
        <v>13377</v>
      </c>
      <c r="D329">
        <v>98555</v>
      </c>
      <c r="E329">
        <v>-208941</v>
      </c>
      <c r="F329">
        <v>-52164</v>
      </c>
      <c r="G329">
        <v>21449</v>
      </c>
      <c r="H329">
        <v>-18415</v>
      </c>
      <c r="I329">
        <v>43541</v>
      </c>
      <c r="J329">
        <v>-10859</v>
      </c>
      <c r="K329">
        <v>14518</v>
      </c>
      <c r="L329">
        <v>-24930</v>
      </c>
      <c r="M329">
        <v>7.08</v>
      </c>
      <c r="N329">
        <v>-123869</v>
      </c>
      <c r="O329">
        <v>20597450</v>
      </c>
      <c r="P329" s="2">
        <v>-0.60138026794578936</v>
      </c>
      <c r="Q329" s="4">
        <v>14.582994599999999</v>
      </c>
    </row>
    <row r="330" spans="1:17" x14ac:dyDescent="0.4">
      <c r="A330">
        <v>20210827</v>
      </c>
      <c r="B330" s="1">
        <v>4.1666666666666664E-2</v>
      </c>
      <c r="C330">
        <v>-18558</v>
      </c>
      <c r="D330">
        <v>74156</v>
      </c>
      <c r="E330">
        <v>-330777</v>
      </c>
      <c r="F330">
        <v>-94941</v>
      </c>
      <c r="G330">
        <v>3612</v>
      </c>
      <c r="H330">
        <v>-81255</v>
      </c>
      <c r="I330">
        <v>7184</v>
      </c>
      <c r="J330">
        <v>-7377</v>
      </c>
      <c r="K330">
        <v>13136</v>
      </c>
      <c r="L330">
        <v>-21590</v>
      </c>
      <c r="M330">
        <v>6.98</v>
      </c>
      <c r="N330">
        <v>-456410</v>
      </c>
      <c r="O330">
        <v>20792100</v>
      </c>
      <c r="P330" s="2">
        <v>-2.1951125667921949</v>
      </c>
      <c r="Q330" s="4">
        <v>14.512885799999999</v>
      </c>
    </row>
    <row r="331" spans="1:17" x14ac:dyDescent="0.4">
      <c r="A331">
        <v>20210827</v>
      </c>
      <c r="B331" s="1">
        <v>6.25E-2</v>
      </c>
      <c r="C331">
        <v>-18877</v>
      </c>
      <c r="D331">
        <v>108885</v>
      </c>
      <c r="E331">
        <v>-230765</v>
      </c>
      <c r="F331">
        <v>-59118</v>
      </c>
      <c r="G331">
        <v>-9852</v>
      </c>
      <c r="H331">
        <v>-60640</v>
      </c>
      <c r="I331">
        <v>34214</v>
      </c>
      <c r="J331">
        <v>-3795</v>
      </c>
      <c r="K331">
        <v>11385</v>
      </c>
      <c r="L331">
        <v>-21469</v>
      </c>
      <c r="M331">
        <v>6.96</v>
      </c>
      <c r="N331">
        <v>-250032</v>
      </c>
      <c r="O331">
        <v>20832200</v>
      </c>
      <c r="P331" s="2">
        <v>-1.2002188919077197</v>
      </c>
      <c r="Q331" s="4">
        <v>14.4992112</v>
      </c>
    </row>
    <row r="332" spans="1:17" x14ac:dyDescent="0.4">
      <c r="A332">
        <v>20210827</v>
      </c>
      <c r="B332" s="1">
        <v>8.3333333333333329E-2</v>
      </c>
      <c r="C332">
        <v>7106</v>
      </c>
      <c r="D332">
        <v>65489</v>
      </c>
      <c r="E332">
        <v>-275197</v>
      </c>
      <c r="F332">
        <v>-76200</v>
      </c>
      <c r="G332">
        <v>-4522</v>
      </c>
      <c r="H332">
        <v>-149295</v>
      </c>
      <c r="I332">
        <v>27492</v>
      </c>
      <c r="J332">
        <v>2800</v>
      </c>
      <c r="K332">
        <v>6184</v>
      </c>
      <c r="L332">
        <v>-15226</v>
      </c>
      <c r="M332">
        <v>6.98</v>
      </c>
      <c r="N332">
        <v>-411369</v>
      </c>
      <c r="O332">
        <v>20851450</v>
      </c>
      <c r="P332" s="2">
        <v>-1.9728556047660954</v>
      </c>
      <c r="Q332" s="4">
        <v>14.554312100000001</v>
      </c>
    </row>
    <row r="333" spans="1:17" x14ac:dyDescent="0.4">
      <c r="A333">
        <v>20210827</v>
      </c>
      <c r="B333" s="1">
        <v>0.10416666666666667</v>
      </c>
      <c r="C333">
        <v>-15195</v>
      </c>
      <c r="D333">
        <v>38601</v>
      </c>
      <c r="E333">
        <v>-282892</v>
      </c>
      <c r="F333">
        <v>-52592</v>
      </c>
      <c r="G333">
        <v>1544</v>
      </c>
      <c r="H333">
        <v>-119316</v>
      </c>
      <c r="I333">
        <v>-11503</v>
      </c>
      <c r="J333">
        <v>-5789</v>
      </c>
      <c r="K333">
        <v>-51539</v>
      </c>
      <c r="L333">
        <v>-24855</v>
      </c>
      <c r="M333">
        <v>6.98</v>
      </c>
      <c r="N333">
        <v>-523536</v>
      </c>
      <c r="O333">
        <v>20978300</v>
      </c>
      <c r="P333" s="2">
        <v>-2.4956073657064679</v>
      </c>
      <c r="Q333" s="4">
        <v>14.6428534</v>
      </c>
    </row>
    <row r="334" spans="1:17" x14ac:dyDescent="0.4">
      <c r="A334">
        <v>20210827</v>
      </c>
      <c r="B334" s="1">
        <v>0.125</v>
      </c>
      <c r="C334">
        <v>-44579</v>
      </c>
      <c r="D334">
        <v>72307</v>
      </c>
      <c r="E334">
        <v>-251477</v>
      </c>
      <c r="F334">
        <v>-91156</v>
      </c>
      <c r="G334">
        <v>-13413</v>
      </c>
      <c r="H334">
        <v>-114542</v>
      </c>
      <c r="I334">
        <v>17226</v>
      </c>
      <c r="J334">
        <v>11615</v>
      </c>
      <c r="K334">
        <v>7248</v>
      </c>
      <c r="L334">
        <v>-14096</v>
      </c>
      <c r="M334">
        <v>6.98</v>
      </c>
      <c r="N334">
        <v>-420867</v>
      </c>
      <c r="O334">
        <v>20944800</v>
      </c>
      <c r="P334" s="2">
        <v>-2.0094104503265728</v>
      </c>
      <c r="Q334" s="4">
        <v>14.619470400000001</v>
      </c>
    </row>
    <row r="335" spans="1:17" x14ac:dyDescent="0.4">
      <c r="A335">
        <v>20210827</v>
      </c>
      <c r="B335" s="1">
        <v>0.14583333333333334</v>
      </c>
      <c r="C335">
        <v>-43112</v>
      </c>
      <c r="D335">
        <v>57475</v>
      </c>
      <c r="E335">
        <v>-166935</v>
      </c>
      <c r="F335">
        <v>-47487</v>
      </c>
      <c r="G335">
        <v>-279</v>
      </c>
      <c r="H335">
        <v>-121378</v>
      </c>
      <c r="I335">
        <v>26621</v>
      </c>
      <c r="J335">
        <v>19015</v>
      </c>
      <c r="K335">
        <v>24882</v>
      </c>
      <c r="L335">
        <v>-13840</v>
      </c>
      <c r="M335">
        <v>6.98</v>
      </c>
      <c r="N335">
        <v>-265038</v>
      </c>
      <c r="O335">
        <v>21103700</v>
      </c>
      <c r="P335" s="2">
        <v>-1.2558840392916881</v>
      </c>
      <c r="Q335" s="4">
        <v>14.7303826</v>
      </c>
    </row>
    <row r="336" spans="1:17" x14ac:dyDescent="0.4">
      <c r="A336">
        <v>20210827</v>
      </c>
      <c r="B336" s="1">
        <v>0.16666666666666666</v>
      </c>
      <c r="C336">
        <v>-55691</v>
      </c>
      <c r="D336">
        <v>51445</v>
      </c>
      <c r="E336">
        <v>-271825</v>
      </c>
      <c r="F336">
        <v>-62345</v>
      </c>
      <c r="G336">
        <v>-2</v>
      </c>
      <c r="H336">
        <v>-56304</v>
      </c>
      <c r="I336">
        <v>49364</v>
      </c>
      <c r="J336">
        <v>29275</v>
      </c>
      <c r="K336">
        <v>-11013</v>
      </c>
      <c r="L336">
        <v>-12654</v>
      </c>
      <c r="M336">
        <v>6.98</v>
      </c>
      <c r="N336">
        <v>-339750</v>
      </c>
      <c r="O336">
        <v>21337150</v>
      </c>
      <c r="P336" s="2">
        <v>-1.5922932537850649</v>
      </c>
      <c r="Q336" s="4">
        <v>14.8933307</v>
      </c>
    </row>
    <row r="337" spans="1:17" x14ac:dyDescent="0.4">
      <c r="A337">
        <v>20210827</v>
      </c>
      <c r="B337" s="1">
        <v>0.20833333333333334</v>
      </c>
      <c r="C337">
        <v>3708</v>
      </c>
      <c r="D337">
        <v>7766</v>
      </c>
      <c r="E337">
        <v>-178456</v>
      </c>
      <c r="F337">
        <v>49387</v>
      </c>
      <c r="G337">
        <v>15044</v>
      </c>
      <c r="H337">
        <v>-129232</v>
      </c>
      <c r="I337">
        <v>54344</v>
      </c>
      <c r="J337">
        <v>21110</v>
      </c>
      <c r="K337">
        <v>-30724</v>
      </c>
      <c r="L337">
        <v>-14719</v>
      </c>
      <c r="M337">
        <v>6.97</v>
      </c>
      <c r="N337">
        <v>-201772</v>
      </c>
      <c r="O337">
        <v>21305400</v>
      </c>
      <c r="P337" s="2">
        <v>-0.94704628873431151</v>
      </c>
      <c r="Q337" s="4">
        <v>14.8498638</v>
      </c>
    </row>
    <row r="338" spans="1:17" x14ac:dyDescent="0.4">
      <c r="A338">
        <v>20210827</v>
      </c>
      <c r="B338" s="1">
        <v>0.27083333333333331</v>
      </c>
      <c r="C338">
        <v>87744</v>
      </c>
      <c r="D338">
        <v>155407</v>
      </c>
      <c r="E338">
        <v>-108866</v>
      </c>
      <c r="F338">
        <v>-59371</v>
      </c>
      <c r="G338">
        <v>27723</v>
      </c>
      <c r="H338">
        <v>-156208</v>
      </c>
      <c r="I338">
        <v>41237</v>
      </c>
      <c r="J338">
        <v>59169</v>
      </c>
      <c r="K338">
        <v>-181040</v>
      </c>
      <c r="L338">
        <v>-20154</v>
      </c>
      <c r="M338">
        <v>7.07</v>
      </c>
      <c r="N338">
        <v>-154359</v>
      </c>
      <c r="O338">
        <v>22304350</v>
      </c>
      <c r="P338" s="2">
        <v>-0.69205782728481213</v>
      </c>
      <c r="Q338" s="4">
        <v>15.769175450000001</v>
      </c>
    </row>
    <row r="339" spans="1:17" x14ac:dyDescent="0.4">
      <c r="A339">
        <v>20210827</v>
      </c>
      <c r="B339" s="1">
        <v>0.95833333333333337</v>
      </c>
      <c r="C339">
        <v>151486</v>
      </c>
      <c r="D339">
        <v>-39013</v>
      </c>
      <c r="E339">
        <v>-394588</v>
      </c>
      <c r="F339">
        <v>210434</v>
      </c>
      <c r="G339">
        <v>61879</v>
      </c>
      <c r="H339">
        <v>-27688</v>
      </c>
      <c r="I339">
        <v>20112</v>
      </c>
      <c r="J339">
        <v>-15870</v>
      </c>
      <c r="K339">
        <v>-71178</v>
      </c>
      <c r="L339">
        <v>-18367</v>
      </c>
      <c r="M339">
        <v>8.39</v>
      </c>
      <c r="N339">
        <v>-122793</v>
      </c>
      <c r="O339">
        <v>19527600</v>
      </c>
      <c r="P339" s="2">
        <v>-0.62881767344681372</v>
      </c>
      <c r="Q339" s="4">
        <v>16.3836564</v>
      </c>
    </row>
    <row r="340" spans="1:17" x14ac:dyDescent="0.4">
      <c r="A340">
        <v>20210828</v>
      </c>
      <c r="B340" s="1">
        <v>0.47916666666666669</v>
      </c>
      <c r="C340">
        <v>78877</v>
      </c>
      <c r="D340">
        <v>12219</v>
      </c>
      <c r="E340">
        <v>-1059029</v>
      </c>
      <c r="F340">
        <v>198</v>
      </c>
      <c r="G340">
        <v>-32116</v>
      </c>
      <c r="H340">
        <v>435502</v>
      </c>
      <c r="I340">
        <v>-15811</v>
      </c>
      <c r="J340">
        <v>119451</v>
      </c>
      <c r="K340">
        <v>381545</v>
      </c>
      <c r="L340">
        <v>-17861</v>
      </c>
      <c r="M340">
        <v>6.69</v>
      </c>
      <c r="N340">
        <v>-97025</v>
      </c>
      <c r="O340">
        <v>23269750</v>
      </c>
      <c r="P340" s="2">
        <v>-0.41695763813534742</v>
      </c>
      <c r="Q340" s="4">
        <v>15.567462750000001</v>
      </c>
    </row>
    <row r="341" spans="1:17" x14ac:dyDescent="0.4">
      <c r="A341">
        <v>20210828</v>
      </c>
      <c r="B341" s="1">
        <v>0.5</v>
      </c>
      <c r="C341">
        <v>36297</v>
      </c>
      <c r="D341">
        <v>100221</v>
      </c>
      <c r="E341">
        <v>-1074795</v>
      </c>
      <c r="F341">
        <v>-51422</v>
      </c>
      <c r="G341">
        <v>-7334</v>
      </c>
      <c r="H341">
        <v>474220</v>
      </c>
      <c r="I341">
        <v>-78422</v>
      </c>
      <c r="J341">
        <v>109822</v>
      </c>
      <c r="K341">
        <v>173770</v>
      </c>
      <c r="L341">
        <v>18295</v>
      </c>
      <c r="M341">
        <v>6.57</v>
      </c>
      <c r="N341">
        <v>-299348</v>
      </c>
      <c r="O341">
        <v>23287900</v>
      </c>
      <c r="P341" s="2">
        <v>-1.2854229020220802</v>
      </c>
      <c r="Q341" s="4">
        <v>15.3001503</v>
      </c>
    </row>
    <row r="342" spans="1:17" x14ac:dyDescent="0.4">
      <c r="A342">
        <v>20210828</v>
      </c>
      <c r="B342" s="1">
        <v>0.52083333333333337</v>
      </c>
      <c r="C342">
        <v>44800</v>
      </c>
      <c r="D342">
        <v>174054</v>
      </c>
      <c r="E342">
        <v>-1059259</v>
      </c>
      <c r="F342">
        <v>-12391</v>
      </c>
      <c r="G342">
        <v>26608</v>
      </c>
      <c r="H342">
        <v>447845</v>
      </c>
      <c r="I342">
        <v>-15586</v>
      </c>
      <c r="J342">
        <v>83155</v>
      </c>
      <c r="K342">
        <v>180715</v>
      </c>
      <c r="L342">
        <v>17860</v>
      </c>
      <c r="M342">
        <v>6.76</v>
      </c>
      <c r="N342">
        <v>-112199</v>
      </c>
      <c r="O342">
        <v>23067450</v>
      </c>
      <c r="P342" s="2">
        <v>-0.48639533195043233</v>
      </c>
      <c r="Q342" s="4">
        <v>15.5935962</v>
      </c>
    </row>
    <row r="343" spans="1:17" x14ac:dyDescent="0.4">
      <c r="A343">
        <v>20210828</v>
      </c>
      <c r="B343" s="1">
        <v>0.54166666666666663</v>
      </c>
      <c r="C343">
        <v>45305</v>
      </c>
      <c r="D343">
        <v>229037</v>
      </c>
      <c r="E343">
        <v>-1065510</v>
      </c>
      <c r="F343">
        <v>4027</v>
      </c>
      <c r="G343">
        <v>-573</v>
      </c>
      <c r="H343">
        <v>431826</v>
      </c>
      <c r="I343">
        <v>-76801</v>
      </c>
      <c r="J343">
        <v>95926</v>
      </c>
      <c r="K343">
        <v>79699</v>
      </c>
      <c r="L343">
        <v>22098</v>
      </c>
      <c r="M343">
        <v>6.95</v>
      </c>
      <c r="N343">
        <v>-234966</v>
      </c>
      <c r="O343">
        <v>23068550</v>
      </c>
      <c r="P343" s="2">
        <v>-1.0185555659111647</v>
      </c>
      <c r="Q343" s="4">
        <v>16.032642249999999</v>
      </c>
    </row>
    <row r="344" spans="1:17" x14ac:dyDescent="0.4">
      <c r="A344">
        <v>20210828</v>
      </c>
      <c r="B344" s="1">
        <v>0.5625</v>
      </c>
      <c r="C344">
        <v>80189</v>
      </c>
      <c r="D344">
        <v>212593</v>
      </c>
      <c r="E344">
        <v>-1037113</v>
      </c>
      <c r="F344">
        <v>-70510</v>
      </c>
      <c r="G344">
        <v>8657</v>
      </c>
      <c r="H344">
        <v>324336</v>
      </c>
      <c r="I344">
        <v>61345</v>
      </c>
      <c r="J344">
        <v>91536</v>
      </c>
      <c r="K344">
        <v>38502</v>
      </c>
      <c r="L344">
        <v>23406</v>
      </c>
      <c r="M344">
        <v>7.03</v>
      </c>
      <c r="N344">
        <v>-267059</v>
      </c>
      <c r="O344">
        <v>22807250</v>
      </c>
      <c r="P344" s="2">
        <v>-1.1709390654287561</v>
      </c>
      <c r="Q344" s="4">
        <v>16.033496750000001</v>
      </c>
    </row>
    <row r="345" spans="1:17" x14ac:dyDescent="0.4">
      <c r="A345">
        <v>20210828</v>
      </c>
      <c r="B345" s="1">
        <v>0.58333333333333337</v>
      </c>
      <c r="C345">
        <v>47903</v>
      </c>
      <c r="D345">
        <v>242846</v>
      </c>
      <c r="E345">
        <v>-921368</v>
      </c>
      <c r="F345">
        <v>-141448</v>
      </c>
      <c r="G345">
        <v>14297</v>
      </c>
      <c r="H345">
        <v>371464</v>
      </c>
      <c r="I345">
        <v>110227</v>
      </c>
      <c r="J345">
        <v>78860</v>
      </c>
      <c r="K345">
        <v>84985</v>
      </c>
      <c r="L345">
        <v>33093</v>
      </c>
      <c r="M345">
        <v>8.39</v>
      </c>
      <c r="N345">
        <v>-79141</v>
      </c>
      <c r="O345">
        <v>22325700</v>
      </c>
      <c r="P345" s="2">
        <v>-0.35448384597123495</v>
      </c>
      <c r="Q345" s="4">
        <v>18.731262300000001</v>
      </c>
    </row>
    <row r="346" spans="1:17" x14ac:dyDescent="0.4">
      <c r="A346">
        <v>20210828</v>
      </c>
      <c r="B346" s="1">
        <v>0.60416666666666663</v>
      </c>
      <c r="C346">
        <v>-9090</v>
      </c>
      <c r="D346">
        <v>255977</v>
      </c>
      <c r="E346">
        <v>-786769</v>
      </c>
      <c r="F346">
        <v>-142428</v>
      </c>
      <c r="G346">
        <v>22844</v>
      </c>
      <c r="H346">
        <v>284813</v>
      </c>
      <c r="I346">
        <v>128958</v>
      </c>
      <c r="J346">
        <v>59273</v>
      </c>
      <c r="K346">
        <v>150585</v>
      </c>
      <c r="L346">
        <v>26388</v>
      </c>
      <c r="M346">
        <v>8.39</v>
      </c>
      <c r="N346">
        <v>-9449</v>
      </c>
      <c r="O346">
        <v>21798950</v>
      </c>
      <c r="P346" s="2">
        <v>-4.3346124469297836E-2</v>
      </c>
      <c r="Q346" s="4">
        <v>18.28931905</v>
      </c>
    </row>
    <row r="347" spans="1:17" x14ac:dyDescent="0.4">
      <c r="A347">
        <v>20210828</v>
      </c>
      <c r="B347" s="1">
        <v>0.64583333333333337</v>
      </c>
      <c r="C347">
        <v>93596</v>
      </c>
      <c r="D347">
        <v>361705</v>
      </c>
      <c r="E347">
        <v>-868814</v>
      </c>
      <c r="F347">
        <v>-212781</v>
      </c>
      <c r="G347">
        <v>-4440</v>
      </c>
      <c r="H347">
        <v>242338</v>
      </c>
      <c r="I347">
        <v>13816</v>
      </c>
      <c r="J347">
        <v>45021</v>
      </c>
      <c r="K347">
        <v>163397</v>
      </c>
      <c r="L347">
        <v>-5371</v>
      </c>
      <c r="M347">
        <v>9.76</v>
      </c>
      <c r="N347">
        <v>-171533</v>
      </c>
      <c r="O347">
        <v>20815900</v>
      </c>
      <c r="P347" s="2">
        <v>-0.82404796333571928</v>
      </c>
      <c r="Q347" s="4">
        <v>20.3163184</v>
      </c>
    </row>
    <row r="348" spans="1:17" x14ac:dyDescent="0.4">
      <c r="A348">
        <v>20210828</v>
      </c>
      <c r="B348" s="1">
        <v>0.66666666666666663</v>
      </c>
      <c r="C348">
        <v>27028</v>
      </c>
      <c r="D348">
        <v>374492</v>
      </c>
      <c r="E348">
        <v>-887917</v>
      </c>
      <c r="F348">
        <v>-443000</v>
      </c>
      <c r="G348">
        <v>-28275</v>
      </c>
      <c r="H348">
        <v>200959</v>
      </c>
      <c r="I348">
        <v>-33756</v>
      </c>
      <c r="J348">
        <v>8016</v>
      </c>
      <c r="K348">
        <v>123201</v>
      </c>
      <c r="L348">
        <v>-27385</v>
      </c>
      <c r="M348">
        <v>10.27</v>
      </c>
      <c r="N348">
        <v>-686637</v>
      </c>
      <c r="O348">
        <v>20857000</v>
      </c>
      <c r="P348" s="2">
        <v>-3.2921177542311932</v>
      </c>
      <c r="Q348" s="4">
        <v>21.420138999999999</v>
      </c>
    </row>
    <row r="349" spans="1:17" x14ac:dyDescent="0.4">
      <c r="A349">
        <v>20210828</v>
      </c>
      <c r="B349" s="1">
        <v>0.6875</v>
      </c>
      <c r="C349">
        <v>74733</v>
      </c>
      <c r="D349">
        <v>236264</v>
      </c>
      <c r="E349">
        <v>-861890</v>
      </c>
      <c r="F349">
        <v>-441293</v>
      </c>
      <c r="G349">
        <v>-3533</v>
      </c>
      <c r="H349">
        <v>327867</v>
      </c>
      <c r="I349">
        <v>-65266</v>
      </c>
      <c r="J349">
        <v>-31595</v>
      </c>
      <c r="K349">
        <v>68700</v>
      </c>
      <c r="L349">
        <v>-29580</v>
      </c>
      <c r="M349">
        <v>10.32</v>
      </c>
      <c r="N349">
        <v>-725593</v>
      </c>
      <c r="O349">
        <v>20193850</v>
      </c>
      <c r="P349" s="2">
        <v>-3.5931385050399007</v>
      </c>
      <c r="Q349" s="4">
        <v>20.8400532</v>
      </c>
    </row>
    <row r="350" spans="1:17" x14ac:dyDescent="0.4">
      <c r="A350">
        <v>20210828</v>
      </c>
      <c r="B350" s="1">
        <v>0.70833333333333337</v>
      </c>
      <c r="C350">
        <v>39161</v>
      </c>
      <c r="D350">
        <v>129695</v>
      </c>
      <c r="E350">
        <v>-830418</v>
      </c>
      <c r="F350">
        <v>-355165</v>
      </c>
      <c r="G350">
        <v>-7382</v>
      </c>
      <c r="H350">
        <v>286439</v>
      </c>
      <c r="I350">
        <v>77298</v>
      </c>
      <c r="J350">
        <v>-70563</v>
      </c>
      <c r="K350">
        <v>52241</v>
      </c>
      <c r="L350">
        <v>-15816</v>
      </c>
      <c r="M350">
        <v>10.32</v>
      </c>
      <c r="N350">
        <v>-694510</v>
      </c>
      <c r="O350">
        <v>20026200</v>
      </c>
      <c r="P350" s="2">
        <v>-3.4680069109466598</v>
      </c>
      <c r="Q350" s="4">
        <v>20.667038399999999</v>
      </c>
    </row>
    <row r="351" spans="1:17" x14ac:dyDescent="0.4">
      <c r="A351">
        <v>20210828</v>
      </c>
      <c r="B351" s="1">
        <v>0.72916666666666663</v>
      </c>
      <c r="C351">
        <v>39535</v>
      </c>
      <c r="D351">
        <v>95383</v>
      </c>
      <c r="E351">
        <v>-680412</v>
      </c>
      <c r="F351">
        <v>-214991</v>
      </c>
      <c r="G351">
        <v>-17245</v>
      </c>
      <c r="H351">
        <v>405422</v>
      </c>
      <c r="I351">
        <v>252399</v>
      </c>
      <c r="J351">
        <v>-66484</v>
      </c>
      <c r="K351">
        <v>70919</v>
      </c>
      <c r="L351">
        <v>-18540</v>
      </c>
      <c r="M351">
        <v>10.36</v>
      </c>
      <c r="N351">
        <v>-134014</v>
      </c>
      <c r="O351">
        <v>19680500</v>
      </c>
      <c r="P351" s="2">
        <v>-0.68094814664261583</v>
      </c>
      <c r="Q351" s="4">
        <v>20.388998000000001</v>
      </c>
    </row>
    <row r="352" spans="1:17" x14ac:dyDescent="0.4">
      <c r="A352">
        <v>20210828</v>
      </c>
      <c r="B352" s="1">
        <v>0.77083333333333337</v>
      </c>
      <c r="C352">
        <v>24880</v>
      </c>
      <c r="D352">
        <v>93049</v>
      </c>
      <c r="E352">
        <v>-644597</v>
      </c>
      <c r="F352">
        <v>-154818</v>
      </c>
      <c r="G352">
        <v>11838</v>
      </c>
      <c r="H352">
        <v>275752</v>
      </c>
      <c r="I352">
        <v>57835</v>
      </c>
      <c r="J352">
        <v>45207</v>
      </c>
      <c r="K352">
        <v>235713</v>
      </c>
      <c r="L352">
        <v>-14048</v>
      </c>
      <c r="M352">
        <v>10.36</v>
      </c>
      <c r="N352">
        <v>-69189</v>
      </c>
      <c r="O352">
        <v>20002950</v>
      </c>
      <c r="P352" s="2">
        <v>-0.34589398063785592</v>
      </c>
      <c r="Q352" s="4">
        <v>20.723056199999998</v>
      </c>
    </row>
    <row r="353" spans="1:17" x14ac:dyDescent="0.4">
      <c r="A353">
        <v>20210829</v>
      </c>
      <c r="B353" s="1">
        <v>0.1875</v>
      </c>
      <c r="C353">
        <v>34825</v>
      </c>
      <c r="D353">
        <v>-4358</v>
      </c>
      <c r="E353">
        <v>-343329</v>
      </c>
      <c r="F353">
        <v>134835</v>
      </c>
      <c r="G353">
        <v>25881</v>
      </c>
      <c r="H353">
        <v>-5605</v>
      </c>
      <c r="I353">
        <v>-76675</v>
      </c>
      <c r="J353">
        <v>25391</v>
      </c>
      <c r="K353">
        <v>125805</v>
      </c>
      <c r="L353">
        <v>-7649</v>
      </c>
      <c r="M353">
        <v>7.05</v>
      </c>
      <c r="N353">
        <v>-90879</v>
      </c>
      <c r="O353">
        <v>18312900</v>
      </c>
      <c r="P353" s="2">
        <v>-0.4962567370542077</v>
      </c>
      <c r="Q353" s="4">
        <v>12.9105945</v>
      </c>
    </row>
    <row r="354" spans="1:17" x14ac:dyDescent="0.4">
      <c r="A354">
        <v>20210829</v>
      </c>
      <c r="B354" s="1">
        <v>0.20833333333333334</v>
      </c>
      <c r="C354">
        <v>27302</v>
      </c>
      <c r="D354">
        <v>14383</v>
      </c>
      <c r="E354">
        <v>-327725</v>
      </c>
      <c r="F354">
        <v>31232</v>
      </c>
      <c r="G354">
        <v>-3570</v>
      </c>
      <c r="H354">
        <v>64999</v>
      </c>
      <c r="I354">
        <v>-53254</v>
      </c>
      <c r="J354">
        <v>27725</v>
      </c>
      <c r="K354">
        <v>191852</v>
      </c>
      <c r="L354">
        <v>-5836</v>
      </c>
      <c r="M354">
        <v>6.89</v>
      </c>
      <c r="N354">
        <v>-32892</v>
      </c>
      <c r="O354">
        <v>17646200</v>
      </c>
      <c r="P354" s="2">
        <v>-0.18639707132413777</v>
      </c>
      <c r="Q354" s="4">
        <v>12.158231799999999</v>
      </c>
    </row>
    <row r="355" spans="1:17" x14ac:dyDescent="0.4">
      <c r="A355">
        <v>20210829</v>
      </c>
      <c r="B355" s="1">
        <v>0.22916666666666666</v>
      </c>
      <c r="C355">
        <v>-34034</v>
      </c>
      <c r="D355">
        <v>-12645</v>
      </c>
      <c r="E355">
        <v>-340428</v>
      </c>
      <c r="F355">
        <v>-58711</v>
      </c>
      <c r="G355">
        <v>15661</v>
      </c>
      <c r="H355">
        <v>139409</v>
      </c>
      <c r="I355">
        <v>1782</v>
      </c>
      <c r="J355">
        <v>54052</v>
      </c>
      <c r="K355">
        <v>151937</v>
      </c>
      <c r="L355">
        <v>-2648</v>
      </c>
      <c r="M355">
        <v>6.89</v>
      </c>
      <c r="N355">
        <v>-85625</v>
      </c>
      <c r="O355">
        <v>17254300</v>
      </c>
      <c r="P355" s="2">
        <v>-0.49625310792092409</v>
      </c>
      <c r="Q355" s="4">
        <v>11.8882127</v>
      </c>
    </row>
    <row r="356" spans="1:17" x14ac:dyDescent="0.4">
      <c r="A356">
        <v>20210830</v>
      </c>
      <c r="B356" s="1">
        <v>0.27083333333333331</v>
      </c>
      <c r="C356">
        <v>-46159</v>
      </c>
      <c r="D356">
        <v>23394</v>
      </c>
      <c r="E356">
        <v>129294</v>
      </c>
      <c r="F356">
        <v>24690</v>
      </c>
      <c r="G356">
        <v>-19420</v>
      </c>
      <c r="H356">
        <v>-160574</v>
      </c>
      <c r="I356">
        <v>-65117</v>
      </c>
      <c r="J356">
        <v>48509</v>
      </c>
      <c r="K356">
        <v>48913</v>
      </c>
      <c r="L356">
        <v>-19932</v>
      </c>
      <c r="M356">
        <v>6.74</v>
      </c>
      <c r="N356">
        <v>-36402</v>
      </c>
      <c r="O356">
        <v>22062450</v>
      </c>
      <c r="P356" s="2">
        <v>-0.16499527477682668</v>
      </c>
      <c r="Q356" s="4">
        <v>14.8700913</v>
      </c>
    </row>
    <row r="357" spans="1:17" x14ac:dyDescent="0.4">
      <c r="A357">
        <v>20210830</v>
      </c>
      <c r="B357" s="1">
        <v>0.41666666666666669</v>
      </c>
      <c r="C357">
        <v>126779</v>
      </c>
      <c r="D357">
        <v>251501</v>
      </c>
      <c r="E357">
        <v>-412011</v>
      </c>
      <c r="F357">
        <v>-134461</v>
      </c>
      <c r="G357">
        <v>25542</v>
      </c>
      <c r="H357">
        <v>-93814</v>
      </c>
      <c r="I357">
        <v>8395</v>
      </c>
      <c r="J357">
        <v>68879</v>
      </c>
      <c r="K357">
        <v>130764</v>
      </c>
      <c r="L357">
        <v>8244</v>
      </c>
      <c r="M357">
        <v>8.39</v>
      </c>
      <c r="N357">
        <v>-20182</v>
      </c>
      <c r="O357">
        <v>26589550</v>
      </c>
      <c r="P357" s="2">
        <v>-7.5901999093628894E-2</v>
      </c>
      <c r="Q357" s="4">
        <v>22.308632450000005</v>
      </c>
    </row>
    <row r="358" spans="1:17" x14ac:dyDescent="0.4">
      <c r="A358">
        <v>20210830</v>
      </c>
      <c r="B358" s="1">
        <v>0.4375</v>
      </c>
      <c r="C358">
        <v>75769</v>
      </c>
      <c r="D358">
        <v>232911</v>
      </c>
      <c r="E358">
        <v>-549950</v>
      </c>
      <c r="F358">
        <v>-217810</v>
      </c>
      <c r="G358">
        <v>89443</v>
      </c>
      <c r="H358">
        <v>-141215</v>
      </c>
      <c r="I358">
        <v>-65838</v>
      </c>
      <c r="J358">
        <v>63182</v>
      </c>
      <c r="K358">
        <v>-40829</v>
      </c>
      <c r="L358">
        <v>11172</v>
      </c>
      <c r="M358">
        <v>8.39</v>
      </c>
      <c r="N358">
        <v>-543165</v>
      </c>
      <c r="O358">
        <v>26720200</v>
      </c>
      <c r="P358" s="2">
        <v>-2.03278792823407</v>
      </c>
      <c r="Q358" s="4">
        <v>22.418247800000003</v>
      </c>
    </row>
    <row r="359" spans="1:17" x14ac:dyDescent="0.4">
      <c r="A359">
        <v>20210830</v>
      </c>
      <c r="B359" s="1">
        <v>0.45833333333333331</v>
      </c>
      <c r="C359">
        <v>52077</v>
      </c>
      <c r="D359">
        <v>-35755</v>
      </c>
      <c r="E359">
        <v>-597392</v>
      </c>
      <c r="F359">
        <v>-400857</v>
      </c>
      <c r="G359">
        <v>101005</v>
      </c>
      <c r="H359">
        <v>-131859</v>
      </c>
      <c r="I359">
        <v>-58760</v>
      </c>
      <c r="J359">
        <v>54102</v>
      </c>
      <c r="K359">
        <v>-55242</v>
      </c>
      <c r="L359">
        <v>6960</v>
      </c>
      <c r="M359">
        <v>9.4600000000000009</v>
      </c>
      <c r="N359">
        <v>-1065721</v>
      </c>
      <c r="O359">
        <v>26894250</v>
      </c>
      <c r="P359" s="2">
        <v>-3.9626351357632208</v>
      </c>
      <c r="Q359" s="4">
        <v>25.441960500000004</v>
      </c>
    </row>
    <row r="360" spans="1:17" x14ac:dyDescent="0.4">
      <c r="A360">
        <v>20210830</v>
      </c>
      <c r="B360" s="1">
        <v>0.47916666666666669</v>
      </c>
      <c r="C360">
        <v>86830</v>
      </c>
      <c r="D360">
        <v>-16481</v>
      </c>
      <c r="E360">
        <v>-752774</v>
      </c>
      <c r="F360">
        <v>-433200</v>
      </c>
      <c r="G360">
        <v>117006</v>
      </c>
      <c r="H360">
        <v>-107845</v>
      </c>
      <c r="I360">
        <v>69490</v>
      </c>
      <c r="J360">
        <v>52469</v>
      </c>
      <c r="K360">
        <v>-68402</v>
      </c>
      <c r="L360">
        <v>6219</v>
      </c>
      <c r="M360">
        <v>9.4</v>
      </c>
      <c r="N360">
        <v>-1046688</v>
      </c>
      <c r="O360">
        <v>26883150</v>
      </c>
      <c r="P360" s="2">
        <v>-3.8934723051428124</v>
      </c>
      <c r="Q360" s="4">
        <v>25.270161000000002</v>
      </c>
    </row>
    <row r="361" spans="1:17" x14ac:dyDescent="0.4">
      <c r="A361">
        <v>20210830</v>
      </c>
      <c r="B361" s="1">
        <v>0.5</v>
      </c>
      <c r="C361">
        <v>105032</v>
      </c>
      <c r="D361">
        <v>250845</v>
      </c>
      <c r="E361">
        <v>-982321</v>
      </c>
      <c r="F361">
        <v>-452687</v>
      </c>
      <c r="G361">
        <v>88281</v>
      </c>
      <c r="H361">
        <v>-47468</v>
      </c>
      <c r="I361">
        <v>49902</v>
      </c>
      <c r="J361">
        <v>15874</v>
      </c>
      <c r="K361">
        <v>79030</v>
      </c>
      <c r="L361">
        <v>4770</v>
      </c>
      <c r="M361">
        <v>9.08</v>
      </c>
      <c r="N361">
        <v>-888742</v>
      </c>
      <c r="O361">
        <v>26716000</v>
      </c>
      <c r="P361" s="2">
        <v>-3.3266282377601439</v>
      </c>
      <c r="Q361" s="4">
        <v>24.258127999999999</v>
      </c>
    </row>
    <row r="362" spans="1:17" x14ac:dyDescent="0.4">
      <c r="A362">
        <v>20210830</v>
      </c>
      <c r="B362" s="1">
        <v>0.52083333333333337</v>
      </c>
      <c r="C362">
        <v>115320</v>
      </c>
      <c r="D362">
        <v>430988</v>
      </c>
      <c r="E362">
        <v>-914629</v>
      </c>
      <c r="F362">
        <v>-390997</v>
      </c>
      <c r="G362">
        <v>59417</v>
      </c>
      <c r="H362">
        <v>-59156</v>
      </c>
      <c r="I362">
        <v>78076</v>
      </c>
      <c r="J362">
        <v>45160</v>
      </c>
      <c r="K362">
        <v>115125</v>
      </c>
      <c r="L362">
        <v>5283</v>
      </c>
      <c r="M362">
        <v>9.4499999999999993</v>
      </c>
      <c r="N362">
        <v>-515413</v>
      </c>
      <c r="O362">
        <v>26612100</v>
      </c>
      <c r="P362" s="2">
        <v>-1.93676184893338</v>
      </c>
      <c r="Q362" s="4">
        <v>25.148434499999997</v>
      </c>
    </row>
    <row r="363" spans="1:17" x14ac:dyDescent="0.4">
      <c r="A363">
        <v>20210830</v>
      </c>
      <c r="B363" s="1">
        <v>0.54166666666666663</v>
      </c>
      <c r="C363">
        <v>47530</v>
      </c>
      <c r="D363">
        <v>471948</v>
      </c>
      <c r="E363">
        <v>-963361</v>
      </c>
      <c r="F363">
        <v>-342170</v>
      </c>
      <c r="G363">
        <v>3751</v>
      </c>
      <c r="H363">
        <v>-84163</v>
      </c>
      <c r="I363">
        <v>28469</v>
      </c>
      <c r="J363">
        <v>60336</v>
      </c>
      <c r="K363">
        <v>141422</v>
      </c>
      <c r="L363">
        <v>-12317</v>
      </c>
      <c r="M363">
        <v>10.23</v>
      </c>
      <c r="N363">
        <v>-648555</v>
      </c>
      <c r="O363">
        <v>25598550</v>
      </c>
      <c r="P363" s="2">
        <v>-2.5335614712552079</v>
      </c>
      <c r="Q363" s="4">
        <v>26.18731665</v>
      </c>
    </row>
    <row r="364" spans="1:17" x14ac:dyDescent="0.4">
      <c r="A364">
        <v>20210830</v>
      </c>
      <c r="B364" s="1">
        <v>0.5625</v>
      </c>
      <c r="C364">
        <v>54148</v>
      </c>
      <c r="D364">
        <v>431128</v>
      </c>
      <c r="E364">
        <v>-838436</v>
      </c>
      <c r="F364">
        <v>-348274</v>
      </c>
      <c r="G364">
        <v>52844</v>
      </c>
      <c r="H364">
        <v>-6322</v>
      </c>
      <c r="I364">
        <v>33382</v>
      </c>
      <c r="J364">
        <v>39919</v>
      </c>
      <c r="K364">
        <v>-32602</v>
      </c>
      <c r="L364">
        <v>-16156</v>
      </c>
      <c r="M364">
        <v>10.49</v>
      </c>
      <c r="N364">
        <v>-630369</v>
      </c>
      <c r="O364">
        <v>25443000</v>
      </c>
      <c r="P364" s="2">
        <v>-2.4775733993632825</v>
      </c>
      <c r="Q364" s="4">
        <v>26.689706999999999</v>
      </c>
    </row>
    <row r="365" spans="1:17" x14ac:dyDescent="0.4">
      <c r="A365">
        <v>20210830</v>
      </c>
      <c r="B365" s="1">
        <v>0.58333333333333337</v>
      </c>
      <c r="C365">
        <v>108403</v>
      </c>
      <c r="D365">
        <v>385267</v>
      </c>
      <c r="E365">
        <v>-599078</v>
      </c>
      <c r="F365">
        <v>-277359</v>
      </c>
      <c r="G365">
        <v>114452</v>
      </c>
      <c r="H365">
        <v>118163</v>
      </c>
      <c r="I365">
        <v>-54064</v>
      </c>
      <c r="J365">
        <v>-8184</v>
      </c>
      <c r="K365">
        <v>23246</v>
      </c>
      <c r="L365">
        <v>-19631</v>
      </c>
      <c r="M365">
        <v>10.74</v>
      </c>
      <c r="N365">
        <v>-208785</v>
      </c>
      <c r="O365">
        <v>24912150</v>
      </c>
      <c r="P365" s="2">
        <v>-0.83808503079822494</v>
      </c>
      <c r="Q365" s="4">
        <v>26.755649099999999</v>
      </c>
    </row>
    <row r="366" spans="1:17" x14ac:dyDescent="0.4">
      <c r="A366">
        <v>20210830</v>
      </c>
      <c r="B366" s="1">
        <v>0.60416666666666663</v>
      </c>
      <c r="C366">
        <v>103146</v>
      </c>
      <c r="D366">
        <v>419870</v>
      </c>
      <c r="E366">
        <v>-671828</v>
      </c>
      <c r="F366">
        <v>-307411</v>
      </c>
      <c r="G366">
        <v>77899</v>
      </c>
      <c r="H366">
        <v>114593</v>
      </c>
      <c r="I366">
        <v>-19036</v>
      </c>
      <c r="J366">
        <v>-37360</v>
      </c>
      <c r="K366">
        <v>10682</v>
      </c>
      <c r="L366">
        <v>-24276</v>
      </c>
      <c r="M366">
        <v>10.74</v>
      </c>
      <c r="N366">
        <v>-333721</v>
      </c>
      <c r="O366">
        <v>24657000</v>
      </c>
      <c r="P366" s="2">
        <v>-1.3534533803787971</v>
      </c>
      <c r="Q366" s="4">
        <v>26.481618000000001</v>
      </c>
    </row>
    <row r="367" spans="1:17" x14ac:dyDescent="0.4">
      <c r="A367">
        <v>20210830</v>
      </c>
      <c r="B367" s="1">
        <v>0.625</v>
      </c>
      <c r="C367">
        <v>40501</v>
      </c>
      <c r="D367">
        <v>278149</v>
      </c>
      <c r="E367">
        <v>-632329</v>
      </c>
      <c r="F367">
        <v>-178825</v>
      </c>
      <c r="G367">
        <v>31175</v>
      </c>
      <c r="H367">
        <v>202518</v>
      </c>
      <c r="I367">
        <v>56364</v>
      </c>
      <c r="J367">
        <v>-51522</v>
      </c>
      <c r="K367">
        <v>8559</v>
      </c>
      <c r="L367">
        <v>-2819</v>
      </c>
      <c r="M367">
        <v>10.84</v>
      </c>
      <c r="N367">
        <v>-248229</v>
      </c>
      <c r="O367">
        <v>24509150</v>
      </c>
      <c r="P367" s="2">
        <v>-1.0128013415397923</v>
      </c>
      <c r="Q367" s="4">
        <v>26.567918599999999</v>
      </c>
    </row>
    <row r="368" spans="1:17" x14ac:dyDescent="0.4">
      <c r="A368">
        <v>20210830</v>
      </c>
      <c r="B368" s="1">
        <v>0.64583333333333337</v>
      </c>
      <c r="C368">
        <v>94941</v>
      </c>
      <c r="D368">
        <v>196526</v>
      </c>
      <c r="E368">
        <v>-886994</v>
      </c>
      <c r="F368">
        <v>-457200</v>
      </c>
      <c r="G368">
        <v>-4125</v>
      </c>
      <c r="H368">
        <v>156821</v>
      </c>
      <c r="I368">
        <v>-73633</v>
      </c>
      <c r="J368">
        <v>-90397</v>
      </c>
      <c r="K368">
        <v>-43045</v>
      </c>
      <c r="L368">
        <v>-9115</v>
      </c>
      <c r="M368">
        <v>12.79</v>
      </c>
      <c r="N368">
        <v>-1116221</v>
      </c>
      <c r="O368">
        <v>23724700</v>
      </c>
      <c r="P368" s="2">
        <v>-4.7048898405459285</v>
      </c>
      <c r="Q368" s="4">
        <v>30.343891299999999</v>
      </c>
    </row>
    <row r="369" spans="1:17" x14ac:dyDescent="0.4">
      <c r="A369">
        <v>20210830</v>
      </c>
      <c r="B369" s="1">
        <v>0.66666666666666663</v>
      </c>
      <c r="C369">
        <v>52164</v>
      </c>
      <c r="D369">
        <v>230552</v>
      </c>
      <c r="E369">
        <v>-1088373</v>
      </c>
      <c r="F369">
        <v>-532521</v>
      </c>
      <c r="G369">
        <v>-22896</v>
      </c>
      <c r="H369">
        <v>22395</v>
      </c>
      <c r="I369">
        <v>-8214</v>
      </c>
      <c r="J369">
        <v>-117578</v>
      </c>
      <c r="K369">
        <v>-42416</v>
      </c>
      <c r="L369">
        <v>-9568</v>
      </c>
      <c r="M369">
        <v>14.48</v>
      </c>
      <c r="N369">
        <v>-1516455</v>
      </c>
      <c r="O369">
        <v>24037150</v>
      </c>
      <c r="P369" s="2">
        <v>-6.3087970079647544</v>
      </c>
      <c r="Q369" s="4">
        <v>34.805793199999997</v>
      </c>
    </row>
    <row r="370" spans="1:17" x14ac:dyDescent="0.4">
      <c r="A370">
        <v>20210830</v>
      </c>
      <c r="B370" s="1">
        <v>0.6875</v>
      </c>
      <c r="C370">
        <v>31867</v>
      </c>
      <c r="D370">
        <v>293746</v>
      </c>
      <c r="E370">
        <v>-1114872</v>
      </c>
      <c r="F370">
        <v>-307760</v>
      </c>
      <c r="G370">
        <v>-29667</v>
      </c>
      <c r="H370">
        <v>-88874</v>
      </c>
      <c r="I370">
        <v>451137</v>
      </c>
      <c r="J370">
        <v>-182870</v>
      </c>
      <c r="K370">
        <v>-69768</v>
      </c>
      <c r="L370">
        <v>-15568</v>
      </c>
      <c r="M370">
        <v>18</v>
      </c>
      <c r="N370">
        <v>-1032629</v>
      </c>
      <c r="O370">
        <v>23407350</v>
      </c>
      <c r="P370" s="2">
        <v>-4.4115587625254458</v>
      </c>
      <c r="Q370" s="4">
        <v>42.133229999999998</v>
      </c>
    </row>
    <row r="371" spans="1:17" x14ac:dyDescent="0.4">
      <c r="A371">
        <v>20210830</v>
      </c>
      <c r="B371" s="1">
        <v>0.70833333333333337</v>
      </c>
      <c r="C371">
        <v>-21031</v>
      </c>
      <c r="D371">
        <v>272941</v>
      </c>
      <c r="E371">
        <v>-1078830</v>
      </c>
      <c r="F371">
        <v>-196008</v>
      </c>
      <c r="G371">
        <v>84</v>
      </c>
      <c r="H371">
        <v>-103</v>
      </c>
      <c r="I371">
        <v>139141</v>
      </c>
      <c r="J371">
        <v>-163296</v>
      </c>
      <c r="K371">
        <v>-208526</v>
      </c>
      <c r="L371">
        <v>-14205</v>
      </c>
      <c r="M371">
        <v>14.78</v>
      </c>
      <c r="N371">
        <v>-1269833</v>
      </c>
      <c r="O371">
        <v>22862850</v>
      </c>
      <c r="P371" s="2">
        <v>-5.5541325775220498</v>
      </c>
      <c r="Q371" s="4">
        <v>33.791292300000002</v>
      </c>
    </row>
    <row r="372" spans="1:17" x14ac:dyDescent="0.4">
      <c r="A372">
        <v>20210830</v>
      </c>
      <c r="B372" s="1">
        <v>0.72916666666666663</v>
      </c>
      <c r="C372">
        <v>-11098</v>
      </c>
      <c r="D372">
        <v>140193</v>
      </c>
      <c r="E372">
        <v>-1026169</v>
      </c>
      <c r="F372">
        <v>-179599</v>
      </c>
      <c r="G372">
        <v>5455</v>
      </c>
      <c r="H372">
        <v>129226</v>
      </c>
      <c r="I372">
        <v>168083</v>
      </c>
      <c r="J372">
        <v>-135366</v>
      </c>
      <c r="K372">
        <v>-177155</v>
      </c>
      <c r="L372">
        <v>-14841</v>
      </c>
      <c r="M372">
        <v>15.54</v>
      </c>
      <c r="N372">
        <v>-1101271</v>
      </c>
      <c r="O372">
        <v>22519050</v>
      </c>
      <c r="P372" s="2">
        <v>-4.8903972414466859</v>
      </c>
      <c r="Q372" s="4">
        <v>34.994603699999999</v>
      </c>
    </row>
    <row r="373" spans="1:17" x14ac:dyDescent="0.4">
      <c r="A373">
        <v>20210830</v>
      </c>
      <c r="B373" s="1">
        <v>0.75</v>
      </c>
      <c r="C373">
        <v>19382</v>
      </c>
      <c r="D373">
        <v>120643</v>
      </c>
      <c r="E373">
        <v>-1404376</v>
      </c>
      <c r="F373">
        <v>-73135</v>
      </c>
      <c r="G373">
        <v>-20634</v>
      </c>
      <c r="H373">
        <v>107084</v>
      </c>
      <c r="I373">
        <v>81142</v>
      </c>
      <c r="J373">
        <v>-47108</v>
      </c>
      <c r="K373">
        <v>-4788</v>
      </c>
      <c r="L373">
        <v>-18397</v>
      </c>
      <c r="M373">
        <v>15.69</v>
      </c>
      <c r="N373">
        <v>-1240187</v>
      </c>
      <c r="O373">
        <v>22340650</v>
      </c>
      <c r="P373" s="2">
        <v>-5.5512574611750329</v>
      </c>
      <c r="Q373" s="4">
        <v>35.052479849999997</v>
      </c>
    </row>
    <row r="374" spans="1:17" x14ac:dyDescent="0.4">
      <c r="A374">
        <v>20210830</v>
      </c>
      <c r="B374" s="1">
        <v>0.77083333333333337</v>
      </c>
      <c r="C374">
        <v>-5410</v>
      </c>
      <c r="D374">
        <v>119504</v>
      </c>
      <c r="E374">
        <v>-1112112</v>
      </c>
      <c r="F374">
        <v>-48038</v>
      </c>
      <c r="G374">
        <v>-34444</v>
      </c>
      <c r="H374">
        <v>-16296</v>
      </c>
      <c r="I374">
        <v>7079</v>
      </c>
      <c r="J374">
        <v>-9261</v>
      </c>
      <c r="K374">
        <v>-3719</v>
      </c>
      <c r="L374">
        <v>-20428</v>
      </c>
      <c r="M374">
        <v>15</v>
      </c>
      <c r="N374">
        <v>-1123125</v>
      </c>
      <c r="O374">
        <v>22448300</v>
      </c>
      <c r="P374" s="2">
        <v>-5.0031628230200056</v>
      </c>
      <c r="Q374" s="4">
        <v>33.672449999999998</v>
      </c>
    </row>
    <row r="375" spans="1:17" x14ac:dyDescent="0.4">
      <c r="A375">
        <v>20210830</v>
      </c>
      <c r="B375" s="1">
        <v>0.79166666666666663</v>
      </c>
      <c r="C375">
        <v>24780</v>
      </c>
      <c r="D375">
        <v>120182</v>
      </c>
      <c r="E375">
        <v>-1090902</v>
      </c>
      <c r="F375">
        <v>20836</v>
      </c>
      <c r="G375">
        <v>-19729</v>
      </c>
      <c r="H375">
        <v>-34164</v>
      </c>
      <c r="I375">
        <v>30767</v>
      </c>
      <c r="J375">
        <v>9708</v>
      </c>
      <c r="K375">
        <v>34733</v>
      </c>
      <c r="L375">
        <v>-23602</v>
      </c>
      <c r="M375">
        <v>12.16</v>
      </c>
      <c r="N375">
        <v>-927391</v>
      </c>
      <c r="O375">
        <v>22593800</v>
      </c>
      <c r="P375" s="2">
        <v>-4.1046260478538361</v>
      </c>
      <c r="Q375" s="4">
        <v>27.4740608</v>
      </c>
    </row>
    <row r="376" spans="1:17" x14ac:dyDescent="0.4">
      <c r="A376">
        <v>20210830</v>
      </c>
      <c r="B376" s="1">
        <v>0.8125</v>
      </c>
      <c r="C376">
        <v>28150</v>
      </c>
      <c r="D376">
        <v>95582</v>
      </c>
      <c r="E376">
        <v>-1244214</v>
      </c>
      <c r="F376">
        <v>86009</v>
      </c>
      <c r="G376">
        <v>7732</v>
      </c>
      <c r="H376">
        <v>55624</v>
      </c>
      <c r="I376">
        <v>53596</v>
      </c>
      <c r="J376">
        <v>3502</v>
      </c>
      <c r="K376">
        <v>74381</v>
      </c>
      <c r="L376">
        <v>-16117</v>
      </c>
      <c r="M376">
        <v>11.35</v>
      </c>
      <c r="N376">
        <v>-855755</v>
      </c>
      <c r="O376">
        <v>22255950</v>
      </c>
      <c r="P376" s="2">
        <v>-3.8450616576690728</v>
      </c>
      <c r="Q376" s="4">
        <v>25.260503249999999</v>
      </c>
    </row>
    <row r="377" spans="1:17" x14ac:dyDescent="0.4">
      <c r="A377">
        <v>20210830</v>
      </c>
      <c r="B377" s="1">
        <v>0.83333333333333337</v>
      </c>
      <c r="C377">
        <v>32024</v>
      </c>
      <c r="D377">
        <v>87171</v>
      </c>
      <c r="E377">
        <v>-1249680</v>
      </c>
      <c r="F377">
        <v>91068</v>
      </c>
      <c r="G377">
        <v>21919</v>
      </c>
      <c r="H377">
        <v>173037</v>
      </c>
      <c r="I377">
        <v>95725</v>
      </c>
      <c r="J377">
        <v>19592</v>
      </c>
      <c r="K377">
        <v>51495</v>
      </c>
      <c r="L377">
        <v>-23989</v>
      </c>
      <c r="M377">
        <v>10.38</v>
      </c>
      <c r="N377">
        <v>-701638</v>
      </c>
      <c r="O377">
        <v>21707600</v>
      </c>
      <c r="P377" s="2">
        <v>-3.2322228159722863</v>
      </c>
      <c r="Q377" s="4">
        <v>22.532488800000003</v>
      </c>
    </row>
    <row r="378" spans="1:17" x14ac:dyDescent="0.4">
      <c r="A378">
        <v>20210830</v>
      </c>
      <c r="B378" s="1">
        <v>0.85416666666666663</v>
      </c>
      <c r="C378">
        <v>85493</v>
      </c>
      <c r="D378">
        <v>73271</v>
      </c>
      <c r="E378">
        <v>-859602</v>
      </c>
      <c r="F378">
        <v>137652</v>
      </c>
      <c r="G378">
        <v>11614</v>
      </c>
      <c r="H378">
        <v>-7404</v>
      </c>
      <c r="I378">
        <v>79536</v>
      </c>
      <c r="J378">
        <v>12159</v>
      </c>
      <c r="K378">
        <v>146155</v>
      </c>
      <c r="L378">
        <v>-13761</v>
      </c>
      <c r="M378">
        <v>10.17</v>
      </c>
      <c r="N378">
        <v>-334887</v>
      </c>
      <c r="O378">
        <v>21862950</v>
      </c>
      <c r="P378" s="2">
        <v>-1.531755778611761</v>
      </c>
      <c r="Q378" s="4">
        <v>22.234620150000001</v>
      </c>
    </row>
    <row r="379" spans="1:17" x14ac:dyDescent="0.4">
      <c r="A379">
        <v>20210830</v>
      </c>
      <c r="B379" s="1">
        <v>0.875</v>
      </c>
      <c r="C379">
        <v>100981</v>
      </c>
      <c r="D379">
        <v>94909</v>
      </c>
      <c r="E379">
        <v>-721962</v>
      </c>
      <c r="F379">
        <v>78181</v>
      </c>
      <c r="G379">
        <v>10721</v>
      </c>
      <c r="H379">
        <v>63004</v>
      </c>
      <c r="I379">
        <v>43421</v>
      </c>
      <c r="J379">
        <v>33418</v>
      </c>
      <c r="K379">
        <v>82490</v>
      </c>
      <c r="L379">
        <v>-20879</v>
      </c>
      <c r="M379">
        <v>9.99</v>
      </c>
      <c r="N379">
        <v>-235716</v>
      </c>
      <c r="O379">
        <v>21776750</v>
      </c>
      <c r="P379" s="2">
        <v>-1.0824204713742869</v>
      </c>
      <c r="Q379" s="4">
        <v>21.754973249999999</v>
      </c>
    </row>
    <row r="380" spans="1:17" x14ac:dyDescent="0.4">
      <c r="A380">
        <v>20210830</v>
      </c>
      <c r="B380" s="1">
        <v>0.91666666666666663</v>
      </c>
      <c r="C380">
        <v>145542</v>
      </c>
      <c r="D380">
        <v>104033</v>
      </c>
      <c r="E380">
        <v>-658493</v>
      </c>
      <c r="F380">
        <v>56644</v>
      </c>
      <c r="G380">
        <v>-3077</v>
      </c>
      <c r="H380">
        <v>63115</v>
      </c>
      <c r="I380">
        <v>-5605</v>
      </c>
      <c r="J380">
        <v>11713</v>
      </c>
      <c r="K380">
        <v>30929</v>
      </c>
      <c r="L380">
        <v>-27992</v>
      </c>
      <c r="M380">
        <v>9.76</v>
      </c>
      <c r="N380">
        <v>-283191</v>
      </c>
      <c r="O380">
        <v>21331000</v>
      </c>
      <c r="P380" s="2">
        <v>-1.3276030190802119</v>
      </c>
      <c r="Q380" s="4">
        <v>20.819056</v>
      </c>
    </row>
    <row r="382" spans="1:17" x14ac:dyDescent="0.4">
      <c r="B382" t="s">
        <v>52</v>
      </c>
    </row>
    <row r="383" spans="1:17" x14ac:dyDescent="0.4">
      <c r="B383" s="1" cm="1">
        <f t="array" ref="B383:B384">_xlfn.MODE.MULT(B2:B380)</f>
        <v>0.77083333333333337</v>
      </c>
      <c r="P383" s="2">
        <f>MIN(P2:P380)</f>
        <v>-16.978883921443398</v>
      </c>
    </row>
    <row r="384" spans="1:17" x14ac:dyDescent="0.4">
      <c r="B384" s="1">
        <v>0.95833333333333337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F5C2A-F7BC-49A1-BAFA-78DE3123D262}">
  <dimension ref="A1:Q1113"/>
  <sheetViews>
    <sheetView zoomScale="85" zoomScaleNormal="85" workbookViewId="0">
      <selection activeCell="P1114" sqref="P1114"/>
    </sheetView>
  </sheetViews>
  <sheetFormatPr defaultRowHeight="18.75" x14ac:dyDescent="0.4"/>
  <cols>
    <col min="1" max="1" width="10" bestFit="1" customWidth="1"/>
    <col min="2" max="2" width="11" bestFit="1" customWidth="1"/>
    <col min="3" max="3" width="8.625" bestFit="1" customWidth="1"/>
    <col min="5" max="6" width="9.625" bestFit="1" customWidth="1"/>
    <col min="7" max="7" width="8.625" bestFit="1" customWidth="1"/>
    <col min="9" max="10" width="8.625" bestFit="1" customWidth="1"/>
    <col min="12" max="12" width="7.625" bestFit="1" customWidth="1"/>
    <col min="13" max="13" width="25.75" bestFit="1" customWidth="1"/>
    <col min="14" max="14" width="25" bestFit="1" customWidth="1"/>
    <col min="15" max="15" width="12.5" bestFit="1" customWidth="1"/>
    <col min="16" max="16" width="18.5" bestFit="1" customWidth="1"/>
    <col min="17" max="17" width="15.5" bestFit="1" customWidth="1"/>
  </cols>
  <sheetData>
    <row r="1" spans="1:1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">
      <c r="A2" cm="1">
        <f t="array" ref="A2:Q1110">_xlfn._xlws.FILTER('8月全国の電力取引データ'!A2:Q1489,'8月全国の電力取引データ'!P2:P1489&gt;0,"")</f>
        <v>20210801</v>
      </c>
      <c r="B2" s="1">
        <v>0</v>
      </c>
      <c r="C2">
        <v>15532</v>
      </c>
      <c r="D2">
        <v>-26679</v>
      </c>
      <c r="E2">
        <v>-33793</v>
      </c>
      <c r="F2">
        <v>210874</v>
      </c>
      <c r="G2">
        <v>-13087</v>
      </c>
      <c r="H2">
        <v>210470</v>
      </c>
      <c r="I2">
        <v>-89236</v>
      </c>
      <c r="J2">
        <v>-17860</v>
      </c>
      <c r="K2">
        <v>-110700</v>
      </c>
      <c r="L2">
        <v>-50207</v>
      </c>
      <c r="M2">
        <v>6.93</v>
      </c>
      <c r="N2">
        <v>95314</v>
      </c>
      <c r="O2">
        <v>17655400</v>
      </c>
      <c r="P2" s="2">
        <v>0.53985749402449112</v>
      </c>
      <c r="Q2" s="4">
        <v>12.2351922</v>
      </c>
    </row>
    <row r="3" spans="1:17" x14ac:dyDescent="0.4">
      <c r="A3">
        <v>20210801</v>
      </c>
      <c r="B3" s="1">
        <v>2.0833333333333332E-2</v>
      </c>
      <c r="C3">
        <v>13765</v>
      </c>
      <c r="D3">
        <v>8553</v>
      </c>
      <c r="E3">
        <v>-121859</v>
      </c>
      <c r="F3">
        <v>243887</v>
      </c>
      <c r="G3">
        <v>10507</v>
      </c>
      <c r="H3">
        <v>190937</v>
      </c>
      <c r="I3">
        <v>-90586</v>
      </c>
      <c r="J3">
        <v>-23970</v>
      </c>
      <c r="K3">
        <v>-93444</v>
      </c>
      <c r="L3">
        <v>-46398</v>
      </c>
      <c r="M3">
        <v>6.93</v>
      </c>
      <c r="N3">
        <v>91392</v>
      </c>
      <c r="O3">
        <v>18958700</v>
      </c>
      <c r="P3" s="2">
        <v>0.48205836898099552</v>
      </c>
      <c r="Q3" s="4">
        <v>13.1383791</v>
      </c>
    </row>
    <row r="4" spans="1:17" x14ac:dyDescent="0.4">
      <c r="A4">
        <v>20210801</v>
      </c>
      <c r="B4" s="1">
        <v>4.1666666666666664E-2</v>
      </c>
      <c r="C4">
        <v>40699</v>
      </c>
      <c r="D4">
        <v>-45666</v>
      </c>
      <c r="E4">
        <v>-152555</v>
      </c>
      <c r="F4">
        <v>236714</v>
      </c>
      <c r="G4">
        <v>10703</v>
      </c>
      <c r="H4">
        <v>199471</v>
      </c>
      <c r="I4">
        <v>-44477</v>
      </c>
      <c r="J4">
        <v>-10904</v>
      </c>
      <c r="K4">
        <v>-59007</v>
      </c>
      <c r="L4">
        <v>-41214</v>
      </c>
      <c r="M4">
        <v>7.03</v>
      </c>
      <c r="N4">
        <v>133764</v>
      </c>
      <c r="O4">
        <v>19205250</v>
      </c>
      <c r="P4" s="2">
        <v>0.69649705158745656</v>
      </c>
      <c r="Q4" s="4">
        <v>13.501290750000001</v>
      </c>
    </row>
    <row r="5" spans="1:17" x14ac:dyDescent="0.4">
      <c r="A5">
        <v>20210801</v>
      </c>
      <c r="B5" s="1">
        <v>6.25E-2</v>
      </c>
      <c r="C5">
        <v>43710</v>
      </c>
      <c r="D5">
        <v>-47171</v>
      </c>
      <c r="E5">
        <v>5069</v>
      </c>
      <c r="F5">
        <v>225977</v>
      </c>
      <c r="G5">
        <v>-2754</v>
      </c>
      <c r="H5">
        <v>156520</v>
      </c>
      <c r="I5">
        <v>-22997</v>
      </c>
      <c r="J5">
        <v>-16464</v>
      </c>
      <c r="K5">
        <v>-36193</v>
      </c>
      <c r="L5">
        <v>-42234</v>
      </c>
      <c r="M5">
        <v>6.99</v>
      </c>
      <c r="N5">
        <v>263463</v>
      </c>
      <c r="O5">
        <v>19286800</v>
      </c>
      <c r="P5" s="2">
        <v>1.3660275421531825</v>
      </c>
      <c r="Q5" s="4">
        <v>13.4814732</v>
      </c>
    </row>
    <row r="6" spans="1:17" x14ac:dyDescent="0.4">
      <c r="A6">
        <v>20210801</v>
      </c>
      <c r="B6" s="1">
        <v>8.3333333333333329E-2</v>
      </c>
      <c r="C6">
        <v>34667</v>
      </c>
      <c r="D6">
        <v>-60448</v>
      </c>
      <c r="E6">
        <v>-99797</v>
      </c>
      <c r="F6">
        <v>250335</v>
      </c>
      <c r="G6">
        <v>12366</v>
      </c>
      <c r="H6">
        <v>130315</v>
      </c>
      <c r="I6">
        <v>-6157</v>
      </c>
      <c r="J6">
        <v>-6901</v>
      </c>
      <c r="K6">
        <v>-82360</v>
      </c>
      <c r="L6">
        <v>-36874</v>
      </c>
      <c r="M6">
        <v>6.72</v>
      </c>
      <c r="N6">
        <v>135146</v>
      </c>
      <c r="O6">
        <v>19354300</v>
      </c>
      <c r="P6" s="2">
        <v>0.69827376861989321</v>
      </c>
      <c r="Q6" s="4">
        <v>13.006089599999999</v>
      </c>
    </row>
    <row r="7" spans="1:17" x14ac:dyDescent="0.4">
      <c r="A7">
        <v>20210801</v>
      </c>
      <c r="B7" s="1">
        <v>0.10416666666666667</v>
      </c>
      <c r="C7">
        <v>95393</v>
      </c>
      <c r="D7">
        <v>-46171</v>
      </c>
      <c r="E7">
        <v>-7859</v>
      </c>
      <c r="F7">
        <v>282793</v>
      </c>
      <c r="G7">
        <v>-210</v>
      </c>
      <c r="H7">
        <v>82810</v>
      </c>
      <c r="I7">
        <v>-39216</v>
      </c>
      <c r="J7">
        <v>-7439</v>
      </c>
      <c r="K7">
        <v>-76289</v>
      </c>
      <c r="L7">
        <v>-46219</v>
      </c>
      <c r="M7">
        <v>6.64</v>
      </c>
      <c r="N7">
        <v>237593</v>
      </c>
      <c r="O7">
        <v>19478100</v>
      </c>
      <c r="P7" s="2">
        <v>1.2197955652758738</v>
      </c>
      <c r="Q7" s="4">
        <v>12.933458399999999</v>
      </c>
    </row>
    <row r="8" spans="1:17" x14ac:dyDescent="0.4">
      <c r="A8">
        <v>20210801</v>
      </c>
      <c r="B8" s="1">
        <v>0.125</v>
      </c>
      <c r="C8">
        <v>50620</v>
      </c>
      <c r="D8">
        <v>-63868</v>
      </c>
      <c r="E8">
        <v>-100555</v>
      </c>
      <c r="F8">
        <v>220451</v>
      </c>
      <c r="G8">
        <v>9310</v>
      </c>
      <c r="H8">
        <v>124574</v>
      </c>
      <c r="I8">
        <v>-35978</v>
      </c>
      <c r="J8">
        <v>5124</v>
      </c>
      <c r="K8">
        <v>-78296</v>
      </c>
      <c r="L8">
        <v>-41617</v>
      </c>
      <c r="M8">
        <v>6.78</v>
      </c>
      <c r="N8">
        <v>89765</v>
      </c>
      <c r="O8">
        <v>19630600</v>
      </c>
      <c r="P8" s="2">
        <v>0.45727079151936262</v>
      </c>
      <c r="Q8" s="4">
        <v>13.3095468</v>
      </c>
    </row>
    <row r="9" spans="1:17" x14ac:dyDescent="0.4">
      <c r="A9">
        <v>20210801</v>
      </c>
      <c r="B9" s="1">
        <v>0.14583333333333334</v>
      </c>
      <c r="C9">
        <v>29282</v>
      </c>
      <c r="D9">
        <v>-42491</v>
      </c>
      <c r="E9">
        <v>-6132</v>
      </c>
      <c r="F9">
        <v>230161</v>
      </c>
      <c r="G9">
        <v>26846</v>
      </c>
      <c r="H9">
        <v>122642</v>
      </c>
      <c r="I9">
        <v>23671</v>
      </c>
      <c r="J9">
        <v>21113</v>
      </c>
      <c r="K9">
        <v>-20359</v>
      </c>
      <c r="L9">
        <v>-40148</v>
      </c>
      <c r="M9">
        <v>6.72</v>
      </c>
      <c r="N9">
        <v>344585</v>
      </c>
      <c r="O9">
        <v>19671400</v>
      </c>
      <c r="P9" s="2">
        <v>1.7517055217218906</v>
      </c>
      <c r="Q9" s="4">
        <v>13.2191808</v>
      </c>
    </row>
    <row r="10" spans="1:17" x14ac:dyDescent="0.4">
      <c r="A10">
        <v>20210801</v>
      </c>
      <c r="B10" s="1">
        <v>0.16666666666666666</v>
      </c>
      <c r="C10">
        <v>53859</v>
      </c>
      <c r="D10">
        <v>-55393</v>
      </c>
      <c r="E10">
        <v>-7903</v>
      </c>
      <c r="F10">
        <v>42878</v>
      </c>
      <c r="G10">
        <v>30778</v>
      </c>
      <c r="H10">
        <v>203201</v>
      </c>
      <c r="I10">
        <v>22149</v>
      </c>
      <c r="J10">
        <v>50012</v>
      </c>
      <c r="K10">
        <v>-23002</v>
      </c>
      <c r="L10">
        <v>-37405</v>
      </c>
      <c r="M10">
        <v>6.77</v>
      </c>
      <c r="N10">
        <v>279174</v>
      </c>
      <c r="O10">
        <v>19693950</v>
      </c>
      <c r="P10" s="2">
        <v>1.4175622462736017</v>
      </c>
      <c r="Q10" s="4">
        <v>13.332804149999998</v>
      </c>
    </row>
    <row r="11" spans="1:17" x14ac:dyDescent="0.4">
      <c r="A11">
        <v>20210801</v>
      </c>
      <c r="B11" s="1">
        <v>0.1875</v>
      </c>
      <c r="C11">
        <v>20961</v>
      </c>
      <c r="D11">
        <v>-21574</v>
      </c>
      <c r="E11">
        <v>32411</v>
      </c>
      <c r="F11">
        <v>50284</v>
      </c>
      <c r="G11">
        <v>5676</v>
      </c>
      <c r="H11">
        <v>129662</v>
      </c>
      <c r="I11">
        <v>-23372</v>
      </c>
      <c r="J11">
        <v>30798</v>
      </c>
      <c r="K11">
        <v>73523</v>
      </c>
      <c r="L11">
        <v>-43755</v>
      </c>
      <c r="M11">
        <v>6.77</v>
      </c>
      <c r="N11">
        <v>254614</v>
      </c>
      <c r="O11">
        <v>19808300</v>
      </c>
      <c r="P11" s="2">
        <v>1.2853904676322552</v>
      </c>
      <c r="Q11" s="4">
        <v>13.410219099999999</v>
      </c>
    </row>
    <row r="12" spans="1:17" x14ac:dyDescent="0.4">
      <c r="A12">
        <v>20210801</v>
      </c>
      <c r="B12" s="1">
        <v>0.20833333333333334</v>
      </c>
      <c r="C12">
        <v>44954</v>
      </c>
      <c r="D12">
        <v>39060</v>
      </c>
      <c r="E12">
        <v>-110005</v>
      </c>
      <c r="F12">
        <v>27209</v>
      </c>
      <c r="G12">
        <v>-8791</v>
      </c>
      <c r="H12">
        <v>98854</v>
      </c>
      <c r="I12">
        <v>-4221</v>
      </c>
      <c r="J12">
        <v>30755</v>
      </c>
      <c r="K12">
        <v>5202</v>
      </c>
      <c r="L12">
        <v>-42462</v>
      </c>
      <c r="M12">
        <v>6.77</v>
      </c>
      <c r="N12">
        <v>80555</v>
      </c>
      <c r="O12">
        <v>19812950</v>
      </c>
      <c r="P12" s="2">
        <v>0.4065775162204518</v>
      </c>
      <c r="Q12" s="4">
        <v>13.413367149999999</v>
      </c>
    </row>
    <row r="13" spans="1:17" x14ac:dyDescent="0.4">
      <c r="A13">
        <v>20210801</v>
      </c>
      <c r="B13" s="1">
        <v>0.22916666666666666</v>
      </c>
      <c r="C13">
        <v>-12639</v>
      </c>
      <c r="D13">
        <v>115350</v>
      </c>
      <c r="E13">
        <v>292527</v>
      </c>
      <c r="F13">
        <v>73221</v>
      </c>
      <c r="G13">
        <v>9436</v>
      </c>
      <c r="H13">
        <v>110068</v>
      </c>
      <c r="I13">
        <v>-1184</v>
      </c>
      <c r="J13">
        <v>13719</v>
      </c>
      <c r="K13">
        <v>-29512</v>
      </c>
      <c r="L13">
        <v>-41661</v>
      </c>
      <c r="M13">
        <v>6.6</v>
      </c>
      <c r="N13">
        <v>529325</v>
      </c>
      <c r="O13">
        <v>19937100</v>
      </c>
      <c r="P13" s="2">
        <v>2.654974896048071</v>
      </c>
      <c r="Q13" s="4">
        <v>13.158486</v>
      </c>
    </row>
    <row r="14" spans="1:17" x14ac:dyDescent="0.4">
      <c r="A14">
        <v>20210801</v>
      </c>
      <c r="B14" s="1">
        <v>0.25</v>
      </c>
      <c r="C14">
        <v>-10985</v>
      </c>
      <c r="D14">
        <v>177670</v>
      </c>
      <c r="E14">
        <v>77890</v>
      </c>
      <c r="F14">
        <v>28840</v>
      </c>
      <c r="G14">
        <v>10269</v>
      </c>
      <c r="H14">
        <v>58511</v>
      </c>
      <c r="I14">
        <v>87364</v>
      </c>
      <c r="J14">
        <v>11226</v>
      </c>
      <c r="K14">
        <v>-107933</v>
      </c>
      <c r="L14">
        <v>-43681</v>
      </c>
      <c r="M14">
        <v>6.45</v>
      </c>
      <c r="N14">
        <v>289171</v>
      </c>
      <c r="O14">
        <v>19844000</v>
      </c>
      <c r="P14" s="2">
        <v>1.4572213263454949</v>
      </c>
      <c r="Q14" s="4">
        <v>12.799379999999999</v>
      </c>
    </row>
    <row r="15" spans="1:17" x14ac:dyDescent="0.4">
      <c r="A15">
        <v>20210801</v>
      </c>
      <c r="B15" s="1">
        <v>0.27083333333333331</v>
      </c>
      <c r="C15">
        <v>7457</v>
      </c>
      <c r="D15">
        <v>296590</v>
      </c>
      <c r="E15">
        <v>662476</v>
      </c>
      <c r="F15">
        <v>48279</v>
      </c>
      <c r="G15">
        <v>-6332</v>
      </c>
      <c r="H15">
        <v>31267</v>
      </c>
      <c r="I15">
        <v>224312</v>
      </c>
      <c r="J15">
        <v>8388</v>
      </c>
      <c r="K15">
        <v>-228477</v>
      </c>
      <c r="L15">
        <v>-47352</v>
      </c>
      <c r="M15">
        <v>6.45</v>
      </c>
      <c r="N15">
        <v>996608</v>
      </c>
      <c r="O15">
        <v>20183800</v>
      </c>
      <c r="P15" s="2">
        <v>4.9376628781498031</v>
      </c>
      <c r="Q15" s="4">
        <v>13.018551</v>
      </c>
    </row>
    <row r="16" spans="1:17" x14ac:dyDescent="0.4">
      <c r="A16">
        <v>20210801</v>
      </c>
      <c r="B16" s="1">
        <v>0.29166666666666669</v>
      </c>
      <c r="C16">
        <v>-17446</v>
      </c>
      <c r="D16">
        <v>402173</v>
      </c>
      <c r="E16">
        <v>558734</v>
      </c>
      <c r="F16">
        <v>-8664</v>
      </c>
      <c r="G16">
        <v>-19854</v>
      </c>
      <c r="H16">
        <v>65511</v>
      </c>
      <c r="I16">
        <v>292083</v>
      </c>
      <c r="J16">
        <v>38524</v>
      </c>
      <c r="K16">
        <v>-378919</v>
      </c>
      <c r="L16">
        <v>-37757</v>
      </c>
      <c r="M16">
        <v>6.33</v>
      </c>
      <c r="N16">
        <v>894385</v>
      </c>
      <c r="O16">
        <v>20648150</v>
      </c>
      <c r="P16" s="2">
        <v>4.3315502841658935</v>
      </c>
      <c r="Q16" s="4">
        <v>13.070278950000001</v>
      </c>
    </row>
    <row r="17" spans="1:17" x14ac:dyDescent="0.4">
      <c r="A17">
        <v>20210801</v>
      </c>
      <c r="B17" s="1">
        <v>0.3125</v>
      </c>
      <c r="C17">
        <v>-28851</v>
      </c>
      <c r="D17">
        <v>509884</v>
      </c>
      <c r="E17">
        <v>999224</v>
      </c>
      <c r="F17">
        <v>43190</v>
      </c>
      <c r="G17">
        <v>21010</v>
      </c>
      <c r="H17">
        <v>80202</v>
      </c>
      <c r="I17">
        <v>441912</v>
      </c>
      <c r="J17">
        <v>102728</v>
      </c>
      <c r="K17">
        <v>-543720</v>
      </c>
      <c r="L17">
        <v>-46136</v>
      </c>
      <c r="M17">
        <v>6.48</v>
      </c>
      <c r="N17">
        <v>1579443</v>
      </c>
      <c r="O17">
        <v>21270700</v>
      </c>
      <c r="P17" s="2">
        <v>7.4254396893379155</v>
      </c>
      <c r="Q17" s="4">
        <v>13.783413599999999</v>
      </c>
    </row>
    <row r="18" spans="1:17" x14ac:dyDescent="0.4">
      <c r="A18">
        <v>20210801</v>
      </c>
      <c r="B18" s="1">
        <v>0.33333333333333331</v>
      </c>
      <c r="C18">
        <v>-34378</v>
      </c>
      <c r="D18">
        <v>435225</v>
      </c>
      <c r="E18">
        <v>212331</v>
      </c>
      <c r="F18">
        <v>161624</v>
      </c>
      <c r="G18">
        <v>82525</v>
      </c>
      <c r="H18">
        <v>133925</v>
      </c>
      <c r="I18">
        <v>84545</v>
      </c>
      <c r="J18">
        <v>140183</v>
      </c>
      <c r="K18">
        <v>-617188</v>
      </c>
      <c r="L18">
        <v>-34092</v>
      </c>
      <c r="M18">
        <v>6.49</v>
      </c>
      <c r="N18">
        <v>564700</v>
      </c>
      <c r="O18">
        <v>21859100</v>
      </c>
      <c r="P18" s="2">
        <v>2.5833634504622789</v>
      </c>
      <c r="Q18" s="4">
        <v>14.1865559</v>
      </c>
    </row>
    <row r="19" spans="1:17" x14ac:dyDescent="0.4">
      <c r="A19">
        <v>20210801</v>
      </c>
      <c r="B19" s="1">
        <v>0.35416666666666669</v>
      </c>
      <c r="C19">
        <v>-2655</v>
      </c>
      <c r="D19">
        <v>443342</v>
      </c>
      <c r="E19">
        <v>526844</v>
      </c>
      <c r="F19">
        <v>282448</v>
      </c>
      <c r="G19">
        <v>40505</v>
      </c>
      <c r="H19">
        <v>110372</v>
      </c>
      <c r="I19">
        <v>135995</v>
      </c>
      <c r="J19">
        <v>156328</v>
      </c>
      <c r="K19">
        <v>-688292</v>
      </c>
      <c r="L19">
        <v>-48991</v>
      </c>
      <c r="M19">
        <v>6.45</v>
      </c>
      <c r="N19">
        <v>955896</v>
      </c>
      <c r="O19">
        <v>22280600</v>
      </c>
      <c r="P19" s="2">
        <v>4.2902614830839383</v>
      </c>
      <c r="Q19" s="4">
        <v>14.370987</v>
      </c>
    </row>
    <row r="20" spans="1:17" x14ac:dyDescent="0.4">
      <c r="A20">
        <v>20210801</v>
      </c>
      <c r="B20" s="1">
        <v>0.375</v>
      </c>
      <c r="C20">
        <v>-32268</v>
      </c>
      <c r="D20">
        <v>385856</v>
      </c>
      <c r="E20">
        <v>-60700</v>
      </c>
      <c r="F20">
        <v>452420</v>
      </c>
      <c r="G20">
        <v>93164</v>
      </c>
      <c r="H20">
        <v>43215</v>
      </c>
      <c r="I20">
        <v>201920</v>
      </c>
      <c r="J20">
        <v>151425</v>
      </c>
      <c r="K20">
        <v>-598216</v>
      </c>
      <c r="L20">
        <v>-19041</v>
      </c>
      <c r="M20">
        <v>6.64</v>
      </c>
      <c r="N20">
        <v>617775</v>
      </c>
      <c r="O20">
        <v>22607000</v>
      </c>
      <c r="P20" s="2">
        <v>2.7326712965010835</v>
      </c>
      <c r="Q20" s="4">
        <v>15.011048000000001</v>
      </c>
    </row>
    <row r="21" spans="1:17" x14ac:dyDescent="0.4">
      <c r="A21">
        <v>20210801</v>
      </c>
      <c r="B21" s="1">
        <v>0.39583333333333331</v>
      </c>
      <c r="C21">
        <v>-33867</v>
      </c>
      <c r="D21">
        <v>379460</v>
      </c>
      <c r="E21">
        <v>41409</v>
      </c>
      <c r="F21">
        <v>461133</v>
      </c>
      <c r="G21">
        <v>98592</v>
      </c>
      <c r="H21">
        <v>208498</v>
      </c>
      <c r="I21">
        <v>260687</v>
      </c>
      <c r="J21">
        <v>156399</v>
      </c>
      <c r="K21">
        <v>-395871</v>
      </c>
      <c r="L21">
        <v>-21961</v>
      </c>
      <c r="M21">
        <v>6.86</v>
      </c>
      <c r="N21">
        <v>1154479</v>
      </c>
      <c r="O21">
        <v>22793750</v>
      </c>
      <c r="P21" s="2">
        <v>5.0648927885933643</v>
      </c>
      <c r="Q21" s="4">
        <v>15.6365125</v>
      </c>
    </row>
    <row r="22" spans="1:17" x14ac:dyDescent="0.4">
      <c r="A22">
        <v>20210801</v>
      </c>
      <c r="B22" s="1">
        <v>0.41666666666666702</v>
      </c>
      <c r="C22">
        <v>-47269</v>
      </c>
      <c r="D22">
        <v>288527</v>
      </c>
      <c r="E22">
        <v>-128927</v>
      </c>
      <c r="F22">
        <v>578136</v>
      </c>
      <c r="G22">
        <v>106463</v>
      </c>
      <c r="H22">
        <v>121970</v>
      </c>
      <c r="I22">
        <v>358283</v>
      </c>
      <c r="J22">
        <v>196397</v>
      </c>
      <c r="K22">
        <v>-207222</v>
      </c>
      <c r="L22">
        <v>-28492</v>
      </c>
      <c r="M22">
        <v>6.92</v>
      </c>
      <c r="N22">
        <v>1237866</v>
      </c>
      <c r="O22">
        <v>23239550</v>
      </c>
      <c r="P22" s="2">
        <v>5.3265489219885929</v>
      </c>
      <c r="Q22" s="4">
        <v>16.0817686</v>
      </c>
    </row>
    <row r="23" spans="1:17" x14ac:dyDescent="0.4">
      <c r="A23">
        <v>20210801</v>
      </c>
      <c r="B23" s="1">
        <v>0.4375</v>
      </c>
      <c r="C23">
        <v>84481</v>
      </c>
      <c r="D23">
        <v>227765</v>
      </c>
      <c r="E23">
        <v>231594</v>
      </c>
      <c r="F23">
        <v>603095</v>
      </c>
      <c r="G23">
        <v>114636</v>
      </c>
      <c r="H23">
        <v>135684</v>
      </c>
      <c r="I23">
        <v>328888</v>
      </c>
      <c r="J23">
        <v>212545</v>
      </c>
      <c r="K23">
        <v>49061</v>
      </c>
      <c r="L23">
        <v>-35896</v>
      </c>
      <c r="M23">
        <v>6.92</v>
      </c>
      <c r="N23">
        <v>1951853</v>
      </c>
      <c r="O23">
        <v>23331400</v>
      </c>
      <c r="P23" s="2">
        <v>8.3657774501315831</v>
      </c>
      <c r="Q23" s="4">
        <v>16.145328800000001</v>
      </c>
    </row>
    <row r="24" spans="1:17" x14ac:dyDescent="0.4">
      <c r="A24">
        <v>20210801</v>
      </c>
      <c r="B24" s="1">
        <v>0.45833333333333331</v>
      </c>
      <c r="C24">
        <v>6947</v>
      </c>
      <c r="D24">
        <v>176200</v>
      </c>
      <c r="E24">
        <v>167566</v>
      </c>
      <c r="F24">
        <v>632852</v>
      </c>
      <c r="G24">
        <v>108975</v>
      </c>
      <c r="H24">
        <v>-35495</v>
      </c>
      <c r="I24">
        <v>361279</v>
      </c>
      <c r="J24">
        <v>193198</v>
      </c>
      <c r="K24">
        <v>283850</v>
      </c>
      <c r="L24">
        <v>-30061</v>
      </c>
      <c r="M24">
        <v>6.99</v>
      </c>
      <c r="N24">
        <v>1865311</v>
      </c>
      <c r="O24">
        <v>23482850</v>
      </c>
      <c r="P24" s="2">
        <v>7.9432905290456652</v>
      </c>
      <c r="Q24" s="4">
        <v>16.41451215</v>
      </c>
    </row>
    <row r="25" spans="1:17" x14ac:dyDescent="0.4">
      <c r="A25">
        <v>20210801</v>
      </c>
      <c r="B25" s="1">
        <v>0.47916666666666669</v>
      </c>
      <c r="C25">
        <v>4577</v>
      </c>
      <c r="D25">
        <v>145686</v>
      </c>
      <c r="E25">
        <v>29841</v>
      </c>
      <c r="F25">
        <v>565297</v>
      </c>
      <c r="G25">
        <v>141791</v>
      </c>
      <c r="H25">
        <v>-143991</v>
      </c>
      <c r="I25">
        <v>357910</v>
      </c>
      <c r="J25">
        <v>160985</v>
      </c>
      <c r="K25">
        <v>509954</v>
      </c>
      <c r="L25">
        <v>-31983</v>
      </c>
      <c r="M25">
        <v>6.99</v>
      </c>
      <c r="N25">
        <v>1740067</v>
      </c>
      <c r="O25">
        <v>23658950</v>
      </c>
      <c r="P25" s="2">
        <v>7.3547938517981564</v>
      </c>
      <c r="Q25" s="4">
        <v>16.537606050000001</v>
      </c>
    </row>
    <row r="26" spans="1:17" x14ac:dyDescent="0.4">
      <c r="A26">
        <v>20210801</v>
      </c>
      <c r="B26" s="1">
        <v>0.5</v>
      </c>
      <c r="C26">
        <v>53747</v>
      </c>
      <c r="D26">
        <v>245285</v>
      </c>
      <c r="E26">
        <v>-103007</v>
      </c>
      <c r="F26">
        <v>354168</v>
      </c>
      <c r="G26">
        <v>127001</v>
      </c>
      <c r="H26">
        <v>-166738</v>
      </c>
      <c r="I26">
        <v>357669</v>
      </c>
      <c r="J26">
        <v>127168</v>
      </c>
      <c r="K26">
        <v>762628</v>
      </c>
      <c r="L26">
        <v>-20188</v>
      </c>
      <c r="M26">
        <v>7.23</v>
      </c>
      <c r="N26">
        <v>1737733</v>
      </c>
      <c r="O26">
        <v>23236550</v>
      </c>
      <c r="P26" s="2">
        <v>7.4784466713001718</v>
      </c>
      <c r="Q26" s="4">
        <v>16.800025649999998</v>
      </c>
    </row>
    <row r="27" spans="1:17" x14ac:dyDescent="0.4">
      <c r="A27">
        <v>20210801</v>
      </c>
      <c r="B27" s="1">
        <v>0.52083333333333337</v>
      </c>
      <c r="C27">
        <v>48928</v>
      </c>
      <c r="D27">
        <v>375241</v>
      </c>
      <c r="E27">
        <v>-166399</v>
      </c>
      <c r="F27">
        <v>305022</v>
      </c>
      <c r="G27">
        <v>134336</v>
      </c>
      <c r="H27">
        <v>-308355</v>
      </c>
      <c r="I27">
        <v>397453</v>
      </c>
      <c r="J27">
        <v>95197</v>
      </c>
      <c r="K27">
        <v>989149</v>
      </c>
      <c r="L27">
        <v>-20847</v>
      </c>
      <c r="M27">
        <v>7.46</v>
      </c>
      <c r="N27">
        <v>1849725</v>
      </c>
      <c r="O27">
        <v>22936500</v>
      </c>
      <c r="P27" s="2">
        <v>8.0645477731999211</v>
      </c>
      <c r="Q27" s="4">
        <v>17.110628999999999</v>
      </c>
    </row>
    <row r="28" spans="1:17" x14ac:dyDescent="0.4">
      <c r="A28">
        <v>20210801</v>
      </c>
      <c r="B28" s="1">
        <v>0.54166666666666663</v>
      </c>
      <c r="C28">
        <v>62258</v>
      </c>
      <c r="D28">
        <v>407053</v>
      </c>
      <c r="E28">
        <v>402567</v>
      </c>
      <c r="F28">
        <v>163127</v>
      </c>
      <c r="G28">
        <v>116591</v>
      </c>
      <c r="H28">
        <v>-261833</v>
      </c>
      <c r="I28">
        <v>364111</v>
      </c>
      <c r="J28">
        <v>87111</v>
      </c>
      <c r="K28">
        <v>1112817</v>
      </c>
      <c r="L28">
        <v>-16827</v>
      </c>
      <c r="M28">
        <v>8.86</v>
      </c>
      <c r="N28">
        <v>2436975</v>
      </c>
      <c r="O28">
        <v>22399100</v>
      </c>
      <c r="P28" s="2">
        <v>10.879789812983557</v>
      </c>
      <c r="Q28" s="4">
        <v>19.845602599999999</v>
      </c>
    </row>
    <row r="29" spans="1:17" x14ac:dyDescent="0.4">
      <c r="A29">
        <v>20210801</v>
      </c>
      <c r="B29" s="1">
        <v>0.5625</v>
      </c>
      <c r="C29">
        <v>64705</v>
      </c>
      <c r="D29">
        <v>236538</v>
      </c>
      <c r="E29">
        <v>-58709</v>
      </c>
      <c r="F29">
        <v>226852</v>
      </c>
      <c r="G29">
        <v>136501</v>
      </c>
      <c r="H29">
        <v>-340620</v>
      </c>
      <c r="I29">
        <v>391814</v>
      </c>
      <c r="J29">
        <v>81922</v>
      </c>
      <c r="K29">
        <v>1268927</v>
      </c>
      <c r="L29">
        <v>-29703</v>
      </c>
      <c r="M29">
        <v>8.19</v>
      </c>
      <c r="N29">
        <v>1978227</v>
      </c>
      <c r="O29">
        <v>22919300</v>
      </c>
      <c r="P29" s="2">
        <v>8.6312714611702805</v>
      </c>
      <c r="Q29" s="4">
        <v>18.770906700000001</v>
      </c>
    </row>
    <row r="30" spans="1:17" x14ac:dyDescent="0.4">
      <c r="A30">
        <v>20210801</v>
      </c>
      <c r="B30" s="1">
        <v>0.58333333333333337</v>
      </c>
      <c r="C30">
        <v>100381</v>
      </c>
      <c r="D30">
        <v>254229</v>
      </c>
      <c r="E30">
        <v>420549</v>
      </c>
      <c r="F30">
        <v>273965</v>
      </c>
      <c r="G30">
        <v>137682</v>
      </c>
      <c r="H30">
        <v>-143025</v>
      </c>
      <c r="I30">
        <v>356597</v>
      </c>
      <c r="J30">
        <v>39103</v>
      </c>
      <c r="K30">
        <v>1206885</v>
      </c>
      <c r="L30">
        <v>-12474</v>
      </c>
      <c r="M30">
        <v>8.86</v>
      </c>
      <c r="N30">
        <v>2633892</v>
      </c>
      <c r="O30">
        <v>22640100</v>
      </c>
      <c r="P30" s="2">
        <v>11.633747200763247</v>
      </c>
      <c r="Q30" s="4">
        <v>20.059128600000001</v>
      </c>
    </row>
    <row r="31" spans="1:17" x14ac:dyDescent="0.4">
      <c r="A31">
        <v>20210801</v>
      </c>
      <c r="B31" s="1">
        <v>0.60416666666666663</v>
      </c>
      <c r="C31">
        <v>102458</v>
      </c>
      <c r="D31">
        <v>150159</v>
      </c>
      <c r="E31">
        <v>-59274</v>
      </c>
      <c r="F31">
        <v>294943</v>
      </c>
      <c r="G31">
        <v>93397</v>
      </c>
      <c r="H31">
        <v>-69286</v>
      </c>
      <c r="I31">
        <v>332504</v>
      </c>
      <c r="J31">
        <v>7666</v>
      </c>
      <c r="K31">
        <v>1185469</v>
      </c>
      <c r="L31">
        <v>-20058</v>
      </c>
      <c r="M31">
        <v>8.86</v>
      </c>
      <c r="N31">
        <v>2017978</v>
      </c>
      <c r="O31">
        <v>22330100</v>
      </c>
      <c r="P31" s="2">
        <v>9.0370307343003393</v>
      </c>
      <c r="Q31" s="4">
        <v>19.7844686</v>
      </c>
    </row>
    <row r="32" spans="1:17" x14ac:dyDescent="0.4">
      <c r="A32">
        <v>20210801</v>
      </c>
      <c r="B32" s="1">
        <v>0.625</v>
      </c>
      <c r="C32">
        <v>144934</v>
      </c>
      <c r="D32">
        <v>67029</v>
      </c>
      <c r="E32">
        <v>275797</v>
      </c>
      <c r="F32">
        <v>121998</v>
      </c>
      <c r="G32">
        <v>67898</v>
      </c>
      <c r="H32">
        <v>16578</v>
      </c>
      <c r="I32">
        <v>385299</v>
      </c>
      <c r="J32">
        <v>-15578</v>
      </c>
      <c r="K32">
        <v>1027700</v>
      </c>
      <c r="L32">
        <v>-22998</v>
      </c>
      <c r="M32">
        <v>8.32</v>
      </c>
      <c r="N32">
        <v>2068657</v>
      </c>
      <c r="O32">
        <v>22026650</v>
      </c>
      <c r="P32" s="2">
        <v>9.391609709147783</v>
      </c>
      <c r="Q32" s="4">
        <v>18.326172799999998</v>
      </c>
    </row>
    <row r="33" spans="1:17" x14ac:dyDescent="0.4">
      <c r="A33">
        <v>20210801</v>
      </c>
      <c r="B33" s="1">
        <v>0.64583333333333337</v>
      </c>
      <c r="C33">
        <v>118830</v>
      </c>
      <c r="D33">
        <v>164760</v>
      </c>
      <c r="E33">
        <v>-276155</v>
      </c>
      <c r="F33">
        <v>-78732</v>
      </c>
      <c r="G33">
        <v>47308</v>
      </c>
      <c r="H33">
        <v>-8031</v>
      </c>
      <c r="I33">
        <v>336741</v>
      </c>
      <c r="J33">
        <v>-33498</v>
      </c>
      <c r="K33">
        <v>808929</v>
      </c>
      <c r="L33">
        <v>-38509</v>
      </c>
      <c r="M33">
        <v>8.64</v>
      </c>
      <c r="N33">
        <v>1041643</v>
      </c>
      <c r="O33">
        <v>21637500</v>
      </c>
      <c r="P33" s="2">
        <v>4.8140635470826112</v>
      </c>
      <c r="Q33" s="4">
        <v>18.694800000000001</v>
      </c>
    </row>
    <row r="34" spans="1:17" x14ac:dyDescent="0.4">
      <c r="A34">
        <v>20210801</v>
      </c>
      <c r="B34" s="1">
        <v>0.66666666666666663</v>
      </c>
      <c r="C34">
        <v>48602</v>
      </c>
      <c r="D34">
        <v>291105</v>
      </c>
      <c r="E34">
        <v>646155</v>
      </c>
      <c r="F34">
        <v>-19726</v>
      </c>
      <c r="G34">
        <v>25549</v>
      </c>
      <c r="H34">
        <v>39107</v>
      </c>
      <c r="I34">
        <v>225781</v>
      </c>
      <c r="J34">
        <v>-93611</v>
      </c>
      <c r="K34">
        <v>493286</v>
      </c>
      <c r="L34">
        <v>-27842</v>
      </c>
      <c r="M34">
        <v>9.56</v>
      </c>
      <c r="N34">
        <v>1628406</v>
      </c>
      <c r="O34">
        <v>22256200</v>
      </c>
      <c r="P34" s="2">
        <v>7.3166398576576412</v>
      </c>
      <c r="Q34" s="4">
        <v>21.276927199999999</v>
      </c>
    </row>
    <row r="35" spans="1:17" x14ac:dyDescent="0.4">
      <c r="A35">
        <v>20210801</v>
      </c>
      <c r="B35" s="1">
        <v>0.6875</v>
      </c>
      <c r="C35">
        <v>175565</v>
      </c>
      <c r="D35">
        <v>345303</v>
      </c>
      <c r="E35">
        <v>-372618</v>
      </c>
      <c r="F35">
        <v>-53745</v>
      </c>
      <c r="G35">
        <v>-1133</v>
      </c>
      <c r="H35">
        <v>153166</v>
      </c>
      <c r="I35">
        <v>90114</v>
      </c>
      <c r="J35">
        <v>-143315</v>
      </c>
      <c r="K35">
        <v>194524</v>
      </c>
      <c r="L35">
        <v>-45427</v>
      </c>
      <c r="M35">
        <v>9.6199999999999992</v>
      </c>
      <c r="N35">
        <v>342434</v>
      </c>
      <c r="O35">
        <v>21575850</v>
      </c>
      <c r="P35" s="2">
        <v>1.5871170776585859</v>
      </c>
      <c r="Q35" s="4">
        <v>20.755967699999996</v>
      </c>
    </row>
    <row r="36" spans="1:17" x14ac:dyDescent="0.4">
      <c r="A36">
        <v>20210801</v>
      </c>
      <c r="B36" s="1">
        <v>0.70833333333333337</v>
      </c>
      <c r="C36">
        <v>118596</v>
      </c>
      <c r="D36">
        <v>276464</v>
      </c>
      <c r="E36">
        <v>374292</v>
      </c>
      <c r="F36">
        <v>-3616</v>
      </c>
      <c r="G36">
        <v>4519</v>
      </c>
      <c r="H36">
        <v>105388</v>
      </c>
      <c r="I36">
        <v>-24690</v>
      </c>
      <c r="J36">
        <v>-194218</v>
      </c>
      <c r="K36">
        <v>17927</v>
      </c>
      <c r="L36">
        <v>-31498</v>
      </c>
      <c r="M36">
        <v>9.81</v>
      </c>
      <c r="N36">
        <v>643164</v>
      </c>
      <c r="O36">
        <v>21389200</v>
      </c>
      <c r="P36" s="2">
        <v>3.006956781927328</v>
      </c>
      <c r="Q36" s="4">
        <v>20.982805200000001</v>
      </c>
    </row>
    <row r="37" spans="1:17" x14ac:dyDescent="0.4">
      <c r="A37">
        <v>20210801</v>
      </c>
      <c r="B37" s="1">
        <v>0.8125</v>
      </c>
      <c r="C37">
        <v>20817</v>
      </c>
      <c r="D37">
        <v>45141</v>
      </c>
      <c r="E37">
        <v>170922</v>
      </c>
      <c r="F37">
        <v>64403</v>
      </c>
      <c r="G37">
        <v>6996</v>
      </c>
      <c r="H37">
        <v>-93058</v>
      </c>
      <c r="I37">
        <v>-42247</v>
      </c>
      <c r="J37">
        <v>-8798</v>
      </c>
      <c r="K37">
        <v>65920</v>
      </c>
      <c r="L37">
        <v>-53073</v>
      </c>
      <c r="M37">
        <v>9.9</v>
      </c>
      <c r="N37">
        <v>177023</v>
      </c>
      <c r="O37">
        <v>20350550</v>
      </c>
      <c r="P37" s="2">
        <v>0.86986838193562332</v>
      </c>
      <c r="Q37" s="4">
        <v>20.1470445</v>
      </c>
    </row>
    <row r="38" spans="1:17" x14ac:dyDescent="0.4">
      <c r="A38">
        <v>20210801</v>
      </c>
      <c r="B38" s="1">
        <v>0.83333333333333337</v>
      </c>
      <c r="C38">
        <v>27584</v>
      </c>
      <c r="D38">
        <v>113869</v>
      </c>
      <c r="E38">
        <v>-209492</v>
      </c>
      <c r="F38">
        <v>187774</v>
      </c>
      <c r="G38">
        <v>16475</v>
      </c>
      <c r="H38">
        <v>-135078</v>
      </c>
      <c r="I38">
        <v>-9751</v>
      </c>
      <c r="J38">
        <v>23408</v>
      </c>
      <c r="K38">
        <v>138781</v>
      </c>
      <c r="L38">
        <v>-44304</v>
      </c>
      <c r="M38">
        <v>9.6300000000000008</v>
      </c>
      <c r="N38">
        <v>109266</v>
      </c>
      <c r="O38">
        <v>20245750</v>
      </c>
      <c r="P38" s="2">
        <v>0.53969845523134485</v>
      </c>
      <c r="Q38" s="4">
        <v>19.496657250000002</v>
      </c>
    </row>
    <row r="39" spans="1:17" x14ac:dyDescent="0.4">
      <c r="A39">
        <v>20210801</v>
      </c>
      <c r="B39" s="1">
        <v>0.85416666666666663</v>
      </c>
      <c r="C39">
        <v>-20291</v>
      </c>
      <c r="D39">
        <v>38536</v>
      </c>
      <c r="E39">
        <v>226051</v>
      </c>
      <c r="F39">
        <v>173839</v>
      </c>
      <c r="G39">
        <v>23548</v>
      </c>
      <c r="H39">
        <v>-285344</v>
      </c>
      <c r="I39">
        <v>-35686</v>
      </c>
      <c r="J39">
        <v>18378</v>
      </c>
      <c r="K39">
        <v>135916</v>
      </c>
      <c r="L39">
        <v>-43534</v>
      </c>
      <c r="M39">
        <v>9.57</v>
      </c>
      <c r="N39">
        <v>231413</v>
      </c>
      <c r="O39">
        <v>20350850</v>
      </c>
      <c r="P39" s="2">
        <v>1.1371171228720176</v>
      </c>
      <c r="Q39" s="4">
        <v>19.475763449999999</v>
      </c>
    </row>
    <row r="40" spans="1:17" x14ac:dyDescent="0.4">
      <c r="A40">
        <v>20210801</v>
      </c>
      <c r="B40" s="1">
        <v>0.875</v>
      </c>
      <c r="C40">
        <v>50984</v>
      </c>
      <c r="D40">
        <v>65873</v>
      </c>
      <c r="E40">
        <v>-78137</v>
      </c>
      <c r="F40">
        <v>221492</v>
      </c>
      <c r="G40">
        <v>43969</v>
      </c>
      <c r="H40">
        <v>-98171</v>
      </c>
      <c r="I40">
        <v>-14262</v>
      </c>
      <c r="J40">
        <v>40651</v>
      </c>
      <c r="K40">
        <v>130359</v>
      </c>
      <c r="L40">
        <v>-39816</v>
      </c>
      <c r="M40">
        <v>8.99</v>
      </c>
      <c r="N40">
        <v>322942</v>
      </c>
      <c r="O40">
        <v>20031600</v>
      </c>
      <c r="P40" s="2">
        <v>1.612162782803171</v>
      </c>
      <c r="Q40" s="4">
        <v>18.0084084</v>
      </c>
    </row>
    <row r="41" spans="1:17" x14ac:dyDescent="0.4">
      <c r="A41">
        <v>20210801</v>
      </c>
      <c r="B41" s="1">
        <v>0.89583333333333337</v>
      </c>
      <c r="C41">
        <v>-38947</v>
      </c>
      <c r="D41">
        <v>33136</v>
      </c>
      <c r="E41">
        <v>16538</v>
      </c>
      <c r="F41">
        <v>230828</v>
      </c>
      <c r="G41">
        <v>31894</v>
      </c>
      <c r="H41">
        <v>-149316</v>
      </c>
      <c r="I41">
        <v>19636</v>
      </c>
      <c r="J41">
        <v>27974</v>
      </c>
      <c r="K41">
        <v>143016</v>
      </c>
      <c r="L41">
        <v>-41730</v>
      </c>
      <c r="M41">
        <v>8.73</v>
      </c>
      <c r="N41">
        <v>273029</v>
      </c>
      <c r="O41">
        <v>19546950</v>
      </c>
      <c r="P41" s="2">
        <v>1.3967856877927247</v>
      </c>
      <c r="Q41" s="4">
        <v>17.06448735</v>
      </c>
    </row>
    <row r="42" spans="1:17" x14ac:dyDescent="0.4">
      <c r="A42">
        <v>20210801</v>
      </c>
      <c r="B42" s="1">
        <v>0.91666666666666663</v>
      </c>
      <c r="C42">
        <v>1157</v>
      </c>
      <c r="D42">
        <v>84839</v>
      </c>
      <c r="E42">
        <v>-55661</v>
      </c>
      <c r="F42">
        <v>227187</v>
      </c>
      <c r="G42">
        <v>31653</v>
      </c>
      <c r="H42">
        <v>106698</v>
      </c>
      <c r="I42">
        <v>-13979</v>
      </c>
      <c r="J42">
        <v>28941</v>
      </c>
      <c r="K42">
        <v>192344</v>
      </c>
      <c r="L42">
        <v>-38509</v>
      </c>
      <c r="M42">
        <v>7.64</v>
      </c>
      <c r="N42">
        <v>564670</v>
      </c>
      <c r="O42">
        <v>19056000</v>
      </c>
      <c r="P42" s="2">
        <v>2.9632136859781695</v>
      </c>
      <c r="Q42" s="4">
        <v>14.558783999999999</v>
      </c>
    </row>
    <row r="43" spans="1:17" x14ac:dyDescent="0.4">
      <c r="A43">
        <v>20210801</v>
      </c>
      <c r="B43" s="1">
        <v>0.9375</v>
      </c>
      <c r="C43">
        <v>-37558</v>
      </c>
      <c r="D43">
        <v>20607</v>
      </c>
      <c r="E43">
        <v>326601</v>
      </c>
      <c r="F43">
        <v>201677</v>
      </c>
      <c r="G43">
        <v>27872</v>
      </c>
      <c r="H43">
        <v>128216</v>
      </c>
      <c r="I43">
        <v>-26670</v>
      </c>
      <c r="J43">
        <v>43508</v>
      </c>
      <c r="K43">
        <v>108969</v>
      </c>
      <c r="L43">
        <v>-29638</v>
      </c>
      <c r="M43">
        <v>7.32</v>
      </c>
      <c r="N43">
        <v>763584</v>
      </c>
      <c r="O43">
        <v>18547450</v>
      </c>
      <c r="P43" s="2">
        <v>4.1169217331762589</v>
      </c>
      <c r="Q43" s="4">
        <v>13.5767334</v>
      </c>
    </row>
    <row r="44" spans="1:17" x14ac:dyDescent="0.4">
      <c r="A44">
        <v>20210801</v>
      </c>
      <c r="B44" s="1">
        <v>0.95833333333333337</v>
      </c>
      <c r="C44">
        <v>-17484</v>
      </c>
      <c r="D44">
        <v>39913</v>
      </c>
      <c r="E44">
        <v>-85520</v>
      </c>
      <c r="F44">
        <v>152385</v>
      </c>
      <c r="G44">
        <v>7155</v>
      </c>
      <c r="H44">
        <v>93529</v>
      </c>
      <c r="I44">
        <v>-79047</v>
      </c>
      <c r="J44">
        <v>50906</v>
      </c>
      <c r="K44">
        <v>116450</v>
      </c>
      <c r="L44">
        <v>-40070</v>
      </c>
      <c r="M44">
        <v>7.29</v>
      </c>
      <c r="N44">
        <v>238217</v>
      </c>
      <c r="O44">
        <v>17925950</v>
      </c>
      <c r="P44" s="2">
        <v>1.3288947029306675</v>
      </c>
      <c r="Q44" s="4">
        <v>13.06801755</v>
      </c>
    </row>
    <row r="45" spans="1:17" x14ac:dyDescent="0.4">
      <c r="A45">
        <v>20210801</v>
      </c>
      <c r="B45" s="1">
        <v>0.97916666666666663</v>
      </c>
      <c r="C45">
        <v>13054</v>
      </c>
      <c r="D45">
        <v>34302</v>
      </c>
      <c r="E45">
        <v>349964</v>
      </c>
      <c r="F45">
        <v>164017</v>
      </c>
      <c r="G45">
        <v>25449</v>
      </c>
      <c r="H45">
        <v>59364</v>
      </c>
      <c r="I45">
        <v>-81881</v>
      </c>
      <c r="J45">
        <v>46776</v>
      </c>
      <c r="K45">
        <v>125385</v>
      </c>
      <c r="L45">
        <v>-37203</v>
      </c>
      <c r="M45">
        <v>7.1</v>
      </c>
      <c r="N45">
        <v>699227</v>
      </c>
      <c r="O45">
        <v>17375850</v>
      </c>
      <c r="P45" s="2">
        <v>4.0241311935818969</v>
      </c>
      <c r="Q45" s="4">
        <v>12.3368535</v>
      </c>
    </row>
    <row r="46" spans="1:17" x14ac:dyDescent="0.4">
      <c r="A46">
        <v>20210802</v>
      </c>
      <c r="B46" s="1">
        <v>0</v>
      </c>
      <c r="C46">
        <v>-29003</v>
      </c>
      <c r="D46">
        <v>48152</v>
      </c>
      <c r="E46">
        <v>87072</v>
      </c>
      <c r="F46">
        <v>134448</v>
      </c>
      <c r="G46">
        <v>11498</v>
      </c>
      <c r="H46">
        <v>52983</v>
      </c>
      <c r="I46">
        <v>-21068</v>
      </c>
      <c r="J46">
        <v>60916</v>
      </c>
      <c r="K46">
        <v>181490</v>
      </c>
      <c r="L46">
        <v>-33867</v>
      </c>
      <c r="M46">
        <v>6.77</v>
      </c>
      <c r="N46">
        <v>492621</v>
      </c>
      <c r="O46">
        <v>18084850</v>
      </c>
      <c r="P46" s="2">
        <v>2.7239429688385584</v>
      </c>
      <c r="Q46" s="4">
        <v>12.243443449999999</v>
      </c>
    </row>
    <row r="47" spans="1:17" x14ac:dyDescent="0.4">
      <c r="A47">
        <v>20210802</v>
      </c>
      <c r="B47" s="1">
        <v>2.0833333333333332E-2</v>
      </c>
      <c r="C47">
        <v>-8309</v>
      </c>
      <c r="D47">
        <v>9319</v>
      </c>
      <c r="E47">
        <v>219658</v>
      </c>
      <c r="F47">
        <v>122374</v>
      </c>
      <c r="G47">
        <v>-38571</v>
      </c>
      <c r="H47">
        <v>4665</v>
      </c>
      <c r="I47">
        <v>15802</v>
      </c>
      <c r="J47">
        <v>50503</v>
      </c>
      <c r="K47">
        <v>137443</v>
      </c>
      <c r="L47">
        <v>-36513</v>
      </c>
      <c r="M47">
        <v>6.81</v>
      </c>
      <c r="N47">
        <v>476371</v>
      </c>
      <c r="O47">
        <v>19075800</v>
      </c>
      <c r="P47" s="2">
        <v>2.4972530640916766</v>
      </c>
      <c r="Q47" s="4">
        <v>12.990619799999999</v>
      </c>
    </row>
    <row r="48" spans="1:17" x14ac:dyDescent="0.4">
      <c r="A48">
        <v>20210802</v>
      </c>
      <c r="B48" s="1">
        <v>4.1666666666666664E-2</v>
      </c>
      <c r="C48">
        <v>35107</v>
      </c>
      <c r="D48">
        <v>6703</v>
      </c>
      <c r="E48">
        <v>168606</v>
      </c>
      <c r="F48">
        <v>93090</v>
      </c>
      <c r="G48">
        <v>-91842</v>
      </c>
      <c r="H48">
        <v>-69038</v>
      </c>
      <c r="I48">
        <v>-25141</v>
      </c>
      <c r="J48">
        <v>67205</v>
      </c>
      <c r="K48">
        <v>174211</v>
      </c>
      <c r="L48">
        <v>-32362</v>
      </c>
      <c r="M48">
        <v>6.74</v>
      </c>
      <c r="N48">
        <v>326539</v>
      </c>
      <c r="O48">
        <v>19642250</v>
      </c>
      <c r="P48" s="2">
        <v>1.6624317478903894</v>
      </c>
      <c r="Q48" s="4">
        <v>13.2388765</v>
      </c>
    </row>
    <row r="49" spans="1:17" x14ac:dyDescent="0.4">
      <c r="A49">
        <v>20210802</v>
      </c>
      <c r="B49" s="1">
        <v>6.25E-2</v>
      </c>
      <c r="C49">
        <v>18994</v>
      </c>
      <c r="D49">
        <v>14761</v>
      </c>
      <c r="E49">
        <v>145659</v>
      </c>
      <c r="F49">
        <v>120218</v>
      </c>
      <c r="G49">
        <v>-70772</v>
      </c>
      <c r="H49">
        <v>-99904</v>
      </c>
      <c r="I49">
        <v>17711</v>
      </c>
      <c r="J49">
        <v>62719</v>
      </c>
      <c r="K49">
        <v>111037</v>
      </c>
      <c r="L49">
        <v>-37582</v>
      </c>
      <c r="M49">
        <v>6.72</v>
      </c>
      <c r="N49">
        <v>282841</v>
      </c>
      <c r="O49">
        <v>20003550</v>
      </c>
      <c r="P49" s="2">
        <v>1.4139540231608889</v>
      </c>
      <c r="Q49" s="4">
        <v>13.4423856</v>
      </c>
    </row>
    <row r="50" spans="1:17" x14ac:dyDescent="0.4">
      <c r="A50">
        <v>20210802</v>
      </c>
      <c r="B50" s="1">
        <v>8.3333333333333329E-2</v>
      </c>
      <c r="C50">
        <v>59061</v>
      </c>
      <c r="D50">
        <v>43656</v>
      </c>
      <c r="E50">
        <v>208287</v>
      </c>
      <c r="F50">
        <v>64406</v>
      </c>
      <c r="G50">
        <v>-102430</v>
      </c>
      <c r="H50">
        <v>-154895</v>
      </c>
      <c r="I50">
        <v>26900</v>
      </c>
      <c r="J50">
        <v>51154</v>
      </c>
      <c r="K50">
        <v>122401</v>
      </c>
      <c r="L50">
        <v>-27106</v>
      </c>
      <c r="M50">
        <v>6.72</v>
      </c>
      <c r="N50">
        <v>291434</v>
      </c>
      <c r="O50">
        <v>20228000</v>
      </c>
      <c r="P50" s="2">
        <v>1.440745501285347</v>
      </c>
      <c r="Q50" s="4">
        <v>13.593216</v>
      </c>
    </row>
    <row r="51" spans="1:17" x14ac:dyDescent="0.4">
      <c r="A51">
        <v>20210802</v>
      </c>
      <c r="B51" s="1">
        <v>0.10416666666666667</v>
      </c>
      <c r="C51">
        <v>20861</v>
      </c>
      <c r="D51">
        <v>53336</v>
      </c>
      <c r="E51">
        <v>242898</v>
      </c>
      <c r="F51">
        <v>57401</v>
      </c>
      <c r="G51">
        <v>-103008</v>
      </c>
      <c r="H51">
        <v>-195557</v>
      </c>
      <c r="I51">
        <v>9547</v>
      </c>
      <c r="J51">
        <v>40924</v>
      </c>
      <c r="K51">
        <v>99930</v>
      </c>
      <c r="L51">
        <v>-39760</v>
      </c>
      <c r="M51">
        <v>6.66</v>
      </c>
      <c r="N51">
        <v>186572</v>
      </c>
      <c r="O51">
        <v>20377700</v>
      </c>
      <c r="P51" s="2">
        <v>0.91556947054868798</v>
      </c>
      <c r="Q51" s="4">
        <v>13.571548200000001</v>
      </c>
    </row>
    <row r="52" spans="1:17" x14ac:dyDescent="0.4">
      <c r="A52">
        <v>20210802</v>
      </c>
      <c r="B52" s="1">
        <v>0.125</v>
      </c>
      <c r="C52">
        <v>27576</v>
      </c>
      <c r="D52">
        <v>20810</v>
      </c>
      <c r="E52">
        <v>277215</v>
      </c>
      <c r="F52">
        <v>61041</v>
      </c>
      <c r="G52">
        <v>106196</v>
      </c>
      <c r="H52">
        <v>-48380</v>
      </c>
      <c r="I52">
        <v>24322</v>
      </c>
      <c r="J52">
        <v>50736</v>
      </c>
      <c r="K52">
        <v>101995</v>
      </c>
      <c r="L52">
        <v>-28089</v>
      </c>
      <c r="M52">
        <v>6.66</v>
      </c>
      <c r="N52">
        <v>593422</v>
      </c>
      <c r="O52">
        <v>20543800</v>
      </c>
      <c r="P52" s="2">
        <v>2.8885697874784606</v>
      </c>
      <c r="Q52" s="4">
        <v>13.6821708</v>
      </c>
    </row>
    <row r="53" spans="1:17" x14ac:dyDescent="0.4">
      <c r="A53">
        <v>20210802</v>
      </c>
      <c r="B53" s="1">
        <v>0.14583333333333334</v>
      </c>
      <c r="C53">
        <v>82701</v>
      </c>
      <c r="D53">
        <v>48420</v>
      </c>
      <c r="E53">
        <v>11550</v>
      </c>
      <c r="F53">
        <v>75806</v>
      </c>
      <c r="G53">
        <v>141408</v>
      </c>
      <c r="H53">
        <v>-55440</v>
      </c>
      <c r="I53">
        <v>70157</v>
      </c>
      <c r="J53">
        <v>60648</v>
      </c>
      <c r="K53">
        <v>140324</v>
      </c>
      <c r="L53">
        <v>-33456</v>
      </c>
      <c r="M53">
        <v>6.66</v>
      </c>
      <c r="N53">
        <v>542118</v>
      </c>
      <c r="O53">
        <v>20626500</v>
      </c>
      <c r="P53" s="2">
        <v>2.6282597629263327</v>
      </c>
      <c r="Q53" s="4">
        <v>13.737249</v>
      </c>
    </row>
    <row r="54" spans="1:17" x14ac:dyDescent="0.4">
      <c r="A54">
        <v>20210802</v>
      </c>
      <c r="B54" s="1">
        <v>0.16666666666666666</v>
      </c>
      <c r="C54">
        <v>29025</v>
      </c>
      <c r="D54">
        <v>25729</v>
      </c>
      <c r="E54">
        <v>45884</v>
      </c>
      <c r="F54">
        <v>55676</v>
      </c>
      <c r="G54">
        <v>160053</v>
      </c>
      <c r="H54">
        <v>-21837</v>
      </c>
      <c r="I54">
        <v>108214</v>
      </c>
      <c r="J54">
        <v>62028</v>
      </c>
      <c r="K54">
        <v>134369</v>
      </c>
      <c r="L54">
        <v>-26595</v>
      </c>
      <c r="M54">
        <v>6.66</v>
      </c>
      <c r="N54">
        <v>572546</v>
      </c>
      <c r="O54">
        <v>20683800</v>
      </c>
      <c r="P54" s="2">
        <v>2.7680890358638162</v>
      </c>
      <c r="Q54" s="4">
        <v>13.7754108</v>
      </c>
    </row>
    <row r="55" spans="1:17" x14ac:dyDescent="0.4">
      <c r="A55">
        <v>20210802</v>
      </c>
      <c r="B55" s="1">
        <v>0.1875</v>
      </c>
      <c r="C55">
        <v>62106</v>
      </c>
      <c r="D55">
        <v>32579</v>
      </c>
      <c r="E55">
        <v>-80457</v>
      </c>
      <c r="F55">
        <v>124411</v>
      </c>
      <c r="G55">
        <v>164099</v>
      </c>
      <c r="H55">
        <v>-97239</v>
      </c>
      <c r="I55">
        <v>-6293</v>
      </c>
      <c r="J55">
        <v>52529</v>
      </c>
      <c r="K55">
        <v>117322</v>
      </c>
      <c r="L55">
        <v>-33252</v>
      </c>
      <c r="M55">
        <v>6.72</v>
      </c>
      <c r="N55">
        <v>335805</v>
      </c>
      <c r="O55">
        <v>20730750</v>
      </c>
      <c r="P55" s="2">
        <v>1.6198400926160414</v>
      </c>
      <c r="Q55" s="4">
        <v>13.931063999999999</v>
      </c>
    </row>
    <row r="56" spans="1:17" x14ac:dyDescent="0.4">
      <c r="A56">
        <v>20210802</v>
      </c>
      <c r="B56" s="1">
        <v>0.20833333333333334</v>
      </c>
      <c r="C56">
        <v>28278</v>
      </c>
      <c r="D56">
        <v>95081</v>
      </c>
      <c r="E56">
        <v>-105101</v>
      </c>
      <c r="F56">
        <v>137415</v>
      </c>
      <c r="G56">
        <v>104355</v>
      </c>
      <c r="H56">
        <v>-83610</v>
      </c>
      <c r="I56">
        <v>-51094</v>
      </c>
      <c r="J56">
        <v>37713</v>
      </c>
      <c r="K56">
        <v>69761</v>
      </c>
      <c r="L56">
        <v>-27466</v>
      </c>
      <c r="M56">
        <v>6.77</v>
      </c>
      <c r="N56">
        <v>205332</v>
      </c>
      <c r="O56">
        <v>20773850</v>
      </c>
      <c r="P56" s="2">
        <v>0.98841572457681171</v>
      </c>
      <c r="Q56" s="4">
        <v>14.06389645</v>
      </c>
    </row>
    <row r="57" spans="1:17" x14ac:dyDescent="0.4">
      <c r="A57">
        <v>20210802</v>
      </c>
      <c r="B57" s="1">
        <v>0.22916666666666666</v>
      </c>
      <c r="C57">
        <v>8064</v>
      </c>
      <c r="D57">
        <v>224062</v>
      </c>
      <c r="E57">
        <v>26323</v>
      </c>
      <c r="F57">
        <v>100878</v>
      </c>
      <c r="G57">
        <v>105070</v>
      </c>
      <c r="H57">
        <v>-254338</v>
      </c>
      <c r="I57">
        <v>-55323</v>
      </c>
      <c r="J57">
        <v>52555</v>
      </c>
      <c r="K57">
        <v>4670</v>
      </c>
      <c r="L57">
        <v>-31857</v>
      </c>
      <c r="M57">
        <v>6.72</v>
      </c>
      <c r="N57">
        <v>180104</v>
      </c>
      <c r="O57">
        <v>20915350</v>
      </c>
      <c r="P57" s="2">
        <v>0.86110918535907843</v>
      </c>
      <c r="Q57" s="4">
        <v>14.055115199999999</v>
      </c>
    </row>
    <row r="58" spans="1:17" x14ac:dyDescent="0.4">
      <c r="A58">
        <v>20210802</v>
      </c>
      <c r="B58" s="1">
        <v>0.27083333333333331</v>
      </c>
      <c r="C58">
        <v>65481</v>
      </c>
      <c r="D58">
        <v>231089</v>
      </c>
      <c r="E58">
        <v>279375</v>
      </c>
      <c r="F58">
        <v>-78622</v>
      </c>
      <c r="G58">
        <v>79326</v>
      </c>
      <c r="H58">
        <v>-249705</v>
      </c>
      <c r="I58">
        <v>119412</v>
      </c>
      <c r="J58">
        <v>31839</v>
      </c>
      <c r="K58">
        <v>-223983</v>
      </c>
      <c r="L58">
        <v>-34890</v>
      </c>
      <c r="M58">
        <v>6.74</v>
      </c>
      <c r="N58">
        <v>219322</v>
      </c>
      <c r="O58">
        <v>22482050</v>
      </c>
      <c r="P58" s="2">
        <v>0.97554271074034615</v>
      </c>
      <c r="Q58" s="4">
        <v>15.152901699999999</v>
      </c>
    </row>
    <row r="59" spans="1:17" x14ac:dyDescent="0.4">
      <c r="A59">
        <v>20210802</v>
      </c>
      <c r="B59" s="1">
        <v>0.29166666666666669</v>
      </c>
      <c r="C59">
        <v>72005</v>
      </c>
      <c r="D59">
        <v>339033</v>
      </c>
      <c r="E59">
        <v>119961</v>
      </c>
      <c r="F59">
        <v>-164133</v>
      </c>
      <c r="G59">
        <v>85026</v>
      </c>
      <c r="H59">
        <v>-243943</v>
      </c>
      <c r="I59">
        <v>151680</v>
      </c>
      <c r="J59">
        <v>-28580</v>
      </c>
      <c r="K59">
        <v>-202955</v>
      </c>
      <c r="L59">
        <v>-10534</v>
      </c>
      <c r="M59">
        <v>8.01</v>
      </c>
      <c r="N59">
        <v>117560</v>
      </c>
      <c r="O59">
        <v>22591200</v>
      </c>
      <c r="P59" s="2">
        <v>0.52037961684195611</v>
      </c>
      <c r="Q59" s="4">
        <v>18.095551199999999</v>
      </c>
    </row>
    <row r="60" spans="1:17" x14ac:dyDescent="0.4">
      <c r="A60">
        <v>20210802</v>
      </c>
      <c r="B60" s="1">
        <v>0.3125</v>
      </c>
      <c r="C60">
        <v>93921</v>
      </c>
      <c r="D60">
        <v>379092</v>
      </c>
      <c r="E60">
        <v>360431</v>
      </c>
      <c r="F60">
        <v>-222581</v>
      </c>
      <c r="G60">
        <v>102247</v>
      </c>
      <c r="H60">
        <v>-141901</v>
      </c>
      <c r="I60">
        <v>347521</v>
      </c>
      <c r="J60">
        <v>-3830</v>
      </c>
      <c r="K60">
        <v>-130900</v>
      </c>
      <c r="L60">
        <v>-22551</v>
      </c>
      <c r="M60">
        <v>8.86</v>
      </c>
      <c r="N60">
        <v>761449</v>
      </c>
      <c r="O60">
        <v>23071100</v>
      </c>
      <c r="P60" s="2">
        <v>3.3004451456584212</v>
      </c>
      <c r="Q60" s="4">
        <v>20.4409946</v>
      </c>
    </row>
    <row r="61" spans="1:17" x14ac:dyDescent="0.4">
      <c r="A61">
        <v>20210802</v>
      </c>
      <c r="B61" s="1">
        <v>0.33333333333333331</v>
      </c>
      <c r="C61">
        <v>3191</v>
      </c>
      <c r="D61">
        <v>411197</v>
      </c>
      <c r="E61">
        <v>480616</v>
      </c>
      <c r="F61">
        <v>-141276</v>
      </c>
      <c r="G61">
        <v>93963</v>
      </c>
      <c r="H61">
        <v>-340379</v>
      </c>
      <c r="I61">
        <v>-90361</v>
      </c>
      <c r="J61">
        <v>70577</v>
      </c>
      <c r="K61">
        <v>13460</v>
      </c>
      <c r="L61">
        <v>-13448</v>
      </c>
      <c r="M61">
        <v>7.42</v>
      </c>
      <c r="N61">
        <v>487540</v>
      </c>
      <c r="O61">
        <v>24612400</v>
      </c>
      <c r="P61" s="2">
        <v>1.9808714306609676</v>
      </c>
      <c r="Q61" s="4">
        <v>18.262400800000002</v>
      </c>
    </row>
    <row r="62" spans="1:17" x14ac:dyDescent="0.4">
      <c r="A62">
        <v>20210802</v>
      </c>
      <c r="B62" s="1">
        <v>0.35416666666666669</v>
      </c>
      <c r="C62">
        <v>55181</v>
      </c>
      <c r="D62">
        <v>556422</v>
      </c>
      <c r="E62">
        <v>147260</v>
      </c>
      <c r="F62">
        <v>-99610</v>
      </c>
      <c r="G62">
        <v>115679</v>
      </c>
      <c r="H62">
        <v>-250837</v>
      </c>
      <c r="I62">
        <v>-202225</v>
      </c>
      <c r="J62">
        <v>68756</v>
      </c>
      <c r="K62">
        <v>151800</v>
      </c>
      <c r="L62">
        <v>-34607</v>
      </c>
      <c r="M62">
        <v>8.39</v>
      </c>
      <c r="N62">
        <v>507819</v>
      </c>
      <c r="O62">
        <v>24904100</v>
      </c>
      <c r="P62" s="2">
        <v>2.0390979798507072</v>
      </c>
      <c r="Q62" s="4">
        <v>20.894539900000002</v>
      </c>
    </row>
    <row r="63" spans="1:17" x14ac:dyDescent="0.4">
      <c r="A63">
        <v>20210802</v>
      </c>
      <c r="B63" s="1">
        <v>0.375</v>
      </c>
      <c r="C63">
        <v>-17008</v>
      </c>
      <c r="D63">
        <v>563521</v>
      </c>
      <c r="E63">
        <v>1013685</v>
      </c>
      <c r="F63">
        <v>-20837</v>
      </c>
      <c r="G63">
        <v>119167</v>
      </c>
      <c r="H63">
        <v>-402554</v>
      </c>
      <c r="I63">
        <v>-110820</v>
      </c>
      <c r="J63">
        <v>52313</v>
      </c>
      <c r="K63">
        <v>359804</v>
      </c>
      <c r="L63">
        <v>-46752</v>
      </c>
      <c r="M63">
        <v>9.59</v>
      </c>
      <c r="N63">
        <v>1510519</v>
      </c>
      <c r="O63">
        <v>25454750</v>
      </c>
      <c r="P63" s="2">
        <v>5.9341341007081194</v>
      </c>
      <c r="Q63" s="4">
        <v>24.411105249999999</v>
      </c>
    </row>
    <row r="64" spans="1:17" x14ac:dyDescent="0.4">
      <c r="A64">
        <v>20210802</v>
      </c>
      <c r="B64" s="1">
        <v>0.39583333333333331</v>
      </c>
      <c r="C64">
        <v>47850</v>
      </c>
      <c r="D64">
        <v>682866</v>
      </c>
      <c r="E64">
        <v>1087198</v>
      </c>
      <c r="F64">
        <v>15474</v>
      </c>
      <c r="G64">
        <v>91913</v>
      </c>
      <c r="H64">
        <v>-285968</v>
      </c>
      <c r="I64">
        <v>-56653</v>
      </c>
      <c r="J64">
        <v>57948</v>
      </c>
      <c r="K64">
        <v>448738</v>
      </c>
      <c r="L64">
        <v>-54878</v>
      </c>
      <c r="M64">
        <v>9.7899999999999991</v>
      </c>
      <c r="N64">
        <v>2034488</v>
      </c>
      <c r="O64">
        <v>25783200</v>
      </c>
      <c r="P64" s="2">
        <v>7.8907505662602002</v>
      </c>
      <c r="Q64" s="4">
        <v>25.241752799999997</v>
      </c>
    </row>
    <row r="65" spans="1:17" x14ac:dyDescent="0.4">
      <c r="A65">
        <v>20210802</v>
      </c>
      <c r="B65" s="1">
        <v>0.41666666666666669</v>
      </c>
      <c r="C65">
        <v>77315</v>
      </c>
      <c r="D65">
        <v>636119</v>
      </c>
      <c r="E65">
        <v>1108543</v>
      </c>
      <c r="F65">
        <v>-13906</v>
      </c>
      <c r="G65">
        <v>94516</v>
      </c>
      <c r="H65">
        <v>-188173</v>
      </c>
      <c r="I65">
        <v>-1414</v>
      </c>
      <c r="J65">
        <v>66404</v>
      </c>
      <c r="K65">
        <v>365908</v>
      </c>
      <c r="L65">
        <v>-52065</v>
      </c>
      <c r="M65">
        <v>9.85</v>
      </c>
      <c r="N65">
        <v>2093247</v>
      </c>
      <c r="O65">
        <v>25914750</v>
      </c>
      <c r="P65" s="2">
        <v>8.0774346655862015</v>
      </c>
      <c r="Q65" s="4">
        <v>25.526028749999998</v>
      </c>
    </row>
    <row r="66" spans="1:17" x14ac:dyDescent="0.4">
      <c r="A66">
        <v>20210802</v>
      </c>
      <c r="B66" s="1">
        <v>0.4375</v>
      </c>
      <c r="C66">
        <v>23039</v>
      </c>
      <c r="D66">
        <v>750767</v>
      </c>
      <c r="E66">
        <v>1013892</v>
      </c>
      <c r="F66">
        <v>-155134</v>
      </c>
      <c r="G66">
        <v>68494</v>
      </c>
      <c r="H66">
        <v>-165505</v>
      </c>
      <c r="I66">
        <v>-21582</v>
      </c>
      <c r="J66">
        <v>60975</v>
      </c>
      <c r="K66">
        <v>254571</v>
      </c>
      <c r="L66">
        <v>-44404</v>
      </c>
      <c r="M66">
        <v>9.85</v>
      </c>
      <c r="N66">
        <v>1785113</v>
      </c>
      <c r="O66">
        <v>26020500</v>
      </c>
      <c r="P66" s="2">
        <v>6.8604100612978227</v>
      </c>
      <c r="Q66" s="4">
        <v>25.6301925</v>
      </c>
    </row>
    <row r="67" spans="1:17" x14ac:dyDescent="0.4">
      <c r="A67">
        <v>20210802</v>
      </c>
      <c r="B67" s="1">
        <v>0.45833333333333331</v>
      </c>
      <c r="C67">
        <v>115914</v>
      </c>
      <c r="D67">
        <v>804124</v>
      </c>
      <c r="E67">
        <v>1303965</v>
      </c>
      <c r="F67">
        <v>-154032</v>
      </c>
      <c r="G67">
        <v>18041</v>
      </c>
      <c r="H67">
        <v>-96799</v>
      </c>
      <c r="I67">
        <v>4696</v>
      </c>
      <c r="J67">
        <v>72685</v>
      </c>
      <c r="K67">
        <v>180246</v>
      </c>
      <c r="L67">
        <v>-42454</v>
      </c>
      <c r="M67">
        <v>9.9700000000000006</v>
      </c>
      <c r="N67">
        <v>2206386</v>
      </c>
      <c r="O67">
        <v>26370600</v>
      </c>
      <c r="P67" s="2">
        <v>8.3668403449295798</v>
      </c>
      <c r="Q67" s="4">
        <v>26.291488200000003</v>
      </c>
    </row>
    <row r="68" spans="1:17" x14ac:dyDescent="0.4">
      <c r="A68">
        <v>20210802</v>
      </c>
      <c r="B68" s="1">
        <v>0.47916666666666669</v>
      </c>
      <c r="C68">
        <v>-22802</v>
      </c>
      <c r="D68">
        <v>807020</v>
      </c>
      <c r="E68">
        <v>1305572</v>
      </c>
      <c r="F68">
        <v>23208</v>
      </c>
      <c r="G68">
        <v>11543</v>
      </c>
      <c r="H68">
        <v>-129833</v>
      </c>
      <c r="I68">
        <v>50948</v>
      </c>
      <c r="J68">
        <v>42967</v>
      </c>
      <c r="K68">
        <v>306178</v>
      </c>
      <c r="L68">
        <v>-54991</v>
      </c>
      <c r="M68">
        <v>10.27</v>
      </c>
      <c r="N68">
        <v>2339810</v>
      </c>
      <c r="O68">
        <v>26291650</v>
      </c>
      <c r="P68" s="2">
        <v>8.8994414576491021</v>
      </c>
      <c r="Q68" s="4">
        <v>27.001524549999999</v>
      </c>
    </row>
    <row r="69" spans="1:17" x14ac:dyDescent="0.4">
      <c r="A69">
        <v>20210802</v>
      </c>
      <c r="B69" s="1">
        <v>0.5</v>
      </c>
      <c r="C69">
        <v>-23439</v>
      </c>
      <c r="D69">
        <v>687258</v>
      </c>
      <c r="E69">
        <v>1820161</v>
      </c>
      <c r="F69">
        <v>141345</v>
      </c>
      <c r="G69">
        <v>-12553</v>
      </c>
      <c r="H69">
        <v>35387</v>
      </c>
      <c r="I69">
        <v>-3661</v>
      </c>
      <c r="J69">
        <v>37777</v>
      </c>
      <c r="K69">
        <v>209595</v>
      </c>
      <c r="L69">
        <v>-48399</v>
      </c>
      <c r="M69">
        <v>9.84</v>
      </c>
      <c r="N69">
        <v>2843471</v>
      </c>
      <c r="O69">
        <v>26124350</v>
      </c>
      <c r="P69" s="2">
        <v>10.884370328831148</v>
      </c>
      <c r="Q69" s="4">
        <v>25.706360400000001</v>
      </c>
    </row>
    <row r="70" spans="1:17" x14ac:dyDescent="0.4">
      <c r="A70">
        <v>20210802</v>
      </c>
      <c r="B70" s="1">
        <v>0.52083333333333337</v>
      </c>
      <c r="C70">
        <v>41098</v>
      </c>
      <c r="D70">
        <v>825979</v>
      </c>
      <c r="E70">
        <v>1234850</v>
      </c>
      <c r="F70">
        <v>271293</v>
      </c>
      <c r="G70">
        <v>-17515</v>
      </c>
      <c r="H70">
        <v>-57686</v>
      </c>
      <c r="I70">
        <v>94981</v>
      </c>
      <c r="J70">
        <v>27814</v>
      </c>
      <c r="K70">
        <v>258989</v>
      </c>
      <c r="L70">
        <v>-45678</v>
      </c>
      <c r="M70">
        <v>10.27</v>
      </c>
      <c r="N70">
        <v>2634125</v>
      </c>
      <c r="O70">
        <v>25890800</v>
      </c>
      <c r="P70" s="2">
        <v>10.173980719019884</v>
      </c>
      <c r="Q70" s="4">
        <v>26.589851599999999</v>
      </c>
    </row>
    <row r="71" spans="1:17" x14ac:dyDescent="0.4">
      <c r="A71">
        <v>20210802</v>
      </c>
      <c r="B71" s="1">
        <v>0.54166666666666663</v>
      </c>
      <c r="C71">
        <v>-49757</v>
      </c>
      <c r="D71">
        <v>880162</v>
      </c>
      <c r="E71">
        <v>1549474</v>
      </c>
      <c r="F71">
        <v>314142</v>
      </c>
      <c r="G71">
        <v>-24641</v>
      </c>
      <c r="H71">
        <v>37554</v>
      </c>
      <c r="I71">
        <v>64392</v>
      </c>
      <c r="J71">
        <v>-7177</v>
      </c>
      <c r="K71">
        <v>127604</v>
      </c>
      <c r="L71">
        <v>-49305</v>
      </c>
      <c r="M71">
        <v>11.78</v>
      </c>
      <c r="N71">
        <v>2842448</v>
      </c>
      <c r="O71">
        <v>24961850</v>
      </c>
      <c r="P71" s="2">
        <v>11.387168819618738</v>
      </c>
      <c r="Q71" s="4">
        <v>29.405059300000001</v>
      </c>
    </row>
    <row r="72" spans="1:17" x14ac:dyDescent="0.4">
      <c r="A72">
        <v>20210802</v>
      </c>
      <c r="B72" s="1">
        <v>0.5625</v>
      </c>
      <c r="C72">
        <v>-30309</v>
      </c>
      <c r="D72">
        <v>851701</v>
      </c>
      <c r="E72">
        <v>1416128</v>
      </c>
      <c r="F72">
        <v>414085</v>
      </c>
      <c r="G72">
        <v>-7657</v>
      </c>
      <c r="H72">
        <v>100138</v>
      </c>
      <c r="I72">
        <v>117625</v>
      </c>
      <c r="J72">
        <v>-2354</v>
      </c>
      <c r="K72">
        <v>109193</v>
      </c>
      <c r="L72">
        <v>-41857</v>
      </c>
      <c r="M72">
        <v>12.76</v>
      </c>
      <c r="N72">
        <v>2926693</v>
      </c>
      <c r="O72">
        <v>24921900</v>
      </c>
      <c r="P72" s="2">
        <v>11.743458564555672</v>
      </c>
      <c r="Q72" s="4">
        <v>31.8003444</v>
      </c>
    </row>
    <row r="73" spans="1:17" x14ac:dyDescent="0.4">
      <c r="A73">
        <v>20210802</v>
      </c>
      <c r="B73" s="1">
        <v>0.58333333333333337</v>
      </c>
      <c r="C73">
        <v>-42818</v>
      </c>
      <c r="D73">
        <v>983039</v>
      </c>
      <c r="E73">
        <v>1370652</v>
      </c>
      <c r="F73">
        <v>356919</v>
      </c>
      <c r="G73">
        <v>-6407</v>
      </c>
      <c r="H73">
        <v>132944</v>
      </c>
      <c r="I73">
        <v>85536</v>
      </c>
      <c r="J73">
        <v>-30578</v>
      </c>
      <c r="K73">
        <v>204217</v>
      </c>
      <c r="L73">
        <v>-42615</v>
      </c>
      <c r="M73">
        <v>15.01</v>
      </c>
      <c r="N73">
        <v>3010889</v>
      </c>
      <c r="O73">
        <v>24721200</v>
      </c>
      <c r="P73" s="2">
        <v>12.179380450787178</v>
      </c>
      <c r="Q73" s="4">
        <v>37.106521200000003</v>
      </c>
    </row>
    <row r="74" spans="1:17" x14ac:dyDescent="0.4">
      <c r="A74">
        <v>20210802</v>
      </c>
      <c r="B74" s="1">
        <v>0.60416666666666663</v>
      </c>
      <c r="C74">
        <v>-79234</v>
      </c>
      <c r="D74">
        <v>800360</v>
      </c>
      <c r="E74">
        <v>1130853</v>
      </c>
      <c r="F74">
        <v>259687</v>
      </c>
      <c r="G74">
        <v>31744</v>
      </c>
      <c r="H74">
        <v>166723</v>
      </c>
      <c r="I74">
        <v>211546</v>
      </c>
      <c r="J74">
        <v>-16618</v>
      </c>
      <c r="K74">
        <v>197951</v>
      </c>
      <c r="L74">
        <v>-57546</v>
      </c>
      <c r="M74">
        <v>15.47</v>
      </c>
      <c r="N74">
        <v>2645466</v>
      </c>
      <c r="O74">
        <v>24825950</v>
      </c>
      <c r="P74" s="2">
        <v>10.656051430056051</v>
      </c>
      <c r="Q74" s="4">
        <v>38.405744650000003</v>
      </c>
    </row>
    <row r="75" spans="1:17" x14ac:dyDescent="0.4">
      <c r="A75">
        <v>20210802</v>
      </c>
      <c r="B75" s="1">
        <v>0.625</v>
      </c>
      <c r="C75">
        <v>-39758</v>
      </c>
      <c r="D75">
        <v>778623</v>
      </c>
      <c r="E75">
        <v>1367991</v>
      </c>
      <c r="F75">
        <v>342223</v>
      </c>
      <c r="G75">
        <v>57330</v>
      </c>
      <c r="H75">
        <v>141996</v>
      </c>
      <c r="I75">
        <v>181092</v>
      </c>
      <c r="J75">
        <v>-29828</v>
      </c>
      <c r="K75">
        <v>51411</v>
      </c>
      <c r="L75">
        <v>-54138</v>
      </c>
      <c r="M75">
        <v>15.01</v>
      </c>
      <c r="N75">
        <v>2796942</v>
      </c>
      <c r="O75">
        <v>24518200</v>
      </c>
      <c r="P75" s="2">
        <v>11.407615567211296</v>
      </c>
      <c r="Q75" s="4">
        <v>36.8018182</v>
      </c>
    </row>
    <row r="76" spans="1:17" x14ac:dyDescent="0.4">
      <c r="A76">
        <v>20210802</v>
      </c>
      <c r="B76" s="1">
        <v>0.64583333333333337</v>
      </c>
      <c r="C76">
        <v>-14042</v>
      </c>
      <c r="D76">
        <v>569480</v>
      </c>
      <c r="E76">
        <v>1009909</v>
      </c>
      <c r="F76">
        <v>236453</v>
      </c>
      <c r="G76">
        <v>23724</v>
      </c>
      <c r="H76">
        <v>159678</v>
      </c>
      <c r="I76">
        <v>24907</v>
      </c>
      <c r="J76">
        <v>-94996</v>
      </c>
      <c r="K76">
        <v>-34919</v>
      </c>
      <c r="L76">
        <v>-63688</v>
      </c>
      <c r="M76">
        <v>17.010000000000002</v>
      </c>
      <c r="N76">
        <v>1816506</v>
      </c>
      <c r="O76">
        <v>24074700</v>
      </c>
      <c r="P76" s="2">
        <v>7.5452902839910774</v>
      </c>
      <c r="Q76" s="4">
        <v>40.951064700000003</v>
      </c>
    </row>
    <row r="77" spans="1:17" x14ac:dyDescent="0.4">
      <c r="A77">
        <v>20210802</v>
      </c>
      <c r="B77" s="1">
        <v>0.66666666666666663</v>
      </c>
      <c r="C77">
        <v>-31367</v>
      </c>
      <c r="D77">
        <v>443970</v>
      </c>
      <c r="E77">
        <v>1038898</v>
      </c>
      <c r="F77">
        <v>90145</v>
      </c>
      <c r="G77">
        <v>-18522</v>
      </c>
      <c r="H77">
        <v>121942</v>
      </c>
      <c r="I77">
        <v>-44646</v>
      </c>
      <c r="J77">
        <v>-117204</v>
      </c>
      <c r="K77">
        <v>-12172</v>
      </c>
      <c r="L77">
        <v>-61957</v>
      </c>
      <c r="M77">
        <v>15.47</v>
      </c>
      <c r="N77">
        <v>1409087</v>
      </c>
      <c r="O77">
        <v>24469500</v>
      </c>
      <c r="P77" s="2">
        <v>5.7585443102637974</v>
      </c>
      <c r="Q77" s="4">
        <v>37.854316500000003</v>
      </c>
    </row>
    <row r="78" spans="1:17" x14ac:dyDescent="0.4">
      <c r="A78">
        <v>20210802</v>
      </c>
      <c r="B78" s="1">
        <v>0.6875</v>
      </c>
      <c r="C78">
        <v>21299</v>
      </c>
      <c r="D78">
        <v>195866</v>
      </c>
      <c r="E78">
        <v>698529</v>
      </c>
      <c r="F78">
        <v>62510</v>
      </c>
      <c r="G78">
        <v>-25073</v>
      </c>
      <c r="H78">
        <v>146861</v>
      </c>
      <c r="I78">
        <v>7080</v>
      </c>
      <c r="J78">
        <v>-160687</v>
      </c>
      <c r="K78">
        <v>17796</v>
      </c>
      <c r="L78">
        <v>-66750</v>
      </c>
      <c r="M78">
        <v>16.21</v>
      </c>
      <c r="N78">
        <v>897431</v>
      </c>
      <c r="O78">
        <v>24022000</v>
      </c>
      <c r="P78" s="2">
        <v>3.7358712846557323</v>
      </c>
      <c r="Q78" s="4">
        <v>38.939661999999998</v>
      </c>
    </row>
    <row r="79" spans="1:17" x14ac:dyDescent="0.4">
      <c r="A79">
        <v>20210802</v>
      </c>
      <c r="B79" s="1">
        <v>0.70833333333333337</v>
      </c>
      <c r="C79">
        <v>-34625</v>
      </c>
      <c r="D79">
        <v>37942</v>
      </c>
      <c r="E79">
        <v>634970</v>
      </c>
      <c r="F79">
        <v>126135</v>
      </c>
      <c r="G79">
        <v>-47999</v>
      </c>
      <c r="H79">
        <v>183984</v>
      </c>
      <c r="I79">
        <v>-47259</v>
      </c>
      <c r="J79">
        <v>-155646</v>
      </c>
      <c r="K79">
        <v>4306</v>
      </c>
      <c r="L79">
        <v>-60028</v>
      </c>
      <c r="M79">
        <v>15</v>
      </c>
      <c r="N79">
        <v>641780</v>
      </c>
      <c r="O79">
        <v>23658900</v>
      </c>
      <c r="P79" s="2">
        <v>2.7126366821787995</v>
      </c>
      <c r="Q79" s="4">
        <v>35.488349999999997</v>
      </c>
    </row>
    <row r="80" spans="1:17" x14ac:dyDescent="0.4">
      <c r="A80">
        <v>20210803</v>
      </c>
      <c r="B80" s="1">
        <v>0.41666666666666669</v>
      </c>
      <c r="C80">
        <v>102445</v>
      </c>
      <c r="D80">
        <v>240029</v>
      </c>
      <c r="E80">
        <v>370727</v>
      </c>
      <c r="F80">
        <v>-4820</v>
      </c>
      <c r="G80">
        <v>45547</v>
      </c>
      <c r="H80">
        <v>-342829</v>
      </c>
      <c r="I80">
        <v>165225</v>
      </c>
      <c r="J80">
        <v>91766</v>
      </c>
      <c r="K80">
        <v>-275612</v>
      </c>
      <c r="L80">
        <v>-92963</v>
      </c>
      <c r="M80">
        <v>9.76</v>
      </c>
      <c r="N80">
        <v>299515</v>
      </c>
      <c r="O80">
        <v>25190450</v>
      </c>
      <c r="P80" s="2">
        <v>1.1890021813822302</v>
      </c>
      <c r="Q80" s="4">
        <v>24.585879200000001</v>
      </c>
    </row>
    <row r="81" spans="1:17" x14ac:dyDescent="0.4">
      <c r="A81">
        <v>20210803</v>
      </c>
      <c r="B81" s="1">
        <v>0.4375</v>
      </c>
      <c r="C81">
        <v>116802</v>
      </c>
      <c r="D81">
        <v>287183</v>
      </c>
      <c r="E81">
        <v>136713</v>
      </c>
      <c r="F81">
        <v>141317</v>
      </c>
      <c r="G81">
        <v>57325</v>
      </c>
      <c r="H81">
        <v>-232080</v>
      </c>
      <c r="I81">
        <v>251785</v>
      </c>
      <c r="J81">
        <v>107295</v>
      </c>
      <c r="K81">
        <v>-188460</v>
      </c>
      <c r="L81">
        <v>-83044</v>
      </c>
      <c r="M81">
        <v>9.84</v>
      </c>
      <c r="N81">
        <v>594836</v>
      </c>
      <c r="O81">
        <v>25444550</v>
      </c>
      <c r="P81" s="2">
        <v>2.337773707925666</v>
      </c>
      <c r="Q81" s="4">
        <v>25.037437199999999</v>
      </c>
    </row>
    <row r="82" spans="1:17" x14ac:dyDescent="0.4">
      <c r="A82">
        <v>20210803</v>
      </c>
      <c r="B82" s="1">
        <v>0.45833333333333331</v>
      </c>
      <c r="C82">
        <v>219276</v>
      </c>
      <c r="D82">
        <v>237035</v>
      </c>
      <c r="E82">
        <v>221008</v>
      </c>
      <c r="F82">
        <v>93107</v>
      </c>
      <c r="G82">
        <v>-604</v>
      </c>
      <c r="H82">
        <v>55475</v>
      </c>
      <c r="I82">
        <v>214328</v>
      </c>
      <c r="J82">
        <v>115101</v>
      </c>
      <c r="K82">
        <v>-154812</v>
      </c>
      <c r="L82">
        <v>-57193</v>
      </c>
      <c r="M82">
        <v>9.8800000000000008</v>
      </c>
      <c r="N82">
        <v>942721</v>
      </c>
      <c r="O82">
        <v>25843150</v>
      </c>
      <c r="P82" s="2">
        <v>3.6478563952149794</v>
      </c>
      <c r="Q82" s="4">
        <v>25.533032200000005</v>
      </c>
    </row>
    <row r="83" spans="1:17" x14ac:dyDescent="0.4">
      <c r="A83">
        <v>20210803</v>
      </c>
      <c r="B83" s="1">
        <v>0.47916666666666669</v>
      </c>
      <c r="C83">
        <v>192320</v>
      </c>
      <c r="D83">
        <v>279655</v>
      </c>
      <c r="E83">
        <v>7666</v>
      </c>
      <c r="F83">
        <v>157610</v>
      </c>
      <c r="G83">
        <v>-7433</v>
      </c>
      <c r="H83">
        <v>-75278</v>
      </c>
      <c r="I83">
        <v>313097</v>
      </c>
      <c r="J83">
        <v>121514</v>
      </c>
      <c r="K83">
        <v>-26457</v>
      </c>
      <c r="L83">
        <v>-60494</v>
      </c>
      <c r="M83">
        <v>9.8800000000000008</v>
      </c>
      <c r="N83">
        <v>902200</v>
      </c>
      <c r="O83">
        <v>26105900</v>
      </c>
      <c r="P83" s="2">
        <v>3.4559237566986774</v>
      </c>
      <c r="Q83" s="4">
        <v>25.792629200000004</v>
      </c>
    </row>
    <row r="84" spans="1:17" x14ac:dyDescent="0.4">
      <c r="A84">
        <v>20210803</v>
      </c>
      <c r="B84" s="1">
        <v>0.5</v>
      </c>
      <c r="C84">
        <v>176392</v>
      </c>
      <c r="D84">
        <v>195851</v>
      </c>
      <c r="E84">
        <v>28091</v>
      </c>
      <c r="F84">
        <v>155312</v>
      </c>
      <c r="G84">
        <v>-28167</v>
      </c>
      <c r="H84">
        <v>-121624</v>
      </c>
      <c r="I84">
        <v>327316</v>
      </c>
      <c r="J84">
        <v>107403</v>
      </c>
      <c r="K84">
        <v>195753</v>
      </c>
      <c r="L84">
        <v>-80340</v>
      </c>
      <c r="M84">
        <v>9.6300000000000008</v>
      </c>
      <c r="N84">
        <v>955987</v>
      </c>
      <c r="O84">
        <v>26154650</v>
      </c>
      <c r="P84" s="2">
        <v>3.6551320702054895</v>
      </c>
      <c r="Q84" s="4">
        <v>25.186927950000005</v>
      </c>
    </row>
    <row r="85" spans="1:17" x14ac:dyDescent="0.4">
      <c r="A85">
        <v>20210803</v>
      </c>
      <c r="B85" s="1">
        <v>0.52083333333333337</v>
      </c>
      <c r="C85">
        <v>195798</v>
      </c>
      <c r="D85">
        <v>318595</v>
      </c>
      <c r="E85">
        <v>-194078</v>
      </c>
      <c r="F85">
        <v>-4948</v>
      </c>
      <c r="G85">
        <v>2527</v>
      </c>
      <c r="H85">
        <v>-95941</v>
      </c>
      <c r="I85">
        <v>396345</v>
      </c>
      <c r="J85">
        <v>113007</v>
      </c>
      <c r="K85">
        <v>132053</v>
      </c>
      <c r="L85">
        <v>-71063</v>
      </c>
      <c r="M85">
        <v>9.74</v>
      </c>
      <c r="N85">
        <v>792295</v>
      </c>
      <c r="O85">
        <v>26134850</v>
      </c>
      <c r="P85" s="2">
        <v>3.03156513238071</v>
      </c>
      <c r="Q85" s="4">
        <v>25.455343899999999</v>
      </c>
    </row>
    <row r="86" spans="1:17" x14ac:dyDescent="0.4">
      <c r="A86">
        <v>20210803</v>
      </c>
      <c r="B86" s="1">
        <v>0.54166666666666663</v>
      </c>
      <c r="C86">
        <v>154336</v>
      </c>
      <c r="D86">
        <v>317493</v>
      </c>
      <c r="E86">
        <v>92725</v>
      </c>
      <c r="F86">
        <v>54724</v>
      </c>
      <c r="G86">
        <v>3312</v>
      </c>
      <c r="H86">
        <v>-176751</v>
      </c>
      <c r="I86">
        <v>400467</v>
      </c>
      <c r="J86">
        <v>80241</v>
      </c>
      <c r="K86">
        <v>168515</v>
      </c>
      <c r="L86">
        <v>-86871</v>
      </c>
      <c r="M86">
        <v>10.01</v>
      </c>
      <c r="N86">
        <v>1008191</v>
      </c>
      <c r="O86">
        <v>25752700</v>
      </c>
      <c r="P86" s="2">
        <v>3.9148943605913167</v>
      </c>
      <c r="Q86" s="4">
        <v>25.778452699999999</v>
      </c>
    </row>
    <row r="87" spans="1:17" x14ac:dyDescent="0.4">
      <c r="A87">
        <v>20210803</v>
      </c>
      <c r="B87" s="1">
        <v>0.5625</v>
      </c>
      <c r="C87">
        <v>200104</v>
      </c>
      <c r="D87">
        <v>358062</v>
      </c>
      <c r="E87">
        <v>-107902</v>
      </c>
      <c r="F87">
        <v>57254</v>
      </c>
      <c r="G87">
        <v>20035</v>
      </c>
      <c r="H87">
        <v>-140971</v>
      </c>
      <c r="I87">
        <v>354398</v>
      </c>
      <c r="J87">
        <v>21700</v>
      </c>
      <c r="K87">
        <v>220404</v>
      </c>
      <c r="L87">
        <v>-69645</v>
      </c>
      <c r="M87">
        <v>10.27</v>
      </c>
      <c r="N87">
        <v>913439</v>
      </c>
      <c r="O87">
        <v>25896850</v>
      </c>
      <c r="P87" s="2">
        <v>3.5272204920675683</v>
      </c>
      <c r="Q87" s="4">
        <v>26.596064949999999</v>
      </c>
    </row>
    <row r="88" spans="1:17" x14ac:dyDescent="0.4">
      <c r="A88">
        <v>20210803</v>
      </c>
      <c r="B88" s="1">
        <v>0.58333333333333337</v>
      </c>
      <c r="C88">
        <v>119411</v>
      </c>
      <c r="D88">
        <v>266768</v>
      </c>
      <c r="E88">
        <v>185464</v>
      </c>
      <c r="F88">
        <v>53863</v>
      </c>
      <c r="G88">
        <v>4392</v>
      </c>
      <c r="H88">
        <v>-73837</v>
      </c>
      <c r="I88">
        <v>233846</v>
      </c>
      <c r="J88">
        <v>-38150</v>
      </c>
      <c r="K88">
        <v>172381</v>
      </c>
      <c r="L88">
        <v>-59508</v>
      </c>
      <c r="M88">
        <v>10.27</v>
      </c>
      <c r="N88">
        <v>864630</v>
      </c>
      <c r="O88">
        <v>25691750</v>
      </c>
      <c r="P88" s="2">
        <v>3.3653993986396413</v>
      </c>
      <c r="Q88" s="4">
        <v>26.385427249999999</v>
      </c>
    </row>
    <row r="89" spans="1:17" x14ac:dyDescent="0.4">
      <c r="A89">
        <v>20210803</v>
      </c>
      <c r="B89" s="1">
        <v>0.60416666666666663</v>
      </c>
      <c r="C89">
        <v>121076</v>
      </c>
      <c r="D89">
        <v>253743</v>
      </c>
      <c r="E89">
        <v>-47045</v>
      </c>
      <c r="F89">
        <v>81498</v>
      </c>
      <c r="G89">
        <v>-30133</v>
      </c>
      <c r="H89">
        <v>30002</v>
      </c>
      <c r="I89">
        <v>233617</v>
      </c>
      <c r="J89">
        <v>-28522</v>
      </c>
      <c r="K89">
        <v>181414</v>
      </c>
      <c r="L89">
        <v>-61367</v>
      </c>
      <c r="M89">
        <v>10.84</v>
      </c>
      <c r="N89">
        <v>734283</v>
      </c>
      <c r="O89">
        <v>25295450</v>
      </c>
      <c r="P89" s="2">
        <v>2.9028263976327757</v>
      </c>
      <c r="Q89" s="4">
        <v>27.420267800000001</v>
      </c>
    </row>
    <row r="90" spans="1:17" x14ac:dyDescent="0.4">
      <c r="A90">
        <v>20210803</v>
      </c>
      <c r="B90" s="1">
        <v>0.625</v>
      </c>
      <c r="C90">
        <v>126607</v>
      </c>
      <c r="D90">
        <v>172626</v>
      </c>
      <c r="E90">
        <v>307710</v>
      </c>
      <c r="F90">
        <v>9565</v>
      </c>
      <c r="G90">
        <v>9606</v>
      </c>
      <c r="H90">
        <v>88818</v>
      </c>
      <c r="I90">
        <v>184290</v>
      </c>
      <c r="J90">
        <v>-57265</v>
      </c>
      <c r="K90">
        <v>164065</v>
      </c>
      <c r="L90">
        <v>-77414</v>
      </c>
      <c r="M90">
        <v>11.03</v>
      </c>
      <c r="N90">
        <v>928608</v>
      </c>
      <c r="O90">
        <v>24928800</v>
      </c>
      <c r="P90" s="2">
        <v>3.7250409165302782</v>
      </c>
      <c r="Q90" s="4">
        <v>27.496466399999999</v>
      </c>
    </row>
    <row r="91" spans="1:17" x14ac:dyDescent="0.4">
      <c r="A91">
        <v>20210803</v>
      </c>
      <c r="B91" s="1">
        <v>0.64583333333333337</v>
      </c>
      <c r="C91">
        <v>93736</v>
      </c>
      <c r="D91">
        <v>78272</v>
      </c>
      <c r="E91">
        <v>-115316</v>
      </c>
      <c r="F91">
        <v>3809</v>
      </c>
      <c r="G91">
        <v>-794</v>
      </c>
      <c r="H91">
        <v>154318</v>
      </c>
      <c r="I91">
        <v>132952</v>
      </c>
      <c r="J91">
        <v>-95008</v>
      </c>
      <c r="K91">
        <v>135737</v>
      </c>
      <c r="L91">
        <v>-88454</v>
      </c>
      <c r="M91">
        <v>15.03</v>
      </c>
      <c r="N91">
        <v>299252</v>
      </c>
      <c r="O91">
        <v>24402100</v>
      </c>
      <c r="P91" s="2">
        <v>1.2263370775466047</v>
      </c>
      <c r="Q91" s="4">
        <v>36.676356300000002</v>
      </c>
    </row>
    <row r="92" spans="1:17" x14ac:dyDescent="0.4">
      <c r="A92">
        <v>20210803</v>
      </c>
      <c r="B92" s="1">
        <v>0.66666666666666663</v>
      </c>
      <c r="C92">
        <v>88193</v>
      </c>
      <c r="D92">
        <v>142099</v>
      </c>
      <c r="E92">
        <v>-142782</v>
      </c>
      <c r="F92">
        <v>297438</v>
      </c>
      <c r="G92">
        <v>-31995</v>
      </c>
      <c r="H92">
        <v>142687</v>
      </c>
      <c r="I92">
        <v>114323</v>
      </c>
      <c r="J92">
        <v>-128626</v>
      </c>
      <c r="K92">
        <v>-63071</v>
      </c>
      <c r="L92">
        <v>-62510</v>
      </c>
      <c r="M92">
        <v>14.87</v>
      </c>
      <c r="N92">
        <v>355756</v>
      </c>
      <c r="O92">
        <v>24663900</v>
      </c>
      <c r="P92" s="2">
        <v>1.4424158385332408</v>
      </c>
      <c r="Q92" s="4">
        <v>36.675219300000002</v>
      </c>
    </row>
    <row r="93" spans="1:17" x14ac:dyDescent="0.4">
      <c r="A93">
        <v>20210803</v>
      </c>
      <c r="B93" s="1">
        <v>0.89583333333333337</v>
      </c>
      <c r="C93">
        <v>-39164</v>
      </c>
      <c r="D93">
        <v>-112336</v>
      </c>
      <c r="E93">
        <v>181827</v>
      </c>
      <c r="F93">
        <v>62484</v>
      </c>
      <c r="G93">
        <v>-6002</v>
      </c>
      <c r="H93">
        <v>-61667</v>
      </c>
      <c r="I93">
        <v>36005</v>
      </c>
      <c r="J93">
        <v>5203</v>
      </c>
      <c r="K93">
        <v>15991</v>
      </c>
      <c r="L93">
        <v>-47524</v>
      </c>
      <c r="M93">
        <v>9.92</v>
      </c>
      <c r="N93">
        <v>34817</v>
      </c>
      <c r="O93">
        <v>21403700</v>
      </c>
      <c r="P93" s="2">
        <v>0.16266813681746614</v>
      </c>
      <c r="Q93" s="4">
        <v>21.2324704</v>
      </c>
    </row>
    <row r="94" spans="1:17" x14ac:dyDescent="0.4">
      <c r="A94">
        <v>20210804</v>
      </c>
      <c r="B94" s="1">
        <v>2.0833333333333332E-2</v>
      </c>
      <c r="C94">
        <v>-67436</v>
      </c>
      <c r="D94">
        <v>40209</v>
      </c>
      <c r="E94">
        <v>-61229</v>
      </c>
      <c r="F94">
        <v>161739</v>
      </c>
      <c r="G94">
        <v>-12755</v>
      </c>
      <c r="H94">
        <v>-14004</v>
      </c>
      <c r="I94">
        <v>29147</v>
      </c>
      <c r="J94">
        <v>-23076</v>
      </c>
      <c r="K94">
        <v>40655</v>
      </c>
      <c r="L94">
        <v>-57505</v>
      </c>
      <c r="M94">
        <v>8.86</v>
      </c>
      <c r="N94">
        <v>35745</v>
      </c>
      <c r="O94">
        <v>19541150</v>
      </c>
      <c r="P94" s="2">
        <v>0.18292168065850781</v>
      </c>
      <c r="Q94" s="4">
        <v>17.313458900000001</v>
      </c>
    </row>
    <row r="95" spans="1:17" x14ac:dyDescent="0.4">
      <c r="A95">
        <v>20210804</v>
      </c>
      <c r="B95" s="1">
        <v>4.1666666666666664E-2</v>
      </c>
      <c r="C95">
        <v>-42889</v>
      </c>
      <c r="D95">
        <v>55577</v>
      </c>
      <c r="E95">
        <v>-114608</v>
      </c>
      <c r="F95">
        <v>137277</v>
      </c>
      <c r="G95">
        <v>-24778</v>
      </c>
      <c r="H95">
        <v>57683</v>
      </c>
      <c r="I95">
        <v>84586</v>
      </c>
      <c r="J95">
        <v>-17387</v>
      </c>
      <c r="K95">
        <v>12249</v>
      </c>
      <c r="L95">
        <v>-59241</v>
      </c>
      <c r="M95">
        <v>8.86</v>
      </c>
      <c r="N95">
        <v>88469</v>
      </c>
      <c r="O95">
        <v>19738150</v>
      </c>
      <c r="P95" s="2">
        <v>0.44821323173651029</v>
      </c>
      <c r="Q95" s="4">
        <v>17.488000899999999</v>
      </c>
    </row>
    <row r="96" spans="1:17" x14ac:dyDescent="0.4">
      <c r="A96">
        <v>20210804</v>
      </c>
      <c r="B96" s="1">
        <v>6.25E-2</v>
      </c>
      <c r="C96">
        <v>-10565</v>
      </c>
      <c r="D96">
        <v>65175</v>
      </c>
      <c r="E96">
        <v>-7385</v>
      </c>
      <c r="F96">
        <v>180062</v>
      </c>
      <c r="G96">
        <v>-28092</v>
      </c>
      <c r="H96">
        <v>-30428</v>
      </c>
      <c r="I96">
        <v>-33956</v>
      </c>
      <c r="J96">
        <v>-15370</v>
      </c>
      <c r="K96">
        <v>26716</v>
      </c>
      <c r="L96">
        <v>-54676</v>
      </c>
      <c r="M96">
        <v>7.59</v>
      </c>
      <c r="N96">
        <v>91481</v>
      </c>
      <c r="O96">
        <v>20064950</v>
      </c>
      <c r="P96" s="2">
        <v>0.45592438555790071</v>
      </c>
      <c r="Q96" s="4">
        <v>15.22929705</v>
      </c>
    </row>
    <row r="97" spans="1:17" x14ac:dyDescent="0.4">
      <c r="A97">
        <v>20210804</v>
      </c>
      <c r="B97" s="1">
        <v>0.125</v>
      </c>
      <c r="C97">
        <v>-37571</v>
      </c>
      <c r="D97">
        <v>66056</v>
      </c>
      <c r="E97">
        <v>-41858</v>
      </c>
      <c r="F97">
        <v>133601</v>
      </c>
      <c r="G97">
        <v>-10729</v>
      </c>
      <c r="H97">
        <v>-48074</v>
      </c>
      <c r="I97">
        <v>-45430</v>
      </c>
      <c r="J97">
        <v>-5802</v>
      </c>
      <c r="K97">
        <v>77798</v>
      </c>
      <c r="L97">
        <v>-45768</v>
      </c>
      <c r="M97">
        <v>7.58</v>
      </c>
      <c r="N97">
        <v>42223</v>
      </c>
      <c r="O97">
        <v>20455700</v>
      </c>
      <c r="P97" s="2">
        <v>0.20641190475026522</v>
      </c>
      <c r="Q97" s="4">
        <v>15.505420600000001</v>
      </c>
    </row>
    <row r="98" spans="1:17" x14ac:dyDescent="0.4">
      <c r="A98">
        <v>20210804</v>
      </c>
      <c r="B98" s="1">
        <v>0.14583333333333334</v>
      </c>
      <c r="C98">
        <v>-19943</v>
      </c>
      <c r="D98">
        <v>46717</v>
      </c>
      <c r="E98">
        <v>2496</v>
      </c>
      <c r="F98">
        <v>109315</v>
      </c>
      <c r="G98">
        <v>2954</v>
      </c>
      <c r="H98">
        <v>-42176</v>
      </c>
      <c r="I98">
        <v>-43040</v>
      </c>
      <c r="J98">
        <v>2549</v>
      </c>
      <c r="K98">
        <v>106056</v>
      </c>
      <c r="L98">
        <v>-51331</v>
      </c>
      <c r="M98">
        <v>7.58</v>
      </c>
      <c r="N98">
        <v>113597</v>
      </c>
      <c r="O98">
        <v>20547400</v>
      </c>
      <c r="P98" s="2">
        <v>0.55285340237694303</v>
      </c>
      <c r="Q98" s="4">
        <v>15.5749292</v>
      </c>
    </row>
    <row r="99" spans="1:17" x14ac:dyDescent="0.4">
      <c r="A99">
        <v>20210804</v>
      </c>
      <c r="B99" s="1">
        <v>0.16666666666666666</v>
      </c>
      <c r="C99">
        <v>-19672</v>
      </c>
      <c r="D99">
        <v>61363</v>
      </c>
      <c r="E99">
        <v>8464</v>
      </c>
      <c r="F99">
        <v>162608</v>
      </c>
      <c r="G99">
        <v>6381</v>
      </c>
      <c r="H99">
        <v>-93025</v>
      </c>
      <c r="I99">
        <v>-29176</v>
      </c>
      <c r="J99">
        <v>19960</v>
      </c>
      <c r="K99">
        <v>189826</v>
      </c>
      <c r="L99">
        <v>-50853</v>
      </c>
      <c r="M99">
        <v>7.63</v>
      </c>
      <c r="N99">
        <v>255876</v>
      </c>
      <c r="O99">
        <v>20614150</v>
      </c>
      <c r="P99" s="2">
        <v>1.2412638891247032</v>
      </c>
      <c r="Q99" s="4">
        <v>15.72859645</v>
      </c>
    </row>
    <row r="100" spans="1:17" x14ac:dyDescent="0.4">
      <c r="A100">
        <v>20210804</v>
      </c>
      <c r="B100" s="1">
        <v>0.1875</v>
      </c>
      <c r="C100">
        <v>-9018</v>
      </c>
      <c r="D100">
        <v>53849</v>
      </c>
      <c r="E100">
        <v>21527</v>
      </c>
      <c r="F100">
        <v>126053</v>
      </c>
      <c r="G100">
        <v>-11551</v>
      </c>
      <c r="H100">
        <v>-151519</v>
      </c>
      <c r="I100">
        <v>-57437</v>
      </c>
      <c r="J100">
        <v>24234</v>
      </c>
      <c r="K100">
        <v>117739</v>
      </c>
      <c r="L100">
        <v>-44545</v>
      </c>
      <c r="M100">
        <v>7.63</v>
      </c>
      <c r="N100">
        <v>69332</v>
      </c>
      <c r="O100">
        <v>20630000</v>
      </c>
      <c r="P100" s="2">
        <v>0.33607367910809499</v>
      </c>
      <c r="Q100" s="4">
        <v>15.740690000000001</v>
      </c>
    </row>
    <row r="101" spans="1:17" x14ac:dyDescent="0.4">
      <c r="A101">
        <v>20210804</v>
      </c>
      <c r="B101" s="1">
        <v>0.20833333333333334</v>
      </c>
      <c r="C101">
        <v>-4103</v>
      </c>
      <c r="D101">
        <v>123928</v>
      </c>
      <c r="E101">
        <v>42018</v>
      </c>
      <c r="F101">
        <v>103390</v>
      </c>
      <c r="G101">
        <v>-8801</v>
      </c>
      <c r="H101">
        <v>-106946</v>
      </c>
      <c r="I101">
        <v>-82397</v>
      </c>
      <c r="J101">
        <v>48669</v>
      </c>
      <c r="K101">
        <v>140507</v>
      </c>
      <c r="L101">
        <v>-47874</v>
      </c>
      <c r="M101">
        <v>7.93</v>
      </c>
      <c r="N101">
        <v>208391</v>
      </c>
      <c r="O101">
        <v>20621150</v>
      </c>
      <c r="P101" s="2">
        <v>1.0105692456531279</v>
      </c>
      <c r="Q101" s="4">
        <v>16.352571950000002</v>
      </c>
    </row>
    <row r="102" spans="1:17" x14ac:dyDescent="0.4">
      <c r="A102">
        <v>20210804</v>
      </c>
      <c r="B102" s="1">
        <v>0.22916666666666666</v>
      </c>
      <c r="C102">
        <v>13659</v>
      </c>
      <c r="D102">
        <v>216923</v>
      </c>
      <c r="E102">
        <v>-22015</v>
      </c>
      <c r="F102">
        <v>56129</v>
      </c>
      <c r="G102">
        <v>-21194</v>
      </c>
      <c r="H102">
        <v>-73132</v>
      </c>
      <c r="I102">
        <v>-117699</v>
      </c>
      <c r="J102">
        <v>75268</v>
      </c>
      <c r="K102">
        <v>99377</v>
      </c>
      <c r="L102">
        <v>-50734</v>
      </c>
      <c r="M102">
        <v>7.65</v>
      </c>
      <c r="N102">
        <v>176582</v>
      </c>
      <c r="O102">
        <v>20661400</v>
      </c>
      <c r="P102" s="2">
        <v>0.85464682935328684</v>
      </c>
      <c r="Q102" s="4">
        <v>15.805971</v>
      </c>
    </row>
    <row r="103" spans="1:17" x14ac:dyDescent="0.4">
      <c r="A103">
        <v>20210804</v>
      </c>
      <c r="B103" s="1">
        <v>0.25</v>
      </c>
      <c r="C103">
        <v>21088</v>
      </c>
      <c r="D103">
        <v>224887</v>
      </c>
      <c r="E103">
        <v>179410</v>
      </c>
      <c r="F103">
        <v>-3177</v>
      </c>
      <c r="G103">
        <v>-18735</v>
      </c>
      <c r="H103">
        <v>-128289</v>
      </c>
      <c r="I103">
        <v>-180454</v>
      </c>
      <c r="J103">
        <v>94971</v>
      </c>
      <c r="K103">
        <v>-69463</v>
      </c>
      <c r="L103">
        <v>-53142</v>
      </c>
      <c r="M103">
        <v>7.93</v>
      </c>
      <c r="N103">
        <v>67096</v>
      </c>
      <c r="O103">
        <v>21245450</v>
      </c>
      <c r="P103" s="2">
        <v>0.31581350359724081</v>
      </c>
      <c r="Q103" s="4">
        <v>16.847641849999999</v>
      </c>
    </row>
    <row r="104" spans="1:17" x14ac:dyDescent="0.4">
      <c r="A104">
        <v>20210804</v>
      </c>
      <c r="B104" s="1">
        <v>0.27083333333333331</v>
      </c>
      <c r="C104">
        <v>42972</v>
      </c>
      <c r="D104">
        <v>296166</v>
      </c>
      <c r="E104">
        <v>159842</v>
      </c>
      <c r="F104">
        <v>44885</v>
      </c>
      <c r="G104">
        <v>-15340</v>
      </c>
      <c r="H104">
        <v>-135404</v>
      </c>
      <c r="I104">
        <v>-166174</v>
      </c>
      <c r="J104">
        <v>108770</v>
      </c>
      <c r="K104">
        <v>-183094</v>
      </c>
      <c r="L104">
        <v>-55960</v>
      </c>
      <c r="M104">
        <v>7.93</v>
      </c>
      <c r="N104">
        <v>96663</v>
      </c>
      <c r="O104">
        <v>21758950</v>
      </c>
      <c r="P104" s="2">
        <v>0.44424478203222123</v>
      </c>
      <c r="Q104" s="4">
        <v>17.254847349999999</v>
      </c>
    </row>
    <row r="105" spans="1:17" x14ac:dyDescent="0.4">
      <c r="A105">
        <v>20210804</v>
      </c>
      <c r="B105" s="1">
        <v>0.29166666666666669</v>
      </c>
      <c r="C105">
        <v>80862</v>
      </c>
      <c r="D105">
        <v>336427</v>
      </c>
      <c r="E105">
        <v>132926</v>
      </c>
      <c r="F105">
        <v>176681</v>
      </c>
      <c r="G105">
        <v>15020</v>
      </c>
      <c r="H105">
        <v>-113968</v>
      </c>
      <c r="I105">
        <v>-214040</v>
      </c>
      <c r="J105">
        <v>99244</v>
      </c>
      <c r="K105">
        <v>-174813</v>
      </c>
      <c r="L105">
        <v>-52013</v>
      </c>
      <c r="M105">
        <v>7.94</v>
      </c>
      <c r="N105">
        <v>286326</v>
      </c>
      <c r="O105">
        <v>22741350</v>
      </c>
      <c r="P105" s="2">
        <v>1.2590545416169225</v>
      </c>
      <c r="Q105" s="4">
        <v>18.056631899999999</v>
      </c>
    </row>
    <row r="106" spans="1:17" x14ac:dyDescent="0.4">
      <c r="A106">
        <v>20210804</v>
      </c>
      <c r="B106" s="1">
        <v>0.3125</v>
      </c>
      <c r="C106">
        <v>49526</v>
      </c>
      <c r="D106">
        <v>571013</v>
      </c>
      <c r="E106">
        <v>-293823</v>
      </c>
      <c r="F106">
        <v>213188</v>
      </c>
      <c r="G106">
        <v>18706</v>
      </c>
      <c r="H106">
        <v>-70085</v>
      </c>
      <c r="I106">
        <v>-141429</v>
      </c>
      <c r="J106">
        <v>133336</v>
      </c>
      <c r="K106">
        <v>-127934</v>
      </c>
      <c r="L106">
        <v>-57741</v>
      </c>
      <c r="M106">
        <v>8.39</v>
      </c>
      <c r="N106">
        <v>294757</v>
      </c>
      <c r="O106">
        <v>23067650</v>
      </c>
      <c r="P106" s="2">
        <v>1.2777937934726771</v>
      </c>
      <c r="Q106" s="4">
        <v>19.35375835</v>
      </c>
    </row>
    <row r="107" spans="1:17" x14ac:dyDescent="0.4">
      <c r="A107">
        <v>20210804</v>
      </c>
      <c r="B107" s="1">
        <v>0.33333333333333331</v>
      </c>
      <c r="C107">
        <v>-20354</v>
      </c>
      <c r="D107">
        <v>488750</v>
      </c>
      <c r="E107">
        <v>135465</v>
      </c>
      <c r="F107">
        <v>313796</v>
      </c>
      <c r="G107">
        <v>50749</v>
      </c>
      <c r="H107">
        <v>-147727</v>
      </c>
      <c r="I107">
        <v>-106529</v>
      </c>
      <c r="J107">
        <v>148428</v>
      </c>
      <c r="K107">
        <v>-29611</v>
      </c>
      <c r="L107">
        <v>-38821</v>
      </c>
      <c r="M107">
        <v>7.46</v>
      </c>
      <c r="N107">
        <v>794146</v>
      </c>
      <c r="O107">
        <v>24340550</v>
      </c>
      <c r="P107" s="2">
        <v>3.2626460782521347</v>
      </c>
      <c r="Q107" s="4">
        <v>18.158050299999999</v>
      </c>
    </row>
    <row r="108" spans="1:17" x14ac:dyDescent="0.4">
      <c r="A108">
        <v>20210804</v>
      </c>
      <c r="B108" s="1">
        <v>0.35416666666666669</v>
      </c>
      <c r="C108">
        <v>59867</v>
      </c>
      <c r="D108">
        <v>557428</v>
      </c>
      <c r="E108">
        <v>-57785</v>
      </c>
      <c r="F108">
        <v>122293</v>
      </c>
      <c r="G108">
        <v>57523</v>
      </c>
      <c r="H108">
        <v>-174298</v>
      </c>
      <c r="I108">
        <v>-125906</v>
      </c>
      <c r="J108">
        <v>115358</v>
      </c>
      <c r="K108">
        <v>-3688</v>
      </c>
      <c r="L108">
        <v>-38128</v>
      </c>
      <c r="M108">
        <v>8.86</v>
      </c>
      <c r="N108">
        <v>512664</v>
      </c>
      <c r="O108">
        <v>24946300</v>
      </c>
      <c r="P108" s="2">
        <v>2.0550702909850358</v>
      </c>
      <c r="Q108" s="4">
        <v>22.102421799999998</v>
      </c>
    </row>
    <row r="109" spans="1:17" x14ac:dyDescent="0.4">
      <c r="A109">
        <v>20210804</v>
      </c>
      <c r="B109" s="1">
        <v>0.375</v>
      </c>
      <c r="C109">
        <v>-35694</v>
      </c>
      <c r="D109">
        <v>481157</v>
      </c>
      <c r="E109">
        <v>83895</v>
      </c>
      <c r="F109">
        <v>268893</v>
      </c>
      <c r="G109">
        <v>58984</v>
      </c>
      <c r="H109">
        <v>-207465</v>
      </c>
      <c r="I109">
        <v>-97083</v>
      </c>
      <c r="J109">
        <v>129251</v>
      </c>
      <c r="K109">
        <v>3646</v>
      </c>
      <c r="L109">
        <v>-44252</v>
      </c>
      <c r="M109">
        <v>9.6</v>
      </c>
      <c r="N109">
        <v>641332</v>
      </c>
      <c r="O109">
        <v>25455350</v>
      </c>
      <c r="P109" s="2">
        <v>2.5194389391621015</v>
      </c>
      <c r="Q109" s="4">
        <v>24.437135999999999</v>
      </c>
    </row>
    <row r="110" spans="1:17" x14ac:dyDescent="0.4">
      <c r="A110">
        <v>20210804</v>
      </c>
      <c r="B110" s="1">
        <v>0.39583333333333331</v>
      </c>
      <c r="C110">
        <v>-14575</v>
      </c>
      <c r="D110">
        <v>464545</v>
      </c>
      <c r="E110">
        <v>-154047</v>
      </c>
      <c r="F110">
        <v>270538</v>
      </c>
      <c r="G110">
        <v>53025</v>
      </c>
      <c r="H110">
        <v>-225589</v>
      </c>
      <c r="I110">
        <v>-26407</v>
      </c>
      <c r="J110">
        <v>114698</v>
      </c>
      <c r="K110">
        <v>59280</v>
      </c>
      <c r="L110">
        <v>-60468</v>
      </c>
      <c r="M110">
        <v>9.65</v>
      </c>
      <c r="N110">
        <v>481000</v>
      </c>
      <c r="O110">
        <v>25856650</v>
      </c>
      <c r="P110" s="2">
        <v>1.8602564524019933</v>
      </c>
      <c r="Q110" s="4">
        <v>24.95166725</v>
      </c>
    </row>
    <row r="111" spans="1:17" x14ac:dyDescent="0.4">
      <c r="A111">
        <v>20210804</v>
      </c>
      <c r="B111" s="1">
        <v>0.41666666666666669</v>
      </c>
      <c r="C111">
        <v>-62488</v>
      </c>
      <c r="D111">
        <v>388196</v>
      </c>
      <c r="E111">
        <v>-27739</v>
      </c>
      <c r="F111">
        <v>281093</v>
      </c>
      <c r="G111">
        <v>38205</v>
      </c>
      <c r="H111">
        <v>-214299</v>
      </c>
      <c r="I111">
        <v>-20161</v>
      </c>
      <c r="J111">
        <v>102253</v>
      </c>
      <c r="K111">
        <v>-54390</v>
      </c>
      <c r="L111">
        <v>-52530</v>
      </c>
      <c r="M111">
        <v>9.74</v>
      </c>
      <c r="N111">
        <v>378140</v>
      </c>
      <c r="O111">
        <v>26318500</v>
      </c>
      <c r="P111" s="2">
        <v>1.4367840112468415</v>
      </c>
      <c r="Q111" s="4">
        <v>25.634219000000002</v>
      </c>
    </row>
    <row r="112" spans="1:17" x14ac:dyDescent="0.4">
      <c r="A112">
        <v>20210804</v>
      </c>
      <c r="B112" s="1">
        <v>0.4375</v>
      </c>
      <c r="C112">
        <v>-35851</v>
      </c>
      <c r="D112">
        <v>335977</v>
      </c>
      <c r="E112">
        <v>158682</v>
      </c>
      <c r="F112">
        <v>306876</v>
      </c>
      <c r="G112">
        <v>46719</v>
      </c>
      <c r="H112">
        <v>-236732</v>
      </c>
      <c r="I112">
        <v>-31631</v>
      </c>
      <c r="J112">
        <v>91013</v>
      </c>
      <c r="K112">
        <v>11089</v>
      </c>
      <c r="L112">
        <v>-56046</v>
      </c>
      <c r="M112">
        <v>9.83</v>
      </c>
      <c r="N112">
        <v>590096</v>
      </c>
      <c r="O112">
        <v>26526200</v>
      </c>
      <c r="P112" s="2">
        <v>2.2245779644276227</v>
      </c>
      <c r="Q112" s="4">
        <v>26.075254600000001</v>
      </c>
    </row>
    <row r="113" spans="1:17" x14ac:dyDescent="0.4">
      <c r="A113">
        <v>20210804</v>
      </c>
      <c r="B113" s="1">
        <v>0.45833333333333331</v>
      </c>
      <c r="C113">
        <v>-2340</v>
      </c>
      <c r="D113">
        <v>230006</v>
      </c>
      <c r="E113">
        <v>228727</v>
      </c>
      <c r="F113">
        <v>300148</v>
      </c>
      <c r="G113">
        <v>40117</v>
      </c>
      <c r="H113">
        <v>-252619</v>
      </c>
      <c r="I113">
        <v>-67601</v>
      </c>
      <c r="J113">
        <v>91725</v>
      </c>
      <c r="K113">
        <v>-28334</v>
      </c>
      <c r="L113">
        <v>-61331</v>
      </c>
      <c r="M113">
        <v>10.01</v>
      </c>
      <c r="N113">
        <v>478498</v>
      </c>
      <c r="O113">
        <v>26841900</v>
      </c>
      <c r="P113" s="2">
        <v>1.7826532398973247</v>
      </c>
      <c r="Q113" s="4">
        <v>26.8687419</v>
      </c>
    </row>
    <row r="114" spans="1:17" x14ac:dyDescent="0.4">
      <c r="A114">
        <v>20210804</v>
      </c>
      <c r="B114" s="1">
        <v>0.47916666666666669</v>
      </c>
      <c r="C114">
        <v>39394</v>
      </c>
      <c r="D114">
        <v>109786</v>
      </c>
      <c r="E114">
        <v>221715</v>
      </c>
      <c r="F114">
        <v>210891</v>
      </c>
      <c r="G114">
        <v>39149</v>
      </c>
      <c r="H114">
        <v>-171463</v>
      </c>
      <c r="I114">
        <v>27971</v>
      </c>
      <c r="J114">
        <v>75391</v>
      </c>
      <c r="K114">
        <v>27593</v>
      </c>
      <c r="L114">
        <v>-52393</v>
      </c>
      <c r="M114">
        <v>9.89</v>
      </c>
      <c r="N114">
        <v>528034</v>
      </c>
      <c r="O114">
        <v>27010300</v>
      </c>
      <c r="P114" s="2">
        <v>1.95493570971074</v>
      </c>
      <c r="Q114" s="4">
        <v>26.713186700000001</v>
      </c>
    </row>
    <row r="115" spans="1:17" x14ac:dyDescent="0.4">
      <c r="A115">
        <v>20210804</v>
      </c>
      <c r="B115" s="1">
        <v>0.5</v>
      </c>
      <c r="C115">
        <v>23225</v>
      </c>
      <c r="D115">
        <v>61861</v>
      </c>
      <c r="E115">
        <v>183042</v>
      </c>
      <c r="F115">
        <v>211067</v>
      </c>
      <c r="G115">
        <v>47076</v>
      </c>
      <c r="H115">
        <v>-152523</v>
      </c>
      <c r="I115">
        <v>-4516</v>
      </c>
      <c r="J115">
        <v>103042</v>
      </c>
      <c r="K115">
        <v>-62796</v>
      </c>
      <c r="L115">
        <v>-32413</v>
      </c>
      <c r="M115">
        <v>9.6</v>
      </c>
      <c r="N115">
        <v>377065</v>
      </c>
      <c r="O115">
        <v>26936950</v>
      </c>
      <c r="P115" s="2">
        <v>1.3998058429035209</v>
      </c>
      <c r="Q115" s="4">
        <v>25.859472</v>
      </c>
    </row>
    <row r="116" spans="1:17" x14ac:dyDescent="0.4">
      <c r="A116">
        <v>20210804</v>
      </c>
      <c r="B116" s="1">
        <v>0.52083333333333337</v>
      </c>
      <c r="C116">
        <v>47877</v>
      </c>
      <c r="D116">
        <v>41837</v>
      </c>
      <c r="E116">
        <v>176989</v>
      </c>
      <c r="F116">
        <v>177765</v>
      </c>
      <c r="G116">
        <v>79421</v>
      </c>
      <c r="H116">
        <v>-114071</v>
      </c>
      <c r="I116">
        <v>-18822</v>
      </c>
      <c r="J116">
        <v>93928</v>
      </c>
      <c r="K116">
        <v>-96134</v>
      </c>
      <c r="L116">
        <v>-24661</v>
      </c>
      <c r="M116">
        <v>9.82</v>
      </c>
      <c r="N116">
        <v>364129</v>
      </c>
      <c r="O116">
        <v>26878700</v>
      </c>
      <c r="P116" s="2">
        <v>1.354712095451045</v>
      </c>
      <c r="Q116" s="4">
        <v>26.394883400000001</v>
      </c>
    </row>
    <row r="117" spans="1:17" x14ac:dyDescent="0.4">
      <c r="A117">
        <v>20210804</v>
      </c>
      <c r="B117" s="1">
        <v>0.54166666666666663</v>
      </c>
      <c r="C117">
        <v>21244</v>
      </c>
      <c r="D117">
        <v>-50847</v>
      </c>
      <c r="E117">
        <v>47663</v>
      </c>
      <c r="F117">
        <v>197126</v>
      </c>
      <c r="G117">
        <v>92057</v>
      </c>
      <c r="H117">
        <v>-77711</v>
      </c>
      <c r="I117">
        <v>-1631</v>
      </c>
      <c r="J117">
        <v>61580</v>
      </c>
      <c r="K117">
        <v>-78279</v>
      </c>
      <c r="L117">
        <v>-11768</v>
      </c>
      <c r="M117">
        <v>10.27</v>
      </c>
      <c r="N117">
        <v>199434</v>
      </c>
      <c r="O117">
        <v>26518900</v>
      </c>
      <c r="P117" s="2">
        <v>0.75204476807107379</v>
      </c>
      <c r="Q117" s="4">
        <v>27.234910299999999</v>
      </c>
    </row>
    <row r="118" spans="1:17" x14ac:dyDescent="0.4">
      <c r="A118">
        <v>20210804</v>
      </c>
      <c r="B118" s="1">
        <v>0.5625</v>
      </c>
      <c r="C118">
        <v>26646</v>
      </c>
      <c r="D118">
        <v>-61563</v>
      </c>
      <c r="E118">
        <v>76857</v>
      </c>
      <c r="F118">
        <v>248539</v>
      </c>
      <c r="G118">
        <v>94449</v>
      </c>
      <c r="H118">
        <v>24703</v>
      </c>
      <c r="I118">
        <v>-48383</v>
      </c>
      <c r="J118">
        <v>63046</v>
      </c>
      <c r="K118">
        <v>98620</v>
      </c>
      <c r="L118">
        <v>-25478</v>
      </c>
      <c r="M118">
        <v>10.27</v>
      </c>
      <c r="N118">
        <v>497436</v>
      </c>
      <c r="O118">
        <v>26437000</v>
      </c>
      <c r="P118" s="2">
        <v>1.881590195559254</v>
      </c>
      <c r="Q118" s="4">
        <v>27.150798999999999</v>
      </c>
    </row>
    <row r="119" spans="1:17" x14ac:dyDescent="0.4">
      <c r="A119">
        <v>20210804</v>
      </c>
      <c r="B119" s="1">
        <v>0.58333333333333337</v>
      </c>
      <c r="C119">
        <v>-74600</v>
      </c>
      <c r="D119">
        <v>-13474</v>
      </c>
      <c r="E119">
        <v>264</v>
      </c>
      <c r="F119">
        <v>320446</v>
      </c>
      <c r="G119">
        <v>90726</v>
      </c>
      <c r="H119">
        <v>9560</v>
      </c>
      <c r="I119">
        <v>88022</v>
      </c>
      <c r="J119">
        <v>51635</v>
      </c>
      <c r="K119">
        <v>240267</v>
      </c>
      <c r="L119">
        <v>-27862</v>
      </c>
      <c r="M119">
        <v>10.84</v>
      </c>
      <c r="N119">
        <v>684984</v>
      </c>
      <c r="O119">
        <v>26282400</v>
      </c>
      <c r="P119" s="2">
        <v>2.6062460049310565</v>
      </c>
      <c r="Q119" s="4">
        <v>28.490121599999998</v>
      </c>
    </row>
    <row r="120" spans="1:17" x14ac:dyDescent="0.4">
      <c r="A120">
        <v>20210804</v>
      </c>
      <c r="B120" s="1">
        <v>0.60416666666666663</v>
      </c>
      <c r="C120">
        <v>-16637</v>
      </c>
      <c r="D120">
        <v>78022</v>
      </c>
      <c r="E120">
        <v>73514</v>
      </c>
      <c r="F120">
        <v>282155</v>
      </c>
      <c r="G120">
        <v>75363</v>
      </c>
      <c r="H120">
        <v>129043</v>
      </c>
      <c r="I120">
        <v>111746</v>
      </c>
      <c r="J120">
        <v>49093</v>
      </c>
      <c r="K120">
        <v>293844</v>
      </c>
      <c r="L120">
        <v>-24505</v>
      </c>
      <c r="M120">
        <v>12.26</v>
      </c>
      <c r="N120">
        <v>1051638</v>
      </c>
      <c r="O120">
        <v>26452050</v>
      </c>
      <c r="P120" s="2">
        <v>3.9756389391370424</v>
      </c>
      <c r="Q120" s="4">
        <v>32.430213299999998</v>
      </c>
    </row>
    <row r="121" spans="1:17" x14ac:dyDescent="0.4">
      <c r="A121">
        <v>20210804</v>
      </c>
      <c r="B121" s="1">
        <v>0.625</v>
      </c>
      <c r="C121">
        <v>-108559</v>
      </c>
      <c r="D121">
        <v>-27713</v>
      </c>
      <c r="E121">
        <v>-47008</v>
      </c>
      <c r="F121">
        <v>225138</v>
      </c>
      <c r="G121">
        <v>57715</v>
      </c>
      <c r="H121">
        <v>129891</v>
      </c>
      <c r="I121">
        <v>121668</v>
      </c>
      <c r="J121">
        <v>27201</v>
      </c>
      <c r="K121">
        <v>338376</v>
      </c>
      <c r="L121">
        <v>-25831</v>
      </c>
      <c r="M121">
        <v>14.81</v>
      </c>
      <c r="N121">
        <v>690878</v>
      </c>
      <c r="O121">
        <v>25873400</v>
      </c>
      <c r="P121" s="2">
        <v>2.6702250187451204</v>
      </c>
      <c r="Q121" s="4">
        <v>38.318505399999999</v>
      </c>
    </row>
    <row r="122" spans="1:17" x14ac:dyDescent="0.4">
      <c r="A122">
        <v>20210804</v>
      </c>
      <c r="B122" s="1">
        <v>0.875</v>
      </c>
      <c r="C122">
        <v>-15722</v>
      </c>
      <c r="D122">
        <v>-83890</v>
      </c>
      <c r="E122">
        <v>304531</v>
      </c>
      <c r="F122">
        <v>-56406</v>
      </c>
      <c r="G122">
        <v>-16208</v>
      </c>
      <c r="H122">
        <v>100707</v>
      </c>
      <c r="I122">
        <v>-113310</v>
      </c>
      <c r="J122">
        <v>1096</v>
      </c>
      <c r="K122">
        <v>53614</v>
      </c>
      <c r="L122">
        <v>-37289</v>
      </c>
      <c r="M122">
        <v>9.9499999999999993</v>
      </c>
      <c r="N122">
        <v>137123</v>
      </c>
      <c r="O122">
        <v>21350850</v>
      </c>
      <c r="P122" s="2">
        <v>0.6422367259383116</v>
      </c>
      <c r="Q122" s="4">
        <v>21.244095749999996</v>
      </c>
    </row>
    <row r="123" spans="1:17" x14ac:dyDescent="0.4">
      <c r="A123">
        <v>20210804</v>
      </c>
      <c r="B123" s="1">
        <v>0.89583333333333337</v>
      </c>
      <c r="C123">
        <v>-54008</v>
      </c>
      <c r="D123">
        <v>-57371</v>
      </c>
      <c r="E123">
        <v>372471</v>
      </c>
      <c r="F123">
        <v>-46201</v>
      </c>
      <c r="G123">
        <v>-23174</v>
      </c>
      <c r="H123">
        <v>-74417</v>
      </c>
      <c r="I123">
        <v>-88472</v>
      </c>
      <c r="J123">
        <v>-12905</v>
      </c>
      <c r="K123">
        <v>54107</v>
      </c>
      <c r="L123">
        <v>-32397</v>
      </c>
      <c r="M123">
        <v>9.85</v>
      </c>
      <c r="N123">
        <v>37633</v>
      </c>
      <c r="O123">
        <v>21404100</v>
      </c>
      <c r="P123" s="2">
        <v>0.17582145476801173</v>
      </c>
      <c r="Q123" s="4">
        <v>21.083038500000001</v>
      </c>
    </row>
    <row r="124" spans="1:17" x14ac:dyDescent="0.4">
      <c r="A124">
        <v>20210804</v>
      </c>
      <c r="B124" s="1">
        <v>0.91666666666666663</v>
      </c>
      <c r="C124">
        <v>-28735</v>
      </c>
      <c r="D124">
        <v>-30157</v>
      </c>
      <c r="E124">
        <v>385919</v>
      </c>
      <c r="F124">
        <v>18551</v>
      </c>
      <c r="G124">
        <v>-40887</v>
      </c>
      <c r="H124">
        <v>-21860</v>
      </c>
      <c r="I124">
        <v>29006</v>
      </c>
      <c r="J124">
        <v>-19711</v>
      </c>
      <c r="K124">
        <v>17332</v>
      </c>
      <c r="L124">
        <v>-39334</v>
      </c>
      <c r="M124">
        <v>9.69</v>
      </c>
      <c r="N124">
        <v>270124</v>
      </c>
      <c r="O124">
        <v>20747750</v>
      </c>
      <c r="P124" s="2">
        <v>1.3019435842440747</v>
      </c>
      <c r="Q124" s="4">
        <v>20.10456975</v>
      </c>
    </row>
    <row r="125" spans="1:17" x14ac:dyDescent="0.4">
      <c r="A125">
        <v>20210804</v>
      </c>
      <c r="B125" s="1">
        <v>0.9375</v>
      </c>
      <c r="C125">
        <v>-48285</v>
      </c>
      <c r="D125">
        <v>-116476</v>
      </c>
      <c r="E125">
        <v>428008</v>
      </c>
      <c r="F125">
        <v>-24521</v>
      </c>
      <c r="G125">
        <v>-60466</v>
      </c>
      <c r="H125">
        <v>114972</v>
      </c>
      <c r="I125">
        <v>-40837</v>
      </c>
      <c r="J125">
        <v>-15920</v>
      </c>
      <c r="K125">
        <v>-65993</v>
      </c>
      <c r="L125">
        <v>-31570</v>
      </c>
      <c r="M125">
        <v>9.6199999999999992</v>
      </c>
      <c r="N125">
        <v>138912</v>
      </c>
      <c r="O125">
        <v>20654350</v>
      </c>
      <c r="P125" s="2">
        <v>0.67255566018780544</v>
      </c>
      <c r="Q125" s="4">
        <v>19.869484699999997</v>
      </c>
    </row>
    <row r="126" spans="1:17" x14ac:dyDescent="0.4">
      <c r="A126">
        <v>20210805</v>
      </c>
      <c r="B126" s="1">
        <v>2.0833333333333332E-2</v>
      </c>
      <c r="C126">
        <v>10362</v>
      </c>
      <c r="D126">
        <v>-57643</v>
      </c>
      <c r="E126">
        <v>416579</v>
      </c>
      <c r="F126">
        <v>5860</v>
      </c>
      <c r="G126">
        <v>-31874</v>
      </c>
      <c r="H126">
        <v>92960</v>
      </c>
      <c r="I126">
        <v>-73525</v>
      </c>
      <c r="J126">
        <v>-14034</v>
      </c>
      <c r="K126">
        <v>-35403</v>
      </c>
      <c r="L126">
        <v>-37883</v>
      </c>
      <c r="M126">
        <v>8.0299999999999994</v>
      </c>
      <c r="N126">
        <v>275399</v>
      </c>
      <c r="O126">
        <v>19820100</v>
      </c>
      <c r="P126" s="2">
        <v>1.3894934939783352</v>
      </c>
      <c r="Q126" s="4">
        <v>15.9155403</v>
      </c>
    </row>
    <row r="127" spans="1:17" x14ac:dyDescent="0.4">
      <c r="A127">
        <v>20210805</v>
      </c>
      <c r="B127" s="1">
        <v>4.1666666666666664E-2</v>
      </c>
      <c r="C127">
        <v>-18379</v>
      </c>
      <c r="D127">
        <v>-80327</v>
      </c>
      <c r="E127">
        <v>285445</v>
      </c>
      <c r="F127">
        <v>16013</v>
      </c>
      <c r="G127">
        <v>-36715</v>
      </c>
      <c r="H127">
        <v>138587</v>
      </c>
      <c r="I127">
        <v>-68900</v>
      </c>
      <c r="J127">
        <v>-10808</v>
      </c>
      <c r="K127">
        <v>-82198</v>
      </c>
      <c r="L127">
        <v>-30589</v>
      </c>
      <c r="M127">
        <v>8.1199999999999992</v>
      </c>
      <c r="N127">
        <v>112129</v>
      </c>
      <c r="O127">
        <v>19915200</v>
      </c>
      <c r="P127" s="2">
        <v>0.56303225676869928</v>
      </c>
      <c r="Q127" s="4">
        <v>16.171142399999997</v>
      </c>
    </row>
    <row r="128" spans="1:17" x14ac:dyDescent="0.4">
      <c r="A128">
        <v>20210805</v>
      </c>
      <c r="B128" s="1">
        <v>6.25E-2</v>
      </c>
      <c r="C128">
        <v>-2726</v>
      </c>
      <c r="D128">
        <v>-118874</v>
      </c>
      <c r="E128">
        <v>354818</v>
      </c>
      <c r="F128">
        <v>56607</v>
      </c>
      <c r="G128">
        <v>-10416</v>
      </c>
      <c r="H128">
        <v>110435</v>
      </c>
      <c r="I128">
        <v>-71756</v>
      </c>
      <c r="J128">
        <v>-13505</v>
      </c>
      <c r="K128">
        <v>-80115</v>
      </c>
      <c r="L128">
        <v>-23559</v>
      </c>
      <c r="M128">
        <v>8.02</v>
      </c>
      <c r="N128">
        <v>200909</v>
      </c>
      <c r="O128">
        <v>19895950</v>
      </c>
      <c r="P128" s="2">
        <v>1.0097984765743782</v>
      </c>
      <c r="Q128" s="4">
        <v>15.956551899999999</v>
      </c>
    </row>
    <row r="129" spans="1:17" x14ac:dyDescent="0.4">
      <c r="A129">
        <v>20210805</v>
      </c>
      <c r="B129" s="1">
        <v>8.3333333333333329E-2</v>
      </c>
      <c r="C129">
        <v>-27081</v>
      </c>
      <c r="D129">
        <v>-50163</v>
      </c>
      <c r="E129">
        <v>221122</v>
      </c>
      <c r="F129">
        <v>-6696</v>
      </c>
      <c r="G129">
        <v>7262</v>
      </c>
      <c r="H129">
        <v>125235</v>
      </c>
      <c r="I129">
        <v>-43538</v>
      </c>
      <c r="J129">
        <v>-7038</v>
      </c>
      <c r="K129">
        <v>-27542</v>
      </c>
      <c r="L129">
        <v>-16384</v>
      </c>
      <c r="M129">
        <v>8.02</v>
      </c>
      <c r="N129">
        <v>175177</v>
      </c>
      <c r="O129">
        <v>20036550</v>
      </c>
      <c r="P129" s="2">
        <v>0.87428724006877434</v>
      </c>
      <c r="Q129" s="4">
        <v>16.069313099999999</v>
      </c>
    </row>
    <row r="130" spans="1:17" x14ac:dyDescent="0.4">
      <c r="A130">
        <v>20210805</v>
      </c>
      <c r="B130" s="1">
        <v>0.10416666666666667</v>
      </c>
      <c r="C130">
        <v>54773</v>
      </c>
      <c r="D130">
        <v>-36503</v>
      </c>
      <c r="E130">
        <v>292279</v>
      </c>
      <c r="F130">
        <v>32918</v>
      </c>
      <c r="G130">
        <v>5393</v>
      </c>
      <c r="H130">
        <v>108958</v>
      </c>
      <c r="I130">
        <v>-41329</v>
      </c>
      <c r="J130">
        <v>4095</v>
      </c>
      <c r="K130">
        <v>-5375</v>
      </c>
      <c r="L130">
        <v>-19939</v>
      </c>
      <c r="M130">
        <v>7.93</v>
      </c>
      <c r="N130">
        <v>395270</v>
      </c>
      <c r="O130">
        <v>20068300</v>
      </c>
      <c r="P130" s="2">
        <v>1.9696237349451622</v>
      </c>
      <c r="Q130" s="4">
        <v>15.9141619</v>
      </c>
    </row>
    <row r="131" spans="1:17" x14ac:dyDescent="0.4">
      <c r="A131">
        <v>20210805</v>
      </c>
      <c r="B131" s="1">
        <v>0.125</v>
      </c>
      <c r="C131">
        <v>2764</v>
      </c>
      <c r="D131">
        <v>-42078</v>
      </c>
      <c r="E131">
        <v>293944</v>
      </c>
      <c r="F131">
        <v>66095</v>
      </c>
      <c r="G131">
        <v>-26378</v>
      </c>
      <c r="H131">
        <v>206374</v>
      </c>
      <c r="I131">
        <v>58920</v>
      </c>
      <c r="J131">
        <v>18584</v>
      </c>
      <c r="K131">
        <v>31900</v>
      </c>
      <c r="L131">
        <v>-12237</v>
      </c>
      <c r="M131">
        <v>7.46</v>
      </c>
      <c r="N131">
        <v>597888</v>
      </c>
      <c r="O131">
        <v>20158700</v>
      </c>
      <c r="P131" s="2">
        <v>2.9659055395437206</v>
      </c>
      <c r="Q131" s="4">
        <v>15.0383902</v>
      </c>
    </row>
    <row r="132" spans="1:17" x14ac:dyDescent="0.4">
      <c r="A132">
        <v>20210805</v>
      </c>
      <c r="B132" s="1">
        <v>0.14583333333333334</v>
      </c>
      <c r="C132">
        <v>-21113</v>
      </c>
      <c r="D132">
        <v>-31036</v>
      </c>
      <c r="E132">
        <v>363954</v>
      </c>
      <c r="F132">
        <v>109170</v>
      </c>
      <c r="G132">
        <v>-10084</v>
      </c>
      <c r="H132">
        <v>84241</v>
      </c>
      <c r="I132">
        <v>42955</v>
      </c>
      <c r="J132">
        <v>44851</v>
      </c>
      <c r="K132">
        <v>32823</v>
      </c>
      <c r="L132">
        <v>-5885</v>
      </c>
      <c r="M132">
        <v>7.46</v>
      </c>
      <c r="N132">
        <v>609876</v>
      </c>
      <c r="O132">
        <v>20163350</v>
      </c>
      <c r="P132" s="2">
        <v>3.0246759591040178</v>
      </c>
      <c r="Q132" s="4">
        <v>15.0418591</v>
      </c>
    </row>
    <row r="133" spans="1:17" x14ac:dyDescent="0.4">
      <c r="A133">
        <v>20210805</v>
      </c>
      <c r="B133" s="1">
        <v>0.16666666666666666</v>
      </c>
      <c r="C133">
        <v>-31205</v>
      </c>
      <c r="D133">
        <v>-42166</v>
      </c>
      <c r="E133">
        <v>358721</v>
      </c>
      <c r="F133">
        <v>78723</v>
      </c>
      <c r="G133">
        <v>-153</v>
      </c>
      <c r="H133">
        <v>102992</v>
      </c>
      <c r="I133">
        <v>70058</v>
      </c>
      <c r="J133">
        <v>49255</v>
      </c>
      <c r="K133">
        <v>87635</v>
      </c>
      <c r="L133">
        <v>-2100</v>
      </c>
      <c r="M133">
        <v>7.58</v>
      </c>
      <c r="N133">
        <v>671760</v>
      </c>
      <c r="O133">
        <v>20112400</v>
      </c>
      <c r="P133" s="2">
        <v>3.3400290368131103</v>
      </c>
      <c r="Q133" s="4">
        <v>15.2451992</v>
      </c>
    </row>
    <row r="134" spans="1:17" x14ac:dyDescent="0.4">
      <c r="A134">
        <v>20210805</v>
      </c>
      <c r="B134" s="1">
        <v>0.1875</v>
      </c>
      <c r="C134">
        <v>13076</v>
      </c>
      <c r="D134">
        <v>-132343</v>
      </c>
      <c r="E134">
        <v>265868</v>
      </c>
      <c r="F134">
        <v>52128</v>
      </c>
      <c r="G134">
        <v>-22526</v>
      </c>
      <c r="H134">
        <v>99491</v>
      </c>
      <c r="I134">
        <v>41635</v>
      </c>
      <c r="J134">
        <v>33340</v>
      </c>
      <c r="K134">
        <v>81071</v>
      </c>
      <c r="L134">
        <v>-4490</v>
      </c>
      <c r="M134">
        <v>7.58</v>
      </c>
      <c r="N134">
        <v>427250</v>
      </c>
      <c r="O134">
        <v>20108550</v>
      </c>
      <c r="P134" s="2">
        <v>2.1247180925526705</v>
      </c>
      <c r="Q134" s="4">
        <v>15.242280900000001</v>
      </c>
    </row>
    <row r="135" spans="1:17" x14ac:dyDescent="0.4">
      <c r="A135">
        <v>20210805</v>
      </c>
      <c r="B135" s="1">
        <v>0.20833333333333334</v>
      </c>
      <c r="C135">
        <v>26374</v>
      </c>
      <c r="D135">
        <v>-4721</v>
      </c>
      <c r="E135">
        <v>282180</v>
      </c>
      <c r="F135">
        <v>61060</v>
      </c>
      <c r="G135">
        <v>-24836</v>
      </c>
      <c r="H135">
        <v>230391</v>
      </c>
      <c r="I135">
        <v>54032</v>
      </c>
      <c r="J135">
        <v>38319</v>
      </c>
      <c r="K135">
        <v>79801</v>
      </c>
      <c r="L135">
        <v>-8770</v>
      </c>
      <c r="M135">
        <v>8.2899999999999991</v>
      </c>
      <c r="N135">
        <v>733830</v>
      </c>
      <c r="O135">
        <v>20156400</v>
      </c>
      <c r="P135" s="2">
        <v>3.6406798833124965</v>
      </c>
      <c r="Q135" s="4">
        <v>16.709655599999998</v>
      </c>
    </row>
    <row r="136" spans="1:17" x14ac:dyDescent="0.4">
      <c r="A136">
        <v>20210805</v>
      </c>
      <c r="B136" s="1">
        <v>0.22916666666666666</v>
      </c>
      <c r="C136">
        <v>-7135</v>
      </c>
      <c r="D136">
        <v>-51810</v>
      </c>
      <c r="E136">
        <v>173806</v>
      </c>
      <c r="F136">
        <v>10174</v>
      </c>
      <c r="G136">
        <v>-17683</v>
      </c>
      <c r="H136">
        <v>191175</v>
      </c>
      <c r="I136">
        <v>61927</v>
      </c>
      <c r="J136">
        <v>54825</v>
      </c>
      <c r="K136">
        <v>94419</v>
      </c>
      <c r="L136">
        <v>-7285</v>
      </c>
      <c r="M136">
        <v>7.93</v>
      </c>
      <c r="N136">
        <v>502413</v>
      </c>
      <c r="O136">
        <v>20102600</v>
      </c>
      <c r="P136" s="2">
        <v>2.4992438789012366</v>
      </c>
      <c r="Q136" s="4">
        <v>15.941361799999999</v>
      </c>
    </row>
    <row r="137" spans="1:17" x14ac:dyDescent="0.4">
      <c r="A137">
        <v>20210805</v>
      </c>
      <c r="B137" s="1">
        <v>0.25</v>
      </c>
      <c r="C137">
        <v>49744</v>
      </c>
      <c r="D137">
        <v>189536</v>
      </c>
      <c r="E137">
        <v>181736</v>
      </c>
      <c r="F137">
        <v>-31822</v>
      </c>
      <c r="G137">
        <v>-21209</v>
      </c>
      <c r="H137">
        <v>-333</v>
      </c>
      <c r="I137">
        <v>15077</v>
      </c>
      <c r="J137">
        <v>76762</v>
      </c>
      <c r="K137">
        <v>40518</v>
      </c>
      <c r="L137">
        <v>-4404</v>
      </c>
      <c r="M137">
        <v>7.9</v>
      </c>
      <c r="N137">
        <v>495605</v>
      </c>
      <c r="O137">
        <v>20856250</v>
      </c>
      <c r="P137" s="2">
        <v>2.3762900809109979</v>
      </c>
      <c r="Q137" s="4">
        <v>16.476437499999999</v>
      </c>
    </row>
    <row r="138" spans="1:17" x14ac:dyDescent="0.4">
      <c r="A138">
        <v>20210805</v>
      </c>
      <c r="B138" s="1">
        <v>0.27083333333333331</v>
      </c>
      <c r="C138">
        <v>40226</v>
      </c>
      <c r="D138">
        <v>213537</v>
      </c>
      <c r="E138">
        <v>198860</v>
      </c>
      <c r="F138">
        <v>112189</v>
      </c>
      <c r="G138">
        <v>-12970</v>
      </c>
      <c r="H138">
        <v>-116556</v>
      </c>
      <c r="I138">
        <v>-82268</v>
      </c>
      <c r="J138">
        <v>52242</v>
      </c>
      <c r="K138">
        <v>-57700</v>
      </c>
      <c r="L138">
        <v>-9970</v>
      </c>
      <c r="M138">
        <v>7.45</v>
      </c>
      <c r="N138">
        <v>337590</v>
      </c>
      <c r="O138">
        <v>21547550</v>
      </c>
      <c r="P138" s="2">
        <v>1.5667210425315174</v>
      </c>
      <c r="Q138" s="4">
        <v>16.052924749999999</v>
      </c>
    </row>
    <row r="139" spans="1:17" x14ac:dyDescent="0.4">
      <c r="A139">
        <v>20210805</v>
      </c>
      <c r="B139" s="1">
        <v>0.29166666666666669</v>
      </c>
      <c r="C139">
        <v>147047</v>
      </c>
      <c r="D139">
        <v>382301</v>
      </c>
      <c r="E139">
        <v>383835</v>
      </c>
      <c r="F139">
        <v>73074</v>
      </c>
      <c r="G139">
        <v>-2904</v>
      </c>
      <c r="H139">
        <v>-134177</v>
      </c>
      <c r="I139">
        <v>-50851</v>
      </c>
      <c r="J139">
        <v>27123</v>
      </c>
      <c r="K139">
        <v>-34896</v>
      </c>
      <c r="L139">
        <v>-9083</v>
      </c>
      <c r="M139">
        <v>7.46</v>
      </c>
      <c r="N139">
        <v>781469</v>
      </c>
      <c r="O139">
        <v>22623350</v>
      </c>
      <c r="P139" s="2">
        <v>3.4542585426119472</v>
      </c>
      <c r="Q139" s="4">
        <v>16.877019099999998</v>
      </c>
    </row>
    <row r="140" spans="1:17" x14ac:dyDescent="0.4">
      <c r="A140">
        <v>20210805</v>
      </c>
      <c r="B140" s="1">
        <v>0.3125</v>
      </c>
      <c r="C140">
        <v>148296</v>
      </c>
      <c r="D140">
        <v>504787</v>
      </c>
      <c r="E140">
        <v>704627</v>
      </c>
      <c r="F140">
        <v>21858</v>
      </c>
      <c r="G140">
        <v>-27720</v>
      </c>
      <c r="H140">
        <v>-61330</v>
      </c>
      <c r="I140">
        <v>16239</v>
      </c>
      <c r="J140">
        <v>28370</v>
      </c>
      <c r="K140">
        <v>56226</v>
      </c>
      <c r="L140">
        <v>-23762</v>
      </c>
      <c r="M140">
        <v>8.86</v>
      </c>
      <c r="N140">
        <v>1367591</v>
      </c>
      <c r="O140">
        <v>22919500</v>
      </c>
      <c r="P140" s="2">
        <v>5.9669320883963435</v>
      </c>
      <c r="Q140" s="4">
        <v>20.306677000000001</v>
      </c>
    </row>
    <row r="141" spans="1:17" x14ac:dyDescent="0.4">
      <c r="A141">
        <v>20210805</v>
      </c>
      <c r="B141" s="1">
        <v>0.33333333333333331</v>
      </c>
      <c r="C141">
        <v>146262</v>
      </c>
      <c r="D141">
        <v>606611</v>
      </c>
      <c r="E141">
        <v>671348</v>
      </c>
      <c r="F141">
        <v>125694</v>
      </c>
      <c r="G141">
        <v>-4470</v>
      </c>
      <c r="H141">
        <v>-166612</v>
      </c>
      <c r="I141">
        <v>64153</v>
      </c>
      <c r="J141">
        <v>35135</v>
      </c>
      <c r="K141">
        <v>38333</v>
      </c>
      <c r="L141">
        <v>-9685</v>
      </c>
      <c r="M141">
        <v>8.86</v>
      </c>
      <c r="N141">
        <v>1506769</v>
      </c>
      <c r="O141">
        <v>24598550</v>
      </c>
      <c r="P141" s="2">
        <v>6.1254382880291729</v>
      </c>
      <c r="Q141" s="4">
        <v>21.794315300000001</v>
      </c>
    </row>
    <row r="142" spans="1:17" x14ac:dyDescent="0.4">
      <c r="A142">
        <v>20210805</v>
      </c>
      <c r="B142" s="1">
        <v>0.35416666666666669</v>
      </c>
      <c r="C142">
        <v>236260</v>
      </c>
      <c r="D142">
        <v>485221</v>
      </c>
      <c r="E142">
        <v>357280</v>
      </c>
      <c r="F142">
        <v>-72546</v>
      </c>
      <c r="G142">
        <v>30081</v>
      </c>
      <c r="H142">
        <v>-69992</v>
      </c>
      <c r="I142">
        <v>-29900</v>
      </c>
      <c r="J142">
        <v>42174</v>
      </c>
      <c r="K142">
        <v>115699</v>
      </c>
      <c r="L142">
        <v>-27006</v>
      </c>
      <c r="M142">
        <v>8.86</v>
      </c>
      <c r="N142">
        <v>1067271</v>
      </c>
      <c r="O142">
        <v>25540150</v>
      </c>
      <c r="P142" s="2">
        <v>4.1787969138787364</v>
      </c>
      <c r="Q142" s="4">
        <v>22.628572900000002</v>
      </c>
    </row>
    <row r="143" spans="1:17" x14ac:dyDescent="0.4">
      <c r="A143">
        <v>20210805</v>
      </c>
      <c r="B143" s="1">
        <v>0.375</v>
      </c>
      <c r="C143">
        <v>143322</v>
      </c>
      <c r="D143">
        <v>537208</v>
      </c>
      <c r="E143">
        <v>422027</v>
      </c>
      <c r="F143">
        <v>48741</v>
      </c>
      <c r="G143">
        <v>37367</v>
      </c>
      <c r="H143">
        <v>-121397</v>
      </c>
      <c r="I143">
        <v>69938</v>
      </c>
      <c r="J143">
        <v>50954</v>
      </c>
      <c r="K143">
        <v>-52946</v>
      </c>
      <c r="L143">
        <v>-26159</v>
      </c>
      <c r="M143">
        <v>9.6199999999999992</v>
      </c>
      <c r="N143">
        <v>1109055</v>
      </c>
      <c r="O143">
        <v>26185900</v>
      </c>
      <c r="P143" s="2">
        <v>4.2353136611687967</v>
      </c>
      <c r="Q143" s="4">
        <v>25.190835799999999</v>
      </c>
    </row>
    <row r="144" spans="1:17" x14ac:dyDescent="0.4">
      <c r="A144">
        <v>20210805</v>
      </c>
      <c r="B144" s="1">
        <v>0.39583333333333331</v>
      </c>
      <c r="C144">
        <v>175897</v>
      </c>
      <c r="D144">
        <v>498347</v>
      </c>
      <c r="E144">
        <v>243173</v>
      </c>
      <c r="F144">
        <v>-102562</v>
      </c>
      <c r="G144">
        <v>50777</v>
      </c>
      <c r="H144">
        <v>-31808</v>
      </c>
      <c r="I144">
        <v>79898</v>
      </c>
      <c r="J144">
        <v>47211</v>
      </c>
      <c r="K144">
        <v>-23682</v>
      </c>
      <c r="L144">
        <v>-36837</v>
      </c>
      <c r="M144">
        <v>9.69</v>
      </c>
      <c r="N144">
        <v>900414</v>
      </c>
      <c r="O144">
        <v>26628950</v>
      </c>
      <c r="P144" s="2">
        <v>3.3813349756561939</v>
      </c>
      <c r="Q144" s="4">
        <v>25.803452549999999</v>
      </c>
    </row>
    <row r="145" spans="1:17" x14ac:dyDescent="0.4">
      <c r="A145">
        <v>20210805</v>
      </c>
      <c r="B145" s="1">
        <v>0.41666666666666669</v>
      </c>
      <c r="C145">
        <v>119162</v>
      </c>
      <c r="D145">
        <v>475496</v>
      </c>
      <c r="E145">
        <v>391285</v>
      </c>
      <c r="F145">
        <v>-75812</v>
      </c>
      <c r="G145">
        <v>26290</v>
      </c>
      <c r="H145">
        <v>8270</v>
      </c>
      <c r="I145">
        <v>132447</v>
      </c>
      <c r="J145">
        <v>31862</v>
      </c>
      <c r="K145">
        <v>-92596</v>
      </c>
      <c r="L145">
        <v>-37634</v>
      </c>
      <c r="M145">
        <v>9.81</v>
      </c>
      <c r="N145">
        <v>978770</v>
      </c>
      <c r="O145">
        <v>26970800</v>
      </c>
      <c r="P145" s="2">
        <v>3.628998769039109</v>
      </c>
      <c r="Q145" s="4">
        <v>26.458354799999999</v>
      </c>
    </row>
    <row r="146" spans="1:17" x14ac:dyDescent="0.4">
      <c r="A146">
        <v>20210805</v>
      </c>
      <c r="B146" s="1">
        <v>0.4375</v>
      </c>
      <c r="C146">
        <v>93091</v>
      </c>
      <c r="D146">
        <v>437886</v>
      </c>
      <c r="E146">
        <v>289384</v>
      </c>
      <c r="F146">
        <v>-63657</v>
      </c>
      <c r="G146">
        <v>35923</v>
      </c>
      <c r="H146">
        <v>-16875</v>
      </c>
      <c r="I146">
        <v>48914</v>
      </c>
      <c r="J146">
        <v>9749</v>
      </c>
      <c r="K146">
        <v>-83208</v>
      </c>
      <c r="L146">
        <v>-31233</v>
      </c>
      <c r="M146">
        <v>9.8800000000000008</v>
      </c>
      <c r="N146">
        <v>719974</v>
      </c>
      <c r="O146">
        <v>27281900</v>
      </c>
      <c r="P146" s="2">
        <v>2.6390170772563493</v>
      </c>
      <c r="Q146" s="4">
        <v>26.954517200000002</v>
      </c>
    </row>
    <row r="147" spans="1:17" x14ac:dyDescent="0.4">
      <c r="A147">
        <v>20210805</v>
      </c>
      <c r="B147" s="1">
        <v>0.45833333333333331</v>
      </c>
      <c r="C147">
        <v>87945</v>
      </c>
      <c r="D147">
        <v>343253</v>
      </c>
      <c r="E147">
        <v>196615</v>
      </c>
      <c r="F147">
        <v>-124079</v>
      </c>
      <c r="G147">
        <v>28740</v>
      </c>
      <c r="H147">
        <v>-149865</v>
      </c>
      <c r="I147">
        <v>35012</v>
      </c>
      <c r="J147">
        <v>-13074</v>
      </c>
      <c r="K147">
        <v>-62041</v>
      </c>
      <c r="L147">
        <v>-20449</v>
      </c>
      <c r="M147">
        <v>9.9600000000000009</v>
      </c>
      <c r="N147">
        <v>322057</v>
      </c>
      <c r="O147">
        <v>27664100</v>
      </c>
      <c r="P147" s="2">
        <v>1.1641694470450874</v>
      </c>
      <c r="Q147" s="4">
        <v>27.553443600000001</v>
      </c>
    </row>
    <row r="148" spans="1:17" x14ac:dyDescent="0.4">
      <c r="A148">
        <v>20210805</v>
      </c>
      <c r="B148" s="1">
        <v>0.47916666666666669</v>
      </c>
      <c r="C148">
        <v>25358</v>
      </c>
      <c r="D148">
        <v>273582</v>
      </c>
      <c r="E148">
        <v>293023</v>
      </c>
      <c r="F148">
        <v>-172408</v>
      </c>
      <c r="G148">
        <v>37777</v>
      </c>
      <c r="H148">
        <v>-170000</v>
      </c>
      <c r="I148">
        <v>43005</v>
      </c>
      <c r="J148">
        <v>-13240</v>
      </c>
      <c r="K148">
        <v>25299</v>
      </c>
      <c r="L148">
        <v>-13309</v>
      </c>
      <c r="M148">
        <v>10.27</v>
      </c>
      <c r="N148">
        <v>329087</v>
      </c>
      <c r="O148">
        <v>27701450</v>
      </c>
      <c r="P148" s="2">
        <v>1.187977524642212</v>
      </c>
      <c r="Q148" s="4">
        <v>28.449389149999998</v>
      </c>
    </row>
    <row r="149" spans="1:17" x14ac:dyDescent="0.4">
      <c r="A149">
        <v>20210805</v>
      </c>
      <c r="B149" s="1">
        <v>0.5</v>
      </c>
      <c r="C149">
        <v>19258</v>
      </c>
      <c r="D149">
        <v>165381</v>
      </c>
      <c r="E149">
        <v>387752</v>
      </c>
      <c r="F149">
        <v>-152033</v>
      </c>
      <c r="G149">
        <v>21510</v>
      </c>
      <c r="H149">
        <v>-306844</v>
      </c>
      <c r="I149">
        <v>-44315</v>
      </c>
      <c r="J149">
        <v>-2157</v>
      </c>
      <c r="K149">
        <v>6573</v>
      </c>
      <c r="L149">
        <v>-1419</v>
      </c>
      <c r="M149">
        <v>9.6999999999999993</v>
      </c>
      <c r="N149">
        <v>93706</v>
      </c>
      <c r="O149">
        <v>27633900</v>
      </c>
      <c r="P149" s="2">
        <v>0.33909799195915163</v>
      </c>
      <c r="Q149" s="4">
        <v>26.804882999999997</v>
      </c>
    </row>
    <row r="150" spans="1:17" x14ac:dyDescent="0.4">
      <c r="A150">
        <v>20210805</v>
      </c>
      <c r="B150" s="1">
        <v>0.54166666666666663</v>
      </c>
      <c r="C150">
        <v>3384</v>
      </c>
      <c r="D150">
        <v>135078</v>
      </c>
      <c r="E150">
        <v>178435</v>
      </c>
      <c r="F150">
        <v>-1459</v>
      </c>
      <c r="G150">
        <v>62109</v>
      </c>
      <c r="H150">
        <v>-219602</v>
      </c>
      <c r="I150">
        <v>-79672</v>
      </c>
      <c r="J150">
        <v>2033</v>
      </c>
      <c r="K150">
        <v>121056</v>
      </c>
      <c r="L150">
        <v>31719</v>
      </c>
      <c r="M150">
        <v>10.27</v>
      </c>
      <c r="N150">
        <v>233081</v>
      </c>
      <c r="O150">
        <v>27278100</v>
      </c>
      <c r="P150" s="2">
        <v>0.85446200431848263</v>
      </c>
      <c r="Q150" s="4">
        <v>28.0146087</v>
      </c>
    </row>
    <row r="151" spans="1:17" x14ac:dyDescent="0.4">
      <c r="A151">
        <v>20210805</v>
      </c>
      <c r="B151" s="1">
        <v>0.5625</v>
      </c>
      <c r="C151">
        <v>29872</v>
      </c>
      <c r="D151">
        <v>93891</v>
      </c>
      <c r="E151">
        <v>285119</v>
      </c>
      <c r="F151">
        <v>5734</v>
      </c>
      <c r="G151">
        <v>41899</v>
      </c>
      <c r="H151">
        <v>21973</v>
      </c>
      <c r="I151">
        <v>-6294</v>
      </c>
      <c r="J151">
        <v>16085</v>
      </c>
      <c r="K151">
        <v>104322</v>
      </c>
      <c r="L151">
        <v>32880</v>
      </c>
      <c r="M151">
        <v>10.4</v>
      </c>
      <c r="N151">
        <v>625481</v>
      </c>
      <c r="O151">
        <v>27486200</v>
      </c>
      <c r="P151" s="2">
        <v>2.2756183102793401</v>
      </c>
      <c r="Q151" s="4">
        <v>28.585647999999999</v>
      </c>
    </row>
    <row r="152" spans="1:17" x14ac:dyDescent="0.4">
      <c r="A152">
        <v>20210805</v>
      </c>
      <c r="B152" s="1">
        <v>0.58333333333333337</v>
      </c>
      <c r="C152">
        <v>12029</v>
      </c>
      <c r="D152">
        <v>-4447</v>
      </c>
      <c r="E152">
        <v>403727</v>
      </c>
      <c r="F152">
        <v>-71354</v>
      </c>
      <c r="G152">
        <v>54392</v>
      </c>
      <c r="H152">
        <v>-48917</v>
      </c>
      <c r="I152">
        <v>-4936</v>
      </c>
      <c r="J152">
        <v>20022</v>
      </c>
      <c r="K152">
        <v>153501</v>
      </c>
      <c r="L152">
        <v>33567</v>
      </c>
      <c r="M152">
        <v>10.81</v>
      </c>
      <c r="N152">
        <v>547584</v>
      </c>
      <c r="O152">
        <v>27481350</v>
      </c>
      <c r="P152" s="2">
        <v>1.9925658673973441</v>
      </c>
      <c r="Q152" s="4">
        <v>29.707339350000002</v>
      </c>
    </row>
    <row r="153" spans="1:17" x14ac:dyDescent="0.4">
      <c r="A153">
        <v>20210805</v>
      </c>
      <c r="B153" s="1">
        <v>0.60416666666666663</v>
      </c>
      <c r="C153">
        <v>48761</v>
      </c>
      <c r="D153">
        <v>56306</v>
      </c>
      <c r="E153">
        <v>308553</v>
      </c>
      <c r="F153">
        <v>-136226</v>
      </c>
      <c r="G153">
        <v>53525</v>
      </c>
      <c r="H153">
        <v>17320</v>
      </c>
      <c r="I153">
        <v>53959</v>
      </c>
      <c r="J153">
        <v>8379</v>
      </c>
      <c r="K153">
        <v>236816</v>
      </c>
      <c r="L153">
        <v>36828</v>
      </c>
      <c r="M153">
        <v>12.08</v>
      </c>
      <c r="N153">
        <v>684221</v>
      </c>
      <c r="O153">
        <v>26944350</v>
      </c>
      <c r="P153" s="2">
        <v>2.5393858081564411</v>
      </c>
      <c r="Q153" s="4">
        <v>32.548774799999997</v>
      </c>
    </row>
    <row r="154" spans="1:17" x14ac:dyDescent="0.4">
      <c r="A154">
        <v>20210805</v>
      </c>
      <c r="B154" s="1">
        <v>0.625</v>
      </c>
      <c r="C154">
        <v>-50290</v>
      </c>
      <c r="D154">
        <v>-89920</v>
      </c>
      <c r="E154">
        <v>193055</v>
      </c>
      <c r="F154">
        <v>407945</v>
      </c>
      <c r="G154">
        <v>77977</v>
      </c>
      <c r="H154">
        <v>92491</v>
      </c>
      <c r="I154">
        <v>62713</v>
      </c>
      <c r="J154">
        <v>-736</v>
      </c>
      <c r="K154">
        <v>222233</v>
      </c>
      <c r="L154">
        <v>42219</v>
      </c>
      <c r="M154">
        <v>14.16</v>
      </c>
      <c r="N154">
        <v>957687</v>
      </c>
      <c r="O154">
        <v>26498200</v>
      </c>
      <c r="P154" s="2">
        <v>3.6141586975719107</v>
      </c>
      <c r="Q154" s="4">
        <v>37.521451200000001</v>
      </c>
    </row>
    <row r="155" spans="1:17" x14ac:dyDescent="0.4">
      <c r="A155">
        <v>20210805</v>
      </c>
      <c r="B155" s="1">
        <v>0.64583333333333337</v>
      </c>
      <c r="C155">
        <v>5217</v>
      </c>
      <c r="D155">
        <v>-152940</v>
      </c>
      <c r="E155">
        <v>-216319</v>
      </c>
      <c r="F155">
        <v>68251</v>
      </c>
      <c r="G155">
        <v>47112</v>
      </c>
      <c r="H155">
        <v>50568</v>
      </c>
      <c r="I155">
        <v>71320</v>
      </c>
      <c r="J155">
        <v>-37358</v>
      </c>
      <c r="K155">
        <v>170857</v>
      </c>
      <c r="L155">
        <v>34762</v>
      </c>
      <c r="M155">
        <v>17</v>
      </c>
      <c r="N155">
        <v>41470</v>
      </c>
      <c r="O155">
        <v>25795300</v>
      </c>
      <c r="P155" s="2">
        <v>0.16076572088713836</v>
      </c>
      <c r="Q155" s="4">
        <v>43.85201</v>
      </c>
    </row>
    <row r="156" spans="1:17" x14ac:dyDescent="0.4">
      <c r="A156">
        <v>20210805</v>
      </c>
      <c r="B156" s="1">
        <v>0.66666666666666663</v>
      </c>
      <c r="C156">
        <v>1010</v>
      </c>
      <c r="D156">
        <v>86849</v>
      </c>
      <c r="E156">
        <v>-422877</v>
      </c>
      <c r="F156">
        <v>90665</v>
      </c>
      <c r="G156">
        <v>23570</v>
      </c>
      <c r="H156">
        <v>-34051</v>
      </c>
      <c r="I156">
        <v>711142</v>
      </c>
      <c r="J156">
        <v>-67985</v>
      </c>
      <c r="K156">
        <v>31645</v>
      </c>
      <c r="L156">
        <v>33981</v>
      </c>
      <c r="M156">
        <v>19.010000000000002</v>
      </c>
      <c r="N156">
        <v>453949</v>
      </c>
      <c r="O156">
        <v>25960050</v>
      </c>
      <c r="P156" s="2">
        <v>1.7486445519172729</v>
      </c>
      <c r="Q156" s="4">
        <v>49.350055050000009</v>
      </c>
    </row>
    <row r="157" spans="1:17" x14ac:dyDescent="0.4">
      <c r="A157">
        <v>20210805</v>
      </c>
      <c r="B157" s="1">
        <v>0.875</v>
      </c>
      <c r="C157">
        <v>-68429</v>
      </c>
      <c r="D157">
        <v>3557</v>
      </c>
      <c r="E157">
        <v>-20233</v>
      </c>
      <c r="F157">
        <v>115213</v>
      </c>
      <c r="G157">
        <v>33882</v>
      </c>
      <c r="H157">
        <v>134757</v>
      </c>
      <c r="I157">
        <v>-106287</v>
      </c>
      <c r="J157">
        <v>-31872</v>
      </c>
      <c r="K157">
        <v>92640</v>
      </c>
      <c r="L157">
        <v>24849</v>
      </c>
      <c r="M157">
        <v>11.79</v>
      </c>
      <c r="N157">
        <v>178077</v>
      </c>
      <c r="O157">
        <v>21657950</v>
      </c>
      <c r="P157" s="2">
        <v>0.82222463344868746</v>
      </c>
      <c r="Q157" s="4">
        <v>25.534723049999997</v>
      </c>
    </row>
    <row r="158" spans="1:17" x14ac:dyDescent="0.4">
      <c r="A158">
        <v>20210805</v>
      </c>
      <c r="B158" s="1">
        <v>0.89583333333333337</v>
      </c>
      <c r="C158">
        <v>-93246</v>
      </c>
      <c r="D158">
        <v>-15453</v>
      </c>
      <c r="E158">
        <v>78146</v>
      </c>
      <c r="F158">
        <v>108740</v>
      </c>
      <c r="G158">
        <v>18517</v>
      </c>
      <c r="H158">
        <v>31857</v>
      </c>
      <c r="I158">
        <v>-74455</v>
      </c>
      <c r="J158">
        <v>-40816</v>
      </c>
      <c r="K158">
        <v>71978</v>
      </c>
      <c r="L158">
        <v>32704</v>
      </c>
      <c r="M158">
        <v>10.27</v>
      </c>
      <c r="N158">
        <v>117972</v>
      </c>
      <c r="O158">
        <v>21319850</v>
      </c>
      <c r="P158" s="2">
        <v>0.55334348037157854</v>
      </c>
      <c r="Q158" s="4">
        <v>21.895485950000001</v>
      </c>
    </row>
    <row r="159" spans="1:17" x14ac:dyDescent="0.4">
      <c r="A159">
        <v>20210805</v>
      </c>
      <c r="B159" s="1">
        <v>0.91666666666666663</v>
      </c>
      <c r="C159">
        <v>-33358</v>
      </c>
      <c r="D159">
        <v>-7469</v>
      </c>
      <c r="E159">
        <v>-20133</v>
      </c>
      <c r="F159">
        <v>106536</v>
      </c>
      <c r="G159">
        <v>18389</v>
      </c>
      <c r="H159">
        <v>60336</v>
      </c>
      <c r="I159">
        <v>-17588</v>
      </c>
      <c r="J159">
        <v>-29503</v>
      </c>
      <c r="K159">
        <v>164855</v>
      </c>
      <c r="L159">
        <v>24477</v>
      </c>
      <c r="M159">
        <v>9.84</v>
      </c>
      <c r="N159">
        <v>266542</v>
      </c>
      <c r="O159">
        <v>20460600</v>
      </c>
      <c r="P159" s="2">
        <v>1.3027086204705629</v>
      </c>
      <c r="Q159" s="4">
        <v>20.133230399999999</v>
      </c>
    </row>
    <row r="160" spans="1:17" x14ac:dyDescent="0.4">
      <c r="A160">
        <v>20210805</v>
      </c>
      <c r="B160" s="1">
        <v>0.9375</v>
      </c>
      <c r="C160">
        <v>-130805</v>
      </c>
      <c r="D160">
        <v>-55939</v>
      </c>
      <c r="E160">
        <v>110085</v>
      </c>
      <c r="F160">
        <v>70018</v>
      </c>
      <c r="G160">
        <v>7765</v>
      </c>
      <c r="H160">
        <v>97906</v>
      </c>
      <c r="I160">
        <v>-111712</v>
      </c>
      <c r="J160">
        <v>-45006</v>
      </c>
      <c r="K160">
        <v>67579</v>
      </c>
      <c r="L160">
        <v>32884</v>
      </c>
      <c r="M160">
        <v>9.61</v>
      </c>
      <c r="N160">
        <v>42775</v>
      </c>
      <c r="O160">
        <v>20313700</v>
      </c>
      <c r="P160" s="2">
        <v>0.21057217542840545</v>
      </c>
      <c r="Q160" s="4">
        <v>19.5214657</v>
      </c>
    </row>
    <row r="161" spans="1:17" x14ac:dyDescent="0.4">
      <c r="A161">
        <v>20210805</v>
      </c>
      <c r="B161" s="1">
        <v>0.97916666666666663</v>
      </c>
      <c r="C161">
        <v>-44220</v>
      </c>
      <c r="D161">
        <v>-68815</v>
      </c>
      <c r="E161">
        <v>74393</v>
      </c>
      <c r="F161">
        <v>93769</v>
      </c>
      <c r="G161">
        <v>-17768</v>
      </c>
      <c r="H161">
        <v>230361</v>
      </c>
      <c r="I161">
        <v>-110997</v>
      </c>
      <c r="J161">
        <v>-30774</v>
      </c>
      <c r="K161">
        <v>44060</v>
      </c>
      <c r="L161">
        <v>21228</v>
      </c>
      <c r="M161">
        <v>8.86</v>
      </c>
      <c r="N161">
        <v>191237</v>
      </c>
      <c r="O161">
        <v>19475000</v>
      </c>
      <c r="P161" s="2">
        <v>0.98196148908857506</v>
      </c>
      <c r="Q161" s="4">
        <v>17.254850000000001</v>
      </c>
    </row>
    <row r="162" spans="1:17" x14ac:dyDescent="0.4">
      <c r="A162">
        <v>20210806</v>
      </c>
      <c r="B162" s="1">
        <v>2.0833333333333332E-2</v>
      </c>
      <c r="C162">
        <v>-39035</v>
      </c>
      <c r="D162">
        <v>-14252</v>
      </c>
      <c r="E162">
        <v>172579</v>
      </c>
      <c r="F162">
        <v>27709</v>
      </c>
      <c r="G162">
        <v>20480</v>
      </c>
      <c r="H162">
        <v>28652</v>
      </c>
      <c r="I162">
        <v>-23012</v>
      </c>
      <c r="J162">
        <v>34801</v>
      </c>
      <c r="K162">
        <v>-49165</v>
      </c>
      <c r="L162">
        <v>15164</v>
      </c>
      <c r="M162">
        <v>7.94</v>
      </c>
      <c r="N162">
        <v>173921</v>
      </c>
      <c r="O162">
        <v>20047700</v>
      </c>
      <c r="P162" s="2">
        <v>0.86753592681454728</v>
      </c>
      <c r="Q162" s="4">
        <v>15.917873800000001</v>
      </c>
    </row>
    <row r="163" spans="1:17" x14ac:dyDescent="0.4">
      <c r="A163">
        <v>20210806</v>
      </c>
      <c r="B163" s="1">
        <v>8.3333333333333329E-2</v>
      </c>
      <c r="C163">
        <v>-64552</v>
      </c>
      <c r="D163">
        <v>-123893</v>
      </c>
      <c r="E163">
        <v>206973</v>
      </c>
      <c r="F163">
        <v>88338</v>
      </c>
      <c r="G163">
        <v>-3175</v>
      </c>
      <c r="H163">
        <v>-4636</v>
      </c>
      <c r="I163">
        <v>-3256</v>
      </c>
      <c r="J163">
        <v>31024</v>
      </c>
      <c r="K163">
        <v>-3336</v>
      </c>
      <c r="L163">
        <v>22012</v>
      </c>
      <c r="M163">
        <v>7.79</v>
      </c>
      <c r="N163">
        <v>145499</v>
      </c>
      <c r="O163">
        <v>20156150</v>
      </c>
      <c r="P163" s="2">
        <v>0.72185908519236064</v>
      </c>
      <c r="Q163" s="4">
        <v>15.70164085</v>
      </c>
    </row>
    <row r="164" spans="1:17" x14ac:dyDescent="0.4">
      <c r="A164">
        <v>20210806</v>
      </c>
      <c r="B164" s="1">
        <v>0.10416666666666667</v>
      </c>
      <c r="C164">
        <v>-28173</v>
      </c>
      <c r="D164">
        <v>-98571</v>
      </c>
      <c r="E164">
        <v>349601</v>
      </c>
      <c r="F164">
        <v>100312</v>
      </c>
      <c r="G164">
        <v>3644</v>
      </c>
      <c r="H164">
        <v>-159711</v>
      </c>
      <c r="I164">
        <v>29778</v>
      </c>
      <c r="J164">
        <v>35028</v>
      </c>
      <c r="K164">
        <v>104145</v>
      </c>
      <c r="L164">
        <v>16262</v>
      </c>
      <c r="M164">
        <v>7.83</v>
      </c>
      <c r="N164">
        <v>352315</v>
      </c>
      <c r="O164">
        <v>20191400</v>
      </c>
      <c r="P164" s="2">
        <v>1.7448765315926582</v>
      </c>
      <c r="Q164" s="4">
        <v>15.8098662</v>
      </c>
    </row>
    <row r="165" spans="1:17" x14ac:dyDescent="0.4">
      <c r="A165">
        <v>20210806</v>
      </c>
      <c r="B165" s="1">
        <v>0.125</v>
      </c>
      <c r="C165">
        <v>12077</v>
      </c>
      <c r="D165">
        <v>-44526</v>
      </c>
      <c r="E165">
        <v>163505</v>
      </c>
      <c r="F165">
        <v>90699</v>
      </c>
      <c r="G165">
        <v>10481</v>
      </c>
      <c r="H165">
        <v>-33204</v>
      </c>
      <c r="I165">
        <v>18625</v>
      </c>
      <c r="J165">
        <v>44074</v>
      </c>
      <c r="K165">
        <v>101335</v>
      </c>
      <c r="L165">
        <v>17927</v>
      </c>
      <c r="M165">
        <v>8.19</v>
      </c>
      <c r="N165">
        <v>380993</v>
      </c>
      <c r="O165">
        <v>20236450</v>
      </c>
      <c r="P165" s="2">
        <v>1.8827067000387914</v>
      </c>
      <c r="Q165" s="4">
        <v>16.573652549999998</v>
      </c>
    </row>
    <row r="166" spans="1:17" x14ac:dyDescent="0.4">
      <c r="A166">
        <v>20210806</v>
      </c>
      <c r="B166" s="1">
        <v>0.14583333333333334</v>
      </c>
      <c r="C166">
        <v>7631</v>
      </c>
      <c r="D166">
        <v>-62304</v>
      </c>
      <c r="E166">
        <v>189883</v>
      </c>
      <c r="F166">
        <v>117091</v>
      </c>
      <c r="G166">
        <v>-1164</v>
      </c>
      <c r="H166">
        <v>-135888</v>
      </c>
      <c r="I166">
        <v>49896</v>
      </c>
      <c r="J166">
        <v>55215</v>
      </c>
      <c r="K166">
        <v>118094</v>
      </c>
      <c r="L166">
        <v>21190</v>
      </c>
      <c r="M166">
        <v>8.2899999999999991</v>
      </c>
      <c r="N166">
        <v>359644</v>
      </c>
      <c r="O166">
        <v>20264350</v>
      </c>
      <c r="P166" s="2">
        <v>1.7747620821788017</v>
      </c>
      <c r="Q166" s="4">
        <v>16.799146149999999</v>
      </c>
    </row>
    <row r="167" spans="1:17" x14ac:dyDescent="0.4">
      <c r="A167">
        <v>20210806</v>
      </c>
      <c r="B167" s="1">
        <v>0.16666666666666666</v>
      </c>
      <c r="C167">
        <v>-4477</v>
      </c>
      <c r="D167">
        <v>-72374</v>
      </c>
      <c r="E167">
        <v>180418</v>
      </c>
      <c r="F167">
        <v>92472</v>
      </c>
      <c r="G167">
        <v>-27484</v>
      </c>
      <c r="H167">
        <v>-75530</v>
      </c>
      <c r="I167">
        <v>55911</v>
      </c>
      <c r="J167">
        <v>60663</v>
      </c>
      <c r="K167">
        <v>171605</v>
      </c>
      <c r="L167">
        <v>22672</v>
      </c>
      <c r="M167">
        <v>8.2899999999999991</v>
      </c>
      <c r="N167">
        <v>403876</v>
      </c>
      <c r="O167">
        <v>20266900</v>
      </c>
      <c r="P167" s="2">
        <v>1.9927862672633703</v>
      </c>
      <c r="Q167" s="4">
        <v>16.801260099999997</v>
      </c>
    </row>
    <row r="168" spans="1:17" x14ac:dyDescent="0.4">
      <c r="A168">
        <v>20210806</v>
      </c>
      <c r="B168" s="1">
        <v>0.1875</v>
      </c>
      <c r="C168">
        <v>539</v>
      </c>
      <c r="D168">
        <v>-114432</v>
      </c>
      <c r="E168">
        <v>188973</v>
      </c>
      <c r="F168">
        <v>120664</v>
      </c>
      <c r="G168">
        <v>-19096</v>
      </c>
      <c r="H168">
        <v>-139039</v>
      </c>
      <c r="I168">
        <v>133125</v>
      </c>
      <c r="J168">
        <v>59516</v>
      </c>
      <c r="K168">
        <v>152738</v>
      </c>
      <c r="L168">
        <v>22669</v>
      </c>
      <c r="M168">
        <v>8.2899999999999991</v>
      </c>
      <c r="N168">
        <v>405657</v>
      </c>
      <c r="O168">
        <v>20197800</v>
      </c>
      <c r="P168" s="2">
        <v>2.0084217092950718</v>
      </c>
      <c r="Q168" s="4">
        <v>16.743976199999999</v>
      </c>
    </row>
    <row r="169" spans="1:17" x14ac:dyDescent="0.4">
      <c r="A169">
        <v>20210806</v>
      </c>
      <c r="B169" s="1">
        <v>0.20833333333333334</v>
      </c>
      <c r="C169">
        <v>-47592</v>
      </c>
      <c r="D169">
        <v>-97849</v>
      </c>
      <c r="E169">
        <v>301596</v>
      </c>
      <c r="F169">
        <v>121064</v>
      </c>
      <c r="G169">
        <v>3154</v>
      </c>
      <c r="H169">
        <v>-186520</v>
      </c>
      <c r="I169">
        <v>55321</v>
      </c>
      <c r="J169">
        <v>76092</v>
      </c>
      <c r="K169">
        <v>169514</v>
      </c>
      <c r="L169">
        <v>25790</v>
      </c>
      <c r="M169">
        <v>8.18</v>
      </c>
      <c r="N169">
        <v>420570</v>
      </c>
      <c r="O169">
        <v>20165850</v>
      </c>
      <c r="P169" s="2">
        <v>2.0855555307611628</v>
      </c>
      <c r="Q169" s="4">
        <v>16.495665299999999</v>
      </c>
    </row>
    <row r="170" spans="1:17" x14ac:dyDescent="0.4">
      <c r="A170">
        <v>20210806</v>
      </c>
      <c r="B170" s="1">
        <v>0.22916666666666666</v>
      </c>
      <c r="C170">
        <v>-7453</v>
      </c>
      <c r="D170">
        <v>-44695</v>
      </c>
      <c r="E170">
        <v>170069</v>
      </c>
      <c r="F170">
        <v>172279</v>
      </c>
      <c r="G170">
        <v>-20858</v>
      </c>
      <c r="H170">
        <v>-183211</v>
      </c>
      <c r="I170">
        <v>176676</v>
      </c>
      <c r="J170">
        <v>84201</v>
      </c>
      <c r="K170">
        <v>128571</v>
      </c>
      <c r="L170">
        <v>28265</v>
      </c>
      <c r="M170">
        <v>7.79</v>
      </c>
      <c r="N170">
        <v>503844</v>
      </c>
      <c r="O170">
        <v>20245350</v>
      </c>
      <c r="P170" s="2">
        <v>2.4886899954804438</v>
      </c>
      <c r="Q170" s="4">
        <v>15.77112765</v>
      </c>
    </row>
    <row r="171" spans="1:17" x14ac:dyDescent="0.4">
      <c r="A171">
        <v>20210806</v>
      </c>
      <c r="B171" s="1">
        <v>0.25</v>
      </c>
      <c r="C171">
        <v>14128</v>
      </c>
      <c r="D171">
        <v>21429</v>
      </c>
      <c r="E171">
        <v>257339</v>
      </c>
      <c r="F171">
        <v>133969</v>
      </c>
      <c r="G171">
        <v>-20697</v>
      </c>
      <c r="H171">
        <v>-188687</v>
      </c>
      <c r="I171">
        <v>79719</v>
      </c>
      <c r="J171">
        <v>102690</v>
      </c>
      <c r="K171">
        <v>56964</v>
      </c>
      <c r="L171">
        <v>34252</v>
      </c>
      <c r="M171">
        <v>7.7</v>
      </c>
      <c r="N171">
        <v>491106</v>
      </c>
      <c r="O171">
        <v>20841950</v>
      </c>
      <c r="P171" s="2">
        <v>2.3563342201665392</v>
      </c>
      <c r="Q171" s="4">
        <v>16.048301500000001</v>
      </c>
    </row>
    <row r="172" spans="1:17" x14ac:dyDescent="0.4">
      <c r="A172">
        <v>20210806</v>
      </c>
      <c r="B172" s="1">
        <v>0.27083333333333331</v>
      </c>
      <c r="C172">
        <v>37785</v>
      </c>
      <c r="D172">
        <v>140859</v>
      </c>
      <c r="E172">
        <v>217098</v>
      </c>
      <c r="F172">
        <v>98143</v>
      </c>
      <c r="G172">
        <v>-23368</v>
      </c>
      <c r="H172">
        <v>-155764</v>
      </c>
      <c r="I172">
        <v>61425</v>
      </c>
      <c r="J172">
        <v>69048</v>
      </c>
      <c r="K172">
        <v>17011</v>
      </c>
      <c r="L172">
        <v>28795</v>
      </c>
      <c r="M172">
        <v>7.76</v>
      </c>
      <c r="N172">
        <v>491032</v>
      </c>
      <c r="O172">
        <v>21303450</v>
      </c>
      <c r="P172" s="2">
        <v>2.3049412184411446</v>
      </c>
      <c r="Q172" s="4">
        <v>16.531477200000001</v>
      </c>
    </row>
    <row r="173" spans="1:17" x14ac:dyDescent="0.4">
      <c r="A173">
        <v>20210806</v>
      </c>
      <c r="B173" s="1">
        <v>0.29166666666666669</v>
      </c>
      <c r="C173">
        <v>44971</v>
      </c>
      <c r="D173">
        <v>245040</v>
      </c>
      <c r="E173">
        <v>408497</v>
      </c>
      <c r="F173">
        <v>41561</v>
      </c>
      <c r="G173">
        <v>4148</v>
      </c>
      <c r="H173">
        <v>-137137</v>
      </c>
      <c r="I173">
        <v>-51537</v>
      </c>
      <c r="J173">
        <v>18505</v>
      </c>
      <c r="K173">
        <v>198881</v>
      </c>
      <c r="L173">
        <v>28740</v>
      </c>
      <c r="M173">
        <v>7.65</v>
      </c>
      <c r="N173">
        <v>801669</v>
      </c>
      <c r="O173">
        <v>22263900</v>
      </c>
      <c r="P173" s="2">
        <v>3.6007572797218814</v>
      </c>
      <c r="Q173" s="4">
        <v>17.031883499999999</v>
      </c>
    </row>
    <row r="174" spans="1:17" x14ac:dyDescent="0.4">
      <c r="A174">
        <v>20210806</v>
      </c>
      <c r="B174" s="1">
        <v>0.3125</v>
      </c>
      <c r="C174">
        <v>61861</v>
      </c>
      <c r="D174">
        <v>380422</v>
      </c>
      <c r="E174">
        <v>249370</v>
      </c>
      <c r="F174">
        <v>73041</v>
      </c>
      <c r="G174">
        <v>30620</v>
      </c>
      <c r="H174">
        <v>-88565</v>
      </c>
      <c r="I174">
        <v>609232</v>
      </c>
      <c r="J174">
        <v>22521</v>
      </c>
      <c r="K174">
        <v>336293</v>
      </c>
      <c r="L174">
        <v>18602</v>
      </c>
      <c r="M174">
        <v>7.82</v>
      </c>
      <c r="N174">
        <v>1693397</v>
      </c>
      <c r="O174">
        <v>22761200</v>
      </c>
      <c r="P174" s="2">
        <v>7.4398406059434476</v>
      </c>
      <c r="Q174" s="4">
        <v>17.799258399999999</v>
      </c>
    </row>
    <row r="175" spans="1:17" x14ac:dyDescent="0.4">
      <c r="A175">
        <v>20210806</v>
      </c>
      <c r="B175" s="1">
        <v>0.33333333333333331</v>
      </c>
      <c r="C175">
        <v>2613</v>
      </c>
      <c r="D175">
        <v>349496</v>
      </c>
      <c r="E175">
        <v>585903</v>
      </c>
      <c r="F175">
        <v>107040</v>
      </c>
      <c r="G175">
        <v>32255</v>
      </c>
      <c r="H175">
        <v>83640</v>
      </c>
      <c r="I175">
        <v>118903</v>
      </c>
      <c r="J175">
        <v>18118</v>
      </c>
      <c r="K175">
        <v>388405</v>
      </c>
      <c r="L175">
        <v>29783</v>
      </c>
      <c r="M175">
        <v>7.79</v>
      </c>
      <c r="N175">
        <v>1716156</v>
      </c>
      <c r="O175">
        <v>24586450</v>
      </c>
      <c r="P175" s="2">
        <v>6.9800886260521544</v>
      </c>
      <c r="Q175" s="4">
        <v>19.152844550000001</v>
      </c>
    </row>
    <row r="176" spans="1:17" x14ac:dyDescent="0.4">
      <c r="A176">
        <v>20210806</v>
      </c>
      <c r="B176" s="1">
        <v>0.35416666666666669</v>
      </c>
      <c r="C176">
        <v>70822</v>
      </c>
      <c r="D176">
        <v>339426</v>
      </c>
      <c r="E176">
        <v>391029</v>
      </c>
      <c r="F176">
        <v>53388</v>
      </c>
      <c r="G176">
        <v>54445</v>
      </c>
      <c r="H176">
        <v>205678</v>
      </c>
      <c r="I176">
        <v>141762</v>
      </c>
      <c r="J176">
        <v>41627</v>
      </c>
      <c r="K176">
        <v>562310</v>
      </c>
      <c r="L176">
        <v>15375</v>
      </c>
      <c r="M176">
        <v>8.86</v>
      </c>
      <c r="N176">
        <v>1875862</v>
      </c>
      <c r="O176">
        <v>25807100</v>
      </c>
      <c r="P176" s="2">
        <v>7.2687826218366265</v>
      </c>
      <c r="Q176" s="4">
        <v>22.865090599999998</v>
      </c>
    </row>
    <row r="177" spans="1:17" x14ac:dyDescent="0.4">
      <c r="A177">
        <v>20210806</v>
      </c>
      <c r="B177" s="1">
        <v>0.375</v>
      </c>
      <c r="C177">
        <v>61992</v>
      </c>
      <c r="D177">
        <v>393995</v>
      </c>
      <c r="E177">
        <v>437649</v>
      </c>
      <c r="F177">
        <v>96167</v>
      </c>
      <c r="G177">
        <v>80738</v>
      </c>
      <c r="H177">
        <v>165192</v>
      </c>
      <c r="I177">
        <v>51726</v>
      </c>
      <c r="J177">
        <v>59760</v>
      </c>
      <c r="K177">
        <v>556185</v>
      </c>
      <c r="L177">
        <v>14425</v>
      </c>
      <c r="M177">
        <v>9.56</v>
      </c>
      <c r="N177">
        <v>1917829</v>
      </c>
      <c r="O177">
        <v>26594300</v>
      </c>
      <c r="P177" s="2">
        <v>7.2114287648105044</v>
      </c>
      <c r="Q177" s="4">
        <v>25.4241508</v>
      </c>
    </row>
    <row r="178" spans="1:17" x14ac:dyDescent="0.4">
      <c r="A178">
        <v>20210806</v>
      </c>
      <c r="B178" s="1">
        <v>0.39583333333333331</v>
      </c>
      <c r="C178">
        <v>45232</v>
      </c>
      <c r="D178">
        <v>401454</v>
      </c>
      <c r="E178">
        <v>838519</v>
      </c>
      <c r="F178">
        <v>237972</v>
      </c>
      <c r="G178">
        <v>80542</v>
      </c>
      <c r="H178">
        <v>237557</v>
      </c>
      <c r="I178">
        <v>68951</v>
      </c>
      <c r="J178">
        <v>101898</v>
      </c>
      <c r="K178">
        <v>714362</v>
      </c>
      <c r="L178">
        <v>4378</v>
      </c>
      <c r="M178">
        <v>9.57</v>
      </c>
      <c r="N178">
        <v>2730865</v>
      </c>
      <c r="O178">
        <v>27043700</v>
      </c>
      <c r="P178" s="2">
        <v>10.097971061652068</v>
      </c>
      <c r="Q178" s="4">
        <v>25.8808209</v>
      </c>
    </row>
    <row r="179" spans="1:17" x14ac:dyDescent="0.4">
      <c r="A179">
        <v>20210806</v>
      </c>
      <c r="B179" s="1">
        <v>0.41666666666666669</v>
      </c>
      <c r="C179">
        <v>17601</v>
      </c>
      <c r="D179">
        <v>514744</v>
      </c>
      <c r="E179">
        <v>824096</v>
      </c>
      <c r="F179">
        <v>392743</v>
      </c>
      <c r="G179">
        <v>51973</v>
      </c>
      <c r="H179">
        <v>274230</v>
      </c>
      <c r="I179">
        <v>102164</v>
      </c>
      <c r="J179">
        <v>100906</v>
      </c>
      <c r="K179">
        <v>590738</v>
      </c>
      <c r="L179">
        <v>-13124</v>
      </c>
      <c r="M179">
        <v>9.64</v>
      </c>
      <c r="N179">
        <v>2856071</v>
      </c>
      <c r="O179">
        <v>27082000</v>
      </c>
      <c r="P179" s="2">
        <v>10.546012111365483</v>
      </c>
      <c r="Q179" s="4">
        <v>26.107048000000002</v>
      </c>
    </row>
    <row r="180" spans="1:17" x14ac:dyDescent="0.4">
      <c r="A180">
        <v>20210806</v>
      </c>
      <c r="B180" s="1">
        <v>0.4375</v>
      </c>
      <c r="C180">
        <v>39322</v>
      </c>
      <c r="D180">
        <v>489855</v>
      </c>
      <c r="E180">
        <v>869041</v>
      </c>
      <c r="F180">
        <v>478418</v>
      </c>
      <c r="G180">
        <v>48253</v>
      </c>
      <c r="H180">
        <v>306726</v>
      </c>
      <c r="I180">
        <v>60327</v>
      </c>
      <c r="J180">
        <v>86268</v>
      </c>
      <c r="K180">
        <v>682812</v>
      </c>
      <c r="L180">
        <v>-17231</v>
      </c>
      <c r="M180">
        <v>9.76</v>
      </c>
      <c r="N180">
        <v>3043791</v>
      </c>
      <c r="O180">
        <v>27312750</v>
      </c>
      <c r="P180" s="2">
        <v>11.144212867616773</v>
      </c>
      <c r="Q180" s="4">
        <v>26.657243999999999</v>
      </c>
    </row>
    <row r="181" spans="1:17" x14ac:dyDescent="0.4">
      <c r="A181">
        <v>20210806</v>
      </c>
      <c r="B181" s="1">
        <v>0.45833333333333331</v>
      </c>
      <c r="C181">
        <v>946</v>
      </c>
      <c r="D181">
        <v>350534</v>
      </c>
      <c r="E181">
        <v>866302</v>
      </c>
      <c r="F181">
        <v>438308</v>
      </c>
      <c r="G181">
        <v>54750</v>
      </c>
      <c r="H181">
        <v>342875</v>
      </c>
      <c r="I181">
        <v>176859</v>
      </c>
      <c r="J181">
        <v>76196</v>
      </c>
      <c r="K181">
        <v>621486</v>
      </c>
      <c r="L181">
        <v>-2358</v>
      </c>
      <c r="M181">
        <v>10.27</v>
      </c>
      <c r="N181">
        <v>2925898</v>
      </c>
      <c r="O181">
        <v>27681950</v>
      </c>
      <c r="P181" s="2">
        <v>10.569696137735962</v>
      </c>
      <c r="Q181" s="4">
        <v>28.429362650000002</v>
      </c>
    </row>
    <row r="182" spans="1:17" x14ac:dyDescent="0.4">
      <c r="A182">
        <v>20210806</v>
      </c>
      <c r="B182" s="1">
        <v>0.47916666666666669</v>
      </c>
      <c r="C182">
        <v>-20945</v>
      </c>
      <c r="D182">
        <v>393012</v>
      </c>
      <c r="E182">
        <v>982036</v>
      </c>
      <c r="F182">
        <v>620678</v>
      </c>
      <c r="G182">
        <v>55037</v>
      </c>
      <c r="H182">
        <v>392703</v>
      </c>
      <c r="I182">
        <v>151853</v>
      </c>
      <c r="J182">
        <v>-86886</v>
      </c>
      <c r="K182">
        <v>604721</v>
      </c>
      <c r="L182">
        <v>-5508</v>
      </c>
      <c r="M182">
        <v>10.27</v>
      </c>
      <c r="N182">
        <v>3086701</v>
      </c>
      <c r="O182">
        <v>27610750</v>
      </c>
      <c r="P182" s="2">
        <v>11.179345001493983</v>
      </c>
      <c r="Q182" s="4">
        <v>28.356240249999999</v>
      </c>
    </row>
    <row r="183" spans="1:17" x14ac:dyDescent="0.4">
      <c r="A183">
        <v>20210806</v>
      </c>
      <c r="B183" s="1">
        <v>0.5</v>
      </c>
      <c r="C183">
        <v>-12992</v>
      </c>
      <c r="D183">
        <v>321556</v>
      </c>
      <c r="E183">
        <v>604538</v>
      </c>
      <c r="F183">
        <v>516570</v>
      </c>
      <c r="G183">
        <v>73271</v>
      </c>
      <c r="H183">
        <v>437258</v>
      </c>
      <c r="I183">
        <v>145473</v>
      </c>
      <c r="J183">
        <v>-123846</v>
      </c>
      <c r="K183">
        <v>561187</v>
      </c>
      <c r="L183">
        <v>-13298</v>
      </c>
      <c r="M183">
        <v>9.9499999999999993</v>
      </c>
      <c r="N183">
        <v>2509717</v>
      </c>
      <c r="O183">
        <v>27484550</v>
      </c>
      <c r="P183" s="2">
        <v>9.1313738081940574</v>
      </c>
      <c r="Q183" s="4">
        <v>27.34712725</v>
      </c>
    </row>
    <row r="184" spans="1:17" x14ac:dyDescent="0.4">
      <c r="A184">
        <v>20210806</v>
      </c>
      <c r="B184" s="1">
        <v>0.52083333333333337</v>
      </c>
      <c r="C184">
        <v>19812</v>
      </c>
      <c r="D184">
        <v>317437</v>
      </c>
      <c r="E184">
        <v>596816</v>
      </c>
      <c r="F184">
        <v>305322</v>
      </c>
      <c r="G184">
        <v>71290</v>
      </c>
      <c r="H184">
        <v>360775</v>
      </c>
      <c r="I184">
        <v>202776</v>
      </c>
      <c r="J184">
        <v>-193012</v>
      </c>
      <c r="K184">
        <v>637360</v>
      </c>
      <c r="L184">
        <v>-13134</v>
      </c>
      <c r="M184">
        <v>9.9499999999999993</v>
      </c>
      <c r="N184">
        <v>2305442</v>
      </c>
      <c r="O184">
        <v>27451800</v>
      </c>
      <c r="P184" s="2">
        <v>8.3981451125244977</v>
      </c>
      <c r="Q184" s="4">
        <v>27.314540999999998</v>
      </c>
    </row>
    <row r="185" spans="1:17" x14ac:dyDescent="0.4">
      <c r="A185">
        <v>20210806</v>
      </c>
      <c r="B185" s="1">
        <v>0.54166666666666663</v>
      </c>
      <c r="C185">
        <v>-76563</v>
      </c>
      <c r="D185">
        <v>413147</v>
      </c>
      <c r="E185">
        <v>828423</v>
      </c>
      <c r="F185">
        <v>473517</v>
      </c>
      <c r="G185">
        <v>41463</v>
      </c>
      <c r="H185">
        <v>234225</v>
      </c>
      <c r="I185">
        <v>189330</v>
      </c>
      <c r="J185">
        <v>-205649</v>
      </c>
      <c r="K185">
        <v>504223</v>
      </c>
      <c r="L185">
        <v>-5335</v>
      </c>
      <c r="M185">
        <v>10.02</v>
      </c>
      <c r="N185">
        <v>2396781</v>
      </c>
      <c r="O185">
        <v>26893400</v>
      </c>
      <c r="P185" s="2">
        <v>8.9121531676917005</v>
      </c>
      <c r="Q185" s="4">
        <v>26.947186800000001</v>
      </c>
    </row>
    <row r="186" spans="1:17" x14ac:dyDescent="0.4">
      <c r="A186">
        <v>20210806</v>
      </c>
      <c r="B186" s="1">
        <v>0.5625</v>
      </c>
      <c r="C186">
        <v>-8234</v>
      </c>
      <c r="D186">
        <v>505295</v>
      </c>
      <c r="E186">
        <v>731181</v>
      </c>
      <c r="F186">
        <v>277903</v>
      </c>
      <c r="G186">
        <v>44025</v>
      </c>
      <c r="H186">
        <v>251461</v>
      </c>
      <c r="I186">
        <v>127450</v>
      </c>
      <c r="J186">
        <v>-163275</v>
      </c>
      <c r="K186">
        <v>461474</v>
      </c>
      <c r="L186">
        <v>-3580</v>
      </c>
      <c r="M186">
        <v>10.27</v>
      </c>
      <c r="N186">
        <v>2223700</v>
      </c>
      <c r="O186">
        <v>26818500</v>
      </c>
      <c r="P186" s="2">
        <v>8.2916643361858426</v>
      </c>
      <c r="Q186" s="4">
        <v>27.542599500000001</v>
      </c>
    </row>
    <row r="187" spans="1:17" x14ac:dyDescent="0.4">
      <c r="A187">
        <v>20210806</v>
      </c>
      <c r="B187" s="1">
        <v>0.58333333333333337</v>
      </c>
      <c r="C187">
        <v>-49999</v>
      </c>
      <c r="D187">
        <v>448263</v>
      </c>
      <c r="E187">
        <v>733533</v>
      </c>
      <c r="F187">
        <v>304014</v>
      </c>
      <c r="G187">
        <v>48342</v>
      </c>
      <c r="H187">
        <v>35173</v>
      </c>
      <c r="I187">
        <v>128069</v>
      </c>
      <c r="J187">
        <v>-174380</v>
      </c>
      <c r="K187">
        <v>600378</v>
      </c>
      <c r="L187">
        <v>-11475</v>
      </c>
      <c r="M187">
        <v>10.35</v>
      </c>
      <c r="N187">
        <v>2061918</v>
      </c>
      <c r="O187">
        <v>26407800</v>
      </c>
      <c r="P187" s="2">
        <v>7.8079885488378435</v>
      </c>
      <c r="Q187" s="4">
        <v>27.332073000000001</v>
      </c>
    </row>
    <row r="188" spans="1:17" x14ac:dyDescent="0.4">
      <c r="A188">
        <v>20210806</v>
      </c>
      <c r="B188" s="1">
        <v>0.60416666666666663</v>
      </c>
      <c r="C188">
        <v>-1385</v>
      </c>
      <c r="D188">
        <v>504899</v>
      </c>
      <c r="E188">
        <v>629556</v>
      </c>
      <c r="F188">
        <v>505278</v>
      </c>
      <c r="G188">
        <v>46289</v>
      </c>
      <c r="H188">
        <v>61028</v>
      </c>
      <c r="I188">
        <v>128784</v>
      </c>
      <c r="J188">
        <v>-141124</v>
      </c>
      <c r="K188">
        <v>650342</v>
      </c>
      <c r="L188">
        <v>-12198</v>
      </c>
      <c r="M188">
        <v>13.41</v>
      </c>
      <c r="N188">
        <v>2371469</v>
      </c>
      <c r="O188">
        <v>26121350</v>
      </c>
      <c r="P188" s="2">
        <v>9.0786617077601264</v>
      </c>
      <c r="Q188" s="4">
        <v>35.028730349999996</v>
      </c>
    </row>
    <row r="189" spans="1:17" x14ac:dyDescent="0.4">
      <c r="A189">
        <v>20210806</v>
      </c>
      <c r="B189" s="1">
        <v>0.625</v>
      </c>
      <c r="C189">
        <v>-56636</v>
      </c>
      <c r="D189">
        <v>485879</v>
      </c>
      <c r="E189">
        <v>429013</v>
      </c>
      <c r="F189">
        <v>521180</v>
      </c>
      <c r="G189">
        <v>33845</v>
      </c>
      <c r="H189">
        <v>86585</v>
      </c>
      <c r="I189">
        <v>72175</v>
      </c>
      <c r="J189">
        <v>-132784</v>
      </c>
      <c r="K189">
        <v>600378</v>
      </c>
      <c r="L189">
        <v>-5134</v>
      </c>
      <c r="M189">
        <v>14.81</v>
      </c>
      <c r="N189">
        <v>2034501</v>
      </c>
      <c r="O189">
        <v>25795350</v>
      </c>
      <c r="P189" s="2">
        <v>7.8870843000773396</v>
      </c>
      <c r="Q189" s="4">
        <v>38.202913350000003</v>
      </c>
    </row>
    <row r="190" spans="1:17" x14ac:dyDescent="0.4">
      <c r="A190">
        <v>20210806</v>
      </c>
      <c r="B190" s="1">
        <v>0.64583333333333337</v>
      </c>
      <c r="C190">
        <v>7045</v>
      </c>
      <c r="D190">
        <v>367472</v>
      </c>
      <c r="E190">
        <v>273944</v>
      </c>
      <c r="F190">
        <v>227115</v>
      </c>
      <c r="G190">
        <v>48878</v>
      </c>
      <c r="H190">
        <v>70826</v>
      </c>
      <c r="I190">
        <v>68894</v>
      </c>
      <c r="J190">
        <v>-98359</v>
      </c>
      <c r="K190">
        <v>446284</v>
      </c>
      <c r="L190">
        <v>-1561</v>
      </c>
      <c r="M190">
        <v>15.46</v>
      </c>
      <c r="N190">
        <v>1410538</v>
      </c>
      <c r="O190">
        <v>25448300</v>
      </c>
      <c r="P190" s="2">
        <v>5.5427592412852729</v>
      </c>
      <c r="Q190" s="4">
        <v>39.343071799999997</v>
      </c>
    </row>
    <row r="191" spans="1:17" x14ac:dyDescent="0.4">
      <c r="A191">
        <v>20210806</v>
      </c>
      <c r="B191" s="1">
        <v>0.66666666666666663</v>
      </c>
      <c r="C191">
        <v>-50685</v>
      </c>
      <c r="D191">
        <v>193660</v>
      </c>
      <c r="E191">
        <v>-163500</v>
      </c>
      <c r="F191">
        <v>125068</v>
      </c>
      <c r="G191">
        <v>53055</v>
      </c>
      <c r="H191">
        <v>-5189</v>
      </c>
      <c r="I191">
        <v>96132</v>
      </c>
      <c r="J191">
        <v>-52176</v>
      </c>
      <c r="K191">
        <v>265436</v>
      </c>
      <c r="L191">
        <v>6283</v>
      </c>
      <c r="M191">
        <v>14.7</v>
      </c>
      <c r="N191">
        <v>468084</v>
      </c>
      <c r="O191">
        <v>25842300</v>
      </c>
      <c r="P191" s="2">
        <v>1.8113093648785132</v>
      </c>
      <c r="Q191" s="4">
        <v>37.988180999999997</v>
      </c>
    </row>
    <row r="192" spans="1:17" x14ac:dyDescent="0.4">
      <c r="A192">
        <v>20210806</v>
      </c>
      <c r="B192" s="1">
        <v>0.70833333333333337</v>
      </c>
      <c r="C192">
        <v>-56792</v>
      </c>
      <c r="D192">
        <v>-93000</v>
      </c>
      <c r="E192">
        <v>-625347</v>
      </c>
      <c r="F192">
        <v>226780</v>
      </c>
      <c r="G192">
        <v>18979</v>
      </c>
      <c r="H192">
        <v>448489</v>
      </c>
      <c r="I192">
        <v>492314</v>
      </c>
      <c r="J192">
        <v>-25786</v>
      </c>
      <c r="K192">
        <v>146986</v>
      </c>
      <c r="L192">
        <v>682</v>
      </c>
      <c r="M192">
        <v>20</v>
      </c>
      <c r="N192">
        <v>533305</v>
      </c>
      <c r="O192">
        <v>24519600</v>
      </c>
      <c r="P192" s="2">
        <v>2.1750150899688414</v>
      </c>
      <c r="Q192" s="4">
        <v>49.039200000000001</v>
      </c>
    </row>
    <row r="193" spans="1:17" x14ac:dyDescent="0.4">
      <c r="A193">
        <v>20210806</v>
      </c>
      <c r="B193" s="1">
        <v>0.72916666666666663</v>
      </c>
      <c r="C193">
        <v>-47941</v>
      </c>
      <c r="D193">
        <v>-84834</v>
      </c>
      <c r="E193">
        <v>-708038</v>
      </c>
      <c r="F193">
        <v>358507</v>
      </c>
      <c r="G193">
        <v>6433</v>
      </c>
      <c r="H193">
        <v>394822</v>
      </c>
      <c r="I193">
        <v>351941</v>
      </c>
      <c r="J193">
        <v>18184</v>
      </c>
      <c r="K193">
        <v>-17425</v>
      </c>
      <c r="L193">
        <v>7264</v>
      </c>
      <c r="M193">
        <v>20.81</v>
      </c>
      <c r="N193">
        <v>278913</v>
      </c>
      <c r="O193">
        <v>24025900</v>
      </c>
      <c r="P193" s="2">
        <v>1.1608847119150583</v>
      </c>
      <c r="Q193" s="4">
        <v>49.997897899999991</v>
      </c>
    </row>
    <row r="194" spans="1:17" x14ac:dyDescent="0.4">
      <c r="A194">
        <v>20210806</v>
      </c>
      <c r="B194" s="1">
        <v>0.75</v>
      </c>
      <c r="C194">
        <v>-15285</v>
      </c>
      <c r="D194">
        <v>-30186</v>
      </c>
      <c r="E194">
        <v>-676192</v>
      </c>
      <c r="F194">
        <v>494634</v>
      </c>
      <c r="G194">
        <v>-6539</v>
      </c>
      <c r="H194">
        <v>490081</v>
      </c>
      <c r="I194">
        <v>80553</v>
      </c>
      <c r="J194">
        <v>78582</v>
      </c>
      <c r="K194">
        <v>19829</v>
      </c>
      <c r="L194">
        <v>13825</v>
      </c>
      <c r="M194">
        <v>20.79</v>
      </c>
      <c r="N194">
        <v>449302</v>
      </c>
      <c r="O194">
        <v>23372750</v>
      </c>
      <c r="P194" s="2">
        <v>1.9223326309484334</v>
      </c>
      <c r="Q194" s="4">
        <v>48.591947249999997</v>
      </c>
    </row>
    <row r="195" spans="1:17" x14ac:dyDescent="0.4">
      <c r="A195">
        <v>20210806</v>
      </c>
      <c r="B195" s="1">
        <v>0.77083333333333337</v>
      </c>
      <c r="C195">
        <v>-9068</v>
      </c>
      <c r="D195">
        <v>100301</v>
      </c>
      <c r="E195">
        <v>-572718</v>
      </c>
      <c r="F195">
        <v>435254</v>
      </c>
      <c r="G195">
        <v>-3830</v>
      </c>
      <c r="H195">
        <v>399461</v>
      </c>
      <c r="I195">
        <v>68522</v>
      </c>
      <c r="J195">
        <v>123882</v>
      </c>
      <c r="K195">
        <v>-28691</v>
      </c>
      <c r="L195">
        <v>6885</v>
      </c>
      <c r="M195">
        <v>20.81</v>
      </c>
      <c r="N195">
        <v>519998</v>
      </c>
      <c r="O195">
        <v>23475300</v>
      </c>
      <c r="P195" s="2">
        <v>2.2150856432079675</v>
      </c>
      <c r="Q195" s="4">
        <v>48.852099299999992</v>
      </c>
    </row>
    <row r="196" spans="1:17" x14ac:dyDescent="0.4">
      <c r="A196">
        <v>20210806</v>
      </c>
      <c r="B196" s="1">
        <v>0.79166666666666663</v>
      </c>
      <c r="C196">
        <v>-53987</v>
      </c>
      <c r="D196">
        <v>22608</v>
      </c>
      <c r="E196">
        <v>-576104</v>
      </c>
      <c r="F196">
        <v>348226</v>
      </c>
      <c r="G196">
        <v>-8111</v>
      </c>
      <c r="H196">
        <v>406148</v>
      </c>
      <c r="I196">
        <v>-21938</v>
      </c>
      <c r="J196">
        <v>160789</v>
      </c>
      <c r="K196">
        <v>33332</v>
      </c>
      <c r="L196">
        <v>7091</v>
      </c>
      <c r="M196">
        <v>16.2</v>
      </c>
      <c r="N196">
        <v>318054</v>
      </c>
      <c r="O196">
        <v>23273400</v>
      </c>
      <c r="P196" s="2">
        <v>1.3665987780040734</v>
      </c>
      <c r="Q196" s="4">
        <v>37.702908000000001</v>
      </c>
    </row>
    <row r="197" spans="1:17" x14ac:dyDescent="0.4">
      <c r="A197">
        <v>20210806</v>
      </c>
      <c r="B197" s="1">
        <v>0.8125</v>
      </c>
      <c r="C197">
        <v>32107</v>
      </c>
      <c r="D197">
        <v>7855</v>
      </c>
      <c r="E197">
        <v>-779634</v>
      </c>
      <c r="F197">
        <v>381923</v>
      </c>
      <c r="G197">
        <v>1316</v>
      </c>
      <c r="H197">
        <v>396479</v>
      </c>
      <c r="I197">
        <v>-37942</v>
      </c>
      <c r="J197">
        <v>142652</v>
      </c>
      <c r="K197">
        <v>62135</v>
      </c>
      <c r="L197">
        <v>9202</v>
      </c>
      <c r="M197">
        <v>10.84</v>
      </c>
      <c r="N197">
        <v>216093</v>
      </c>
      <c r="O197">
        <v>23221650</v>
      </c>
      <c r="P197" s="2">
        <v>0.93056694937698226</v>
      </c>
      <c r="Q197" s="4">
        <v>25.172268599999999</v>
      </c>
    </row>
    <row r="198" spans="1:17" x14ac:dyDescent="0.4">
      <c r="A198">
        <v>20210806</v>
      </c>
      <c r="B198" s="1">
        <v>0.83333333333333337</v>
      </c>
      <c r="C198">
        <v>35122</v>
      </c>
      <c r="D198">
        <v>90559</v>
      </c>
      <c r="E198">
        <v>-773180</v>
      </c>
      <c r="F198">
        <v>356471</v>
      </c>
      <c r="G198">
        <v>10189</v>
      </c>
      <c r="H198">
        <v>500639</v>
      </c>
      <c r="I198">
        <v>51754</v>
      </c>
      <c r="J198">
        <v>139491</v>
      </c>
      <c r="K198">
        <v>1006</v>
      </c>
      <c r="L198">
        <v>272</v>
      </c>
      <c r="M198">
        <v>10.220000000000001</v>
      </c>
      <c r="N198">
        <v>412323</v>
      </c>
      <c r="O198">
        <v>22397050</v>
      </c>
      <c r="P198" s="2">
        <v>1.8409701277623616</v>
      </c>
      <c r="Q198" s="4">
        <v>22.889785100000001</v>
      </c>
    </row>
    <row r="199" spans="1:17" x14ac:dyDescent="0.4">
      <c r="A199">
        <v>20210806</v>
      </c>
      <c r="B199" s="1">
        <v>0.875</v>
      </c>
      <c r="C199">
        <v>62128</v>
      </c>
      <c r="D199">
        <v>107797</v>
      </c>
      <c r="E199">
        <v>-436161</v>
      </c>
      <c r="F199">
        <v>31836</v>
      </c>
      <c r="G199">
        <v>-45896</v>
      </c>
      <c r="H199">
        <v>249882</v>
      </c>
      <c r="I199">
        <v>12120</v>
      </c>
      <c r="J199">
        <v>14574</v>
      </c>
      <c r="K199">
        <v>33772</v>
      </c>
      <c r="L199">
        <v>1767</v>
      </c>
      <c r="M199">
        <v>9.92</v>
      </c>
      <c r="N199">
        <v>31819</v>
      </c>
      <c r="O199">
        <v>21954550</v>
      </c>
      <c r="P199" s="2">
        <v>0.14493123293349214</v>
      </c>
      <c r="Q199" s="4">
        <v>21.778913599999999</v>
      </c>
    </row>
    <row r="200" spans="1:17" x14ac:dyDescent="0.4">
      <c r="A200">
        <v>20210807</v>
      </c>
      <c r="B200" s="1">
        <v>0.29166666666666669</v>
      </c>
      <c r="C200">
        <v>28928</v>
      </c>
      <c r="D200">
        <v>220242</v>
      </c>
      <c r="E200">
        <v>109236</v>
      </c>
      <c r="F200">
        <v>85689</v>
      </c>
      <c r="G200">
        <v>-17641</v>
      </c>
      <c r="H200">
        <v>-110090</v>
      </c>
      <c r="I200">
        <v>-22353</v>
      </c>
      <c r="J200">
        <v>60166</v>
      </c>
      <c r="K200">
        <v>-270845</v>
      </c>
      <c r="L200">
        <v>2315</v>
      </c>
      <c r="M200">
        <v>7.85</v>
      </c>
      <c r="N200">
        <v>85647</v>
      </c>
      <c r="O200">
        <v>20286950</v>
      </c>
      <c r="P200" s="2">
        <v>0.42217780395771665</v>
      </c>
      <c r="Q200" s="4">
        <v>15.92525575</v>
      </c>
    </row>
    <row r="201" spans="1:17" x14ac:dyDescent="0.4">
      <c r="A201">
        <v>20210807</v>
      </c>
      <c r="B201" s="1">
        <v>0.3125</v>
      </c>
      <c r="C201">
        <v>-12877</v>
      </c>
      <c r="D201">
        <v>218114</v>
      </c>
      <c r="E201">
        <v>30356</v>
      </c>
      <c r="F201">
        <v>392713</v>
      </c>
      <c r="G201">
        <v>-27335</v>
      </c>
      <c r="H201">
        <v>50280</v>
      </c>
      <c r="I201">
        <v>96786</v>
      </c>
      <c r="J201">
        <v>120730</v>
      </c>
      <c r="K201">
        <v>-269910</v>
      </c>
      <c r="L201">
        <v>-1355</v>
      </c>
      <c r="M201">
        <v>8.11</v>
      </c>
      <c r="N201">
        <v>597502</v>
      </c>
      <c r="O201">
        <v>20669650</v>
      </c>
      <c r="P201" s="2">
        <v>2.8907214200530729</v>
      </c>
      <c r="Q201" s="4">
        <v>16.763086149999999</v>
      </c>
    </row>
    <row r="202" spans="1:17" x14ac:dyDescent="0.4">
      <c r="A202">
        <v>20210807</v>
      </c>
      <c r="B202" s="1">
        <v>0.33333333333333331</v>
      </c>
      <c r="C202">
        <v>15142</v>
      </c>
      <c r="D202">
        <v>226791</v>
      </c>
      <c r="E202">
        <v>546060</v>
      </c>
      <c r="F202">
        <v>527985</v>
      </c>
      <c r="G202">
        <v>-12435</v>
      </c>
      <c r="H202">
        <v>84301</v>
      </c>
      <c r="I202">
        <v>177756</v>
      </c>
      <c r="J202">
        <v>153146</v>
      </c>
      <c r="K202">
        <v>-319538</v>
      </c>
      <c r="L202">
        <v>5017</v>
      </c>
      <c r="M202">
        <v>8.86</v>
      </c>
      <c r="N202">
        <v>1404225</v>
      </c>
      <c r="O202">
        <v>21446150</v>
      </c>
      <c r="P202" s="2">
        <v>6.547678720889297</v>
      </c>
      <c r="Q202" s="4">
        <v>19.001288899999999</v>
      </c>
    </row>
    <row r="203" spans="1:17" x14ac:dyDescent="0.4">
      <c r="A203">
        <v>20210807</v>
      </c>
      <c r="B203" s="1">
        <v>0.35416666666666669</v>
      </c>
      <c r="C203">
        <v>-20057</v>
      </c>
      <c r="D203">
        <v>85962</v>
      </c>
      <c r="E203">
        <v>456024</v>
      </c>
      <c r="F203">
        <v>588131</v>
      </c>
      <c r="G203">
        <v>88</v>
      </c>
      <c r="H203">
        <v>162681</v>
      </c>
      <c r="I203">
        <v>197360</v>
      </c>
      <c r="J203">
        <v>173052</v>
      </c>
      <c r="K203">
        <v>-401275</v>
      </c>
      <c r="L203">
        <v>-22036</v>
      </c>
      <c r="M203">
        <v>8.86</v>
      </c>
      <c r="N203">
        <v>1219930</v>
      </c>
      <c r="O203">
        <v>21805050</v>
      </c>
      <c r="P203" s="2">
        <v>5.5947131513112787</v>
      </c>
      <c r="Q203" s="4">
        <v>19.3192743</v>
      </c>
    </row>
    <row r="204" spans="1:17" x14ac:dyDescent="0.4">
      <c r="A204">
        <v>20210807</v>
      </c>
      <c r="B204" s="1">
        <v>0.375</v>
      </c>
      <c r="C204">
        <v>24545</v>
      </c>
      <c r="D204">
        <v>97714</v>
      </c>
      <c r="E204">
        <v>598700</v>
      </c>
      <c r="F204">
        <v>669000</v>
      </c>
      <c r="G204">
        <v>9310</v>
      </c>
      <c r="H204">
        <v>99999</v>
      </c>
      <c r="I204">
        <v>242623</v>
      </c>
      <c r="J204">
        <v>227749</v>
      </c>
      <c r="K204">
        <v>-512492</v>
      </c>
      <c r="L204">
        <v>-35654</v>
      </c>
      <c r="M204">
        <v>9.56</v>
      </c>
      <c r="N204">
        <v>1421494</v>
      </c>
      <c r="O204">
        <v>22233350</v>
      </c>
      <c r="P204" s="2">
        <v>6.3935214441368489</v>
      </c>
      <c r="Q204" s="4">
        <v>21.255082600000001</v>
      </c>
    </row>
    <row r="205" spans="1:17" x14ac:dyDescent="0.4">
      <c r="A205">
        <v>20210807</v>
      </c>
      <c r="B205" s="1">
        <v>0.39583333333333331</v>
      </c>
      <c r="C205">
        <v>44818</v>
      </c>
      <c r="D205">
        <v>-10006</v>
      </c>
      <c r="E205">
        <v>673241</v>
      </c>
      <c r="F205">
        <v>632284</v>
      </c>
      <c r="G205">
        <v>-9971</v>
      </c>
      <c r="H205">
        <v>202478</v>
      </c>
      <c r="I205">
        <v>251003</v>
      </c>
      <c r="J205">
        <v>218168</v>
      </c>
      <c r="K205">
        <v>-557596</v>
      </c>
      <c r="L205">
        <v>-26145</v>
      </c>
      <c r="M205">
        <v>9.49</v>
      </c>
      <c r="N205">
        <v>1418274</v>
      </c>
      <c r="O205">
        <v>22476300</v>
      </c>
      <c r="P205" s="2">
        <v>6.310086624577889</v>
      </c>
      <c r="Q205" s="4">
        <v>21.3300087</v>
      </c>
    </row>
    <row r="206" spans="1:17" x14ac:dyDescent="0.4">
      <c r="A206">
        <v>20210807</v>
      </c>
      <c r="B206" s="1">
        <v>0.41666666666666669</v>
      </c>
      <c r="C206">
        <v>107124</v>
      </c>
      <c r="D206">
        <v>58281</v>
      </c>
      <c r="E206">
        <v>654342</v>
      </c>
      <c r="F206">
        <v>623445</v>
      </c>
      <c r="G206">
        <v>6010</v>
      </c>
      <c r="H206">
        <v>186834</v>
      </c>
      <c r="I206">
        <v>349298</v>
      </c>
      <c r="J206">
        <v>201865</v>
      </c>
      <c r="K206">
        <v>-481815</v>
      </c>
      <c r="L206">
        <v>-21559</v>
      </c>
      <c r="M206">
        <v>9.57</v>
      </c>
      <c r="N206">
        <v>1683825</v>
      </c>
      <c r="O206">
        <v>22756950</v>
      </c>
      <c r="P206" s="2">
        <v>7.3991681662085647</v>
      </c>
      <c r="Q206" s="4">
        <v>21.778401150000001</v>
      </c>
    </row>
    <row r="207" spans="1:17" x14ac:dyDescent="0.4">
      <c r="A207">
        <v>20210807</v>
      </c>
      <c r="B207" s="1">
        <v>0.4375</v>
      </c>
      <c r="C207">
        <v>101142</v>
      </c>
      <c r="D207">
        <v>6239</v>
      </c>
      <c r="E207">
        <v>686884</v>
      </c>
      <c r="F207">
        <v>850068</v>
      </c>
      <c r="G207">
        <v>52110</v>
      </c>
      <c r="H207">
        <v>267489</v>
      </c>
      <c r="I207">
        <v>370033</v>
      </c>
      <c r="J207">
        <v>192209</v>
      </c>
      <c r="K207">
        <v>-314605</v>
      </c>
      <c r="L207">
        <v>-29529</v>
      </c>
      <c r="M207">
        <v>9.4600000000000009</v>
      </c>
      <c r="N207">
        <v>2182040</v>
      </c>
      <c r="O207">
        <v>22965550</v>
      </c>
      <c r="P207" s="2">
        <v>9.5013618223817851</v>
      </c>
      <c r="Q207" s="4">
        <v>21.725410300000004</v>
      </c>
    </row>
    <row r="208" spans="1:17" x14ac:dyDescent="0.4">
      <c r="A208">
        <v>20210807</v>
      </c>
      <c r="B208" s="1">
        <v>0.45833333333333331</v>
      </c>
      <c r="C208">
        <v>152496</v>
      </c>
      <c r="D208">
        <v>110780</v>
      </c>
      <c r="E208">
        <v>1260104</v>
      </c>
      <c r="F208">
        <v>764117</v>
      </c>
      <c r="G208">
        <v>86389</v>
      </c>
      <c r="H208">
        <v>231971</v>
      </c>
      <c r="I208">
        <v>330759</v>
      </c>
      <c r="J208">
        <v>187362</v>
      </c>
      <c r="K208">
        <v>-223185</v>
      </c>
      <c r="L208">
        <v>-25672</v>
      </c>
      <c r="M208">
        <v>9.5500000000000007</v>
      </c>
      <c r="N208">
        <v>2875121</v>
      </c>
      <c r="O208">
        <v>23149000</v>
      </c>
      <c r="P208" s="2">
        <v>12.420065661583653</v>
      </c>
      <c r="Q208" s="4">
        <v>22.107295000000004</v>
      </c>
    </row>
    <row r="209" spans="1:17" x14ac:dyDescent="0.4">
      <c r="A209">
        <v>20210807</v>
      </c>
      <c r="B209" s="1">
        <v>0.47916666666666669</v>
      </c>
      <c r="C209">
        <v>107395</v>
      </c>
      <c r="D209">
        <v>206162</v>
      </c>
      <c r="E209">
        <v>955309</v>
      </c>
      <c r="F209">
        <v>749780</v>
      </c>
      <c r="G209">
        <v>41701</v>
      </c>
      <c r="H209">
        <v>339540</v>
      </c>
      <c r="I209">
        <v>317782</v>
      </c>
      <c r="J209">
        <v>172752</v>
      </c>
      <c r="K209">
        <v>-149349</v>
      </c>
      <c r="L209">
        <v>-11119</v>
      </c>
      <c r="M209">
        <v>9.25</v>
      </c>
      <c r="N209">
        <v>2729953</v>
      </c>
      <c r="O209">
        <v>23888550</v>
      </c>
      <c r="P209" s="2">
        <v>11.42787234888681</v>
      </c>
      <c r="Q209" s="4">
        <v>22.096908750000001</v>
      </c>
    </row>
    <row r="210" spans="1:17" x14ac:dyDescent="0.4">
      <c r="A210">
        <v>20210807</v>
      </c>
      <c r="B210" s="1">
        <v>0.5</v>
      </c>
      <c r="C210">
        <v>153887</v>
      </c>
      <c r="D210">
        <v>296138</v>
      </c>
      <c r="E210">
        <v>1286283</v>
      </c>
      <c r="F210">
        <v>795997</v>
      </c>
      <c r="G210">
        <v>26993</v>
      </c>
      <c r="H210">
        <v>259086</v>
      </c>
      <c r="I210">
        <v>162156</v>
      </c>
      <c r="J210">
        <v>180281</v>
      </c>
      <c r="K210">
        <v>-151294</v>
      </c>
      <c r="L210">
        <v>-354</v>
      </c>
      <c r="M210">
        <v>9.32</v>
      </c>
      <c r="N210">
        <v>3009173</v>
      </c>
      <c r="O210">
        <v>23593550</v>
      </c>
      <c r="P210" s="2">
        <v>12.754218843709404</v>
      </c>
      <c r="Q210" s="4">
        <v>21.989188599999999</v>
      </c>
    </row>
    <row r="211" spans="1:17" x14ac:dyDescent="0.4">
      <c r="A211">
        <v>20210807</v>
      </c>
      <c r="B211" s="1">
        <v>0.52083333333333337</v>
      </c>
      <c r="C211">
        <v>169732</v>
      </c>
      <c r="D211">
        <v>540619</v>
      </c>
      <c r="E211">
        <v>1107198</v>
      </c>
      <c r="F211">
        <v>740256</v>
      </c>
      <c r="G211">
        <v>39204</v>
      </c>
      <c r="H211">
        <v>364016</v>
      </c>
      <c r="I211">
        <v>161471</v>
      </c>
      <c r="J211">
        <v>210872</v>
      </c>
      <c r="K211">
        <v>33489</v>
      </c>
      <c r="L211">
        <v>-7788</v>
      </c>
      <c r="M211">
        <v>9.42</v>
      </c>
      <c r="N211">
        <v>3359069</v>
      </c>
      <c r="O211">
        <v>23547850</v>
      </c>
      <c r="P211" s="2">
        <v>14.264864945207313</v>
      </c>
      <c r="Q211" s="4">
        <v>22.182074700000001</v>
      </c>
    </row>
    <row r="212" spans="1:17" x14ac:dyDescent="0.4">
      <c r="A212">
        <v>20210807</v>
      </c>
      <c r="B212" s="1">
        <v>0.54166666666666663</v>
      </c>
      <c r="C212">
        <v>121235</v>
      </c>
      <c r="D212">
        <v>487416</v>
      </c>
      <c r="E212">
        <v>897129</v>
      </c>
      <c r="F212">
        <v>859504</v>
      </c>
      <c r="G212">
        <v>-5102</v>
      </c>
      <c r="H212">
        <v>356221</v>
      </c>
      <c r="I212">
        <v>195835</v>
      </c>
      <c r="J212">
        <v>190543</v>
      </c>
      <c r="K212">
        <v>-126332</v>
      </c>
      <c r="L212">
        <v>-26402</v>
      </c>
      <c r="M212">
        <v>9.56</v>
      </c>
      <c r="N212">
        <v>2950047</v>
      </c>
      <c r="O212">
        <v>22868450</v>
      </c>
      <c r="P212" s="2">
        <v>12.900074119583968</v>
      </c>
      <c r="Q212" s="4">
        <v>21.8622382</v>
      </c>
    </row>
    <row r="213" spans="1:17" x14ac:dyDescent="0.4">
      <c r="A213">
        <v>20210807</v>
      </c>
      <c r="B213" s="1">
        <v>0.5625</v>
      </c>
      <c r="C213">
        <v>106187</v>
      </c>
      <c r="D213">
        <v>552626</v>
      </c>
      <c r="E213">
        <v>953036</v>
      </c>
      <c r="F213">
        <v>867873</v>
      </c>
      <c r="G213">
        <v>-45552</v>
      </c>
      <c r="H213">
        <v>389384</v>
      </c>
      <c r="I213">
        <v>232701</v>
      </c>
      <c r="J213">
        <v>181869</v>
      </c>
      <c r="K213">
        <v>-206366</v>
      </c>
      <c r="L213">
        <v>-28272</v>
      </c>
      <c r="M213">
        <v>9.6199999999999992</v>
      </c>
      <c r="N213">
        <v>3003486</v>
      </c>
      <c r="O213">
        <v>22697850</v>
      </c>
      <c r="P213" s="2">
        <v>13.232469154567504</v>
      </c>
      <c r="Q213" s="4">
        <v>21.835331699999998</v>
      </c>
    </row>
    <row r="214" spans="1:17" x14ac:dyDescent="0.4">
      <c r="A214">
        <v>20210807</v>
      </c>
      <c r="B214" s="1">
        <v>0.58333333333333337</v>
      </c>
      <c r="C214">
        <v>105939</v>
      </c>
      <c r="D214">
        <v>615751</v>
      </c>
      <c r="E214">
        <v>1255458</v>
      </c>
      <c r="F214">
        <v>672212</v>
      </c>
      <c r="G214">
        <v>-28862</v>
      </c>
      <c r="H214">
        <v>276433</v>
      </c>
      <c r="I214">
        <v>272826</v>
      </c>
      <c r="J214">
        <v>174107</v>
      </c>
      <c r="K214">
        <v>-181808</v>
      </c>
      <c r="L214">
        <v>-21018</v>
      </c>
      <c r="M214">
        <v>9.83</v>
      </c>
      <c r="N214">
        <v>3141038</v>
      </c>
      <c r="O214">
        <v>22439400</v>
      </c>
      <c r="P214" s="2">
        <v>13.997869818266086</v>
      </c>
      <c r="Q214" s="4">
        <v>22.057930200000001</v>
      </c>
    </row>
    <row r="215" spans="1:17" x14ac:dyDescent="0.4">
      <c r="A215">
        <v>20210807</v>
      </c>
      <c r="B215" s="1">
        <v>0.60416666666666663</v>
      </c>
      <c r="C215">
        <v>146264</v>
      </c>
      <c r="D215">
        <v>533668</v>
      </c>
      <c r="E215">
        <v>1179444</v>
      </c>
      <c r="F215">
        <v>493087</v>
      </c>
      <c r="G215">
        <v>44654</v>
      </c>
      <c r="H215">
        <v>253708</v>
      </c>
      <c r="I215">
        <v>319284</v>
      </c>
      <c r="J215">
        <v>106066</v>
      </c>
      <c r="K215">
        <v>-170125</v>
      </c>
      <c r="L215">
        <v>-26730</v>
      </c>
      <c r="M215">
        <v>9.91</v>
      </c>
      <c r="N215">
        <v>2879320</v>
      </c>
      <c r="O215">
        <v>22251050</v>
      </c>
      <c r="P215" s="2">
        <v>12.940153386019986</v>
      </c>
      <c r="Q215" s="4">
        <v>22.050790549999999</v>
      </c>
    </row>
    <row r="216" spans="1:17" x14ac:dyDescent="0.4">
      <c r="A216">
        <v>20210807</v>
      </c>
      <c r="B216" s="1">
        <v>0.625</v>
      </c>
      <c r="C216">
        <v>107681</v>
      </c>
      <c r="D216">
        <v>472919</v>
      </c>
      <c r="E216">
        <v>1131797</v>
      </c>
      <c r="F216">
        <v>418803</v>
      </c>
      <c r="G216">
        <v>135466</v>
      </c>
      <c r="H216">
        <v>101155</v>
      </c>
      <c r="I216">
        <v>353784</v>
      </c>
      <c r="J216">
        <v>43736</v>
      </c>
      <c r="K216">
        <v>-208370</v>
      </c>
      <c r="L216">
        <v>-18837</v>
      </c>
      <c r="M216">
        <v>10.19</v>
      </c>
      <c r="N216">
        <v>2538134</v>
      </c>
      <c r="O216">
        <v>22065600</v>
      </c>
      <c r="P216" s="2">
        <v>11.502673845261402</v>
      </c>
      <c r="Q216" s="4">
        <v>22.484846399999999</v>
      </c>
    </row>
    <row r="217" spans="1:17" x14ac:dyDescent="0.4">
      <c r="A217">
        <v>20210807</v>
      </c>
      <c r="B217" s="1">
        <v>0.64583333333333337</v>
      </c>
      <c r="C217">
        <v>117018</v>
      </c>
      <c r="D217">
        <v>449767</v>
      </c>
      <c r="E217">
        <v>973377</v>
      </c>
      <c r="F217">
        <v>240844</v>
      </c>
      <c r="G217">
        <v>167868</v>
      </c>
      <c r="H217">
        <v>92365</v>
      </c>
      <c r="I217">
        <v>228705</v>
      </c>
      <c r="J217">
        <v>14078</v>
      </c>
      <c r="K217">
        <v>-445328</v>
      </c>
      <c r="L217">
        <v>-17565</v>
      </c>
      <c r="M217">
        <v>10.28</v>
      </c>
      <c r="N217">
        <v>1821129</v>
      </c>
      <c r="O217">
        <v>21668050</v>
      </c>
      <c r="P217" s="2">
        <v>8.4046741631111246</v>
      </c>
      <c r="Q217" s="4">
        <v>22.2747554</v>
      </c>
    </row>
    <row r="218" spans="1:17" x14ac:dyDescent="0.4">
      <c r="A218">
        <v>20210807</v>
      </c>
      <c r="B218" s="1">
        <v>0.66666666666666663</v>
      </c>
      <c r="C218">
        <v>138502</v>
      </c>
      <c r="D218">
        <v>336513</v>
      </c>
      <c r="E218">
        <v>828600</v>
      </c>
      <c r="F218">
        <v>188325</v>
      </c>
      <c r="G218">
        <v>92867</v>
      </c>
      <c r="H218">
        <v>124939</v>
      </c>
      <c r="I218">
        <v>145244</v>
      </c>
      <c r="J218">
        <v>-8448</v>
      </c>
      <c r="K218">
        <v>-429715</v>
      </c>
      <c r="L218">
        <v>2171</v>
      </c>
      <c r="M218">
        <v>10.27</v>
      </c>
      <c r="N218">
        <v>1418998</v>
      </c>
      <c r="O218">
        <v>22251050</v>
      </c>
      <c r="P218" s="2">
        <v>6.3772181537500474</v>
      </c>
      <c r="Q218" s="4">
        <v>22.851828350000002</v>
      </c>
    </row>
    <row r="219" spans="1:17" x14ac:dyDescent="0.4">
      <c r="A219">
        <v>20210807</v>
      </c>
      <c r="B219" s="1">
        <v>0.6875</v>
      </c>
      <c r="C219">
        <v>122348</v>
      </c>
      <c r="D219">
        <v>373630</v>
      </c>
      <c r="E219">
        <v>764511</v>
      </c>
      <c r="F219">
        <v>153288</v>
      </c>
      <c r="G219">
        <v>49400</v>
      </c>
      <c r="H219">
        <v>-49717</v>
      </c>
      <c r="I219">
        <v>464803</v>
      </c>
      <c r="J219">
        <v>-69057</v>
      </c>
      <c r="K219">
        <v>-329422</v>
      </c>
      <c r="L219">
        <v>3248</v>
      </c>
      <c r="M219">
        <v>10.28</v>
      </c>
      <c r="N219">
        <v>1483032</v>
      </c>
      <c r="O219">
        <v>22028100</v>
      </c>
      <c r="P219" s="2">
        <v>6.7324553638307432</v>
      </c>
      <c r="Q219" s="4">
        <v>22.644886799999998</v>
      </c>
    </row>
    <row r="220" spans="1:17" x14ac:dyDescent="0.4">
      <c r="A220">
        <v>20210807</v>
      </c>
      <c r="B220" s="1">
        <v>0.70833333333333337</v>
      </c>
      <c r="C220">
        <v>153272</v>
      </c>
      <c r="D220">
        <v>303472</v>
      </c>
      <c r="E220">
        <v>752602</v>
      </c>
      <c r="F220">
        <v>131333</v>
      </c>
      <c r="G220">
        <v>45586</v>
      </c>
      <c r="H220">
        <v>-123184</v>
      </c>
      <c r="I220">
        <v>292010</v>
      </c>
      <c r="J220">
        <v>-105055</v>
      </c>
      <c r="K220">
        <v>-223363</v>
      </c>
      <c r="L220">
        <v>2807</v>
      </c>
      <c r="M220">
        <v>10.28</v>
      </c>
      <c r="N220">
        <v>1229480</v>
      </c>
      <c r="O220">
        <v>21960450</v>
      </c>
      <c r="P220" s="2">
        <v>5.5986102288432162</v>
      </c>
      <c r="Q220" s="4">
        <v>22.575342599999999</v>
      </c>
    </row>
    <row r="221" spans="1:17" x14ac:dyDescent="0.4">
      <c r="A221">
        <v>20210807</v>
      </c>
      <c r="B221" s="1">
        <v>0.72916666666666663</v>
      </c>
      <c r="C221">
        <v>125273</v>
      </c>
      <c r="D221">
        <v>187063</v>
      </c>
      <c r="E221">
        <v>180462</v>
      </c>
      <c r="F221">
        <v>70886</v>
      </c>
      <c r="G221">
        <v>21053</v>
      </c>
      <c r="H221">
        <v>-201215</v>
      </c>
      <c r="I221">
        <v>182961</v>
      </c>
      <c r="J221">
        <v>-127144</v>
      </c>
      <c r="K221">
        <v>-151545</v>
      </c>
      <c r="L221">
        <v>2299</v>
      </c>
      <c r="M221">
        <v>10.28</v>
      </c>
      <c r="N221">
        <v>290093</v>
      </c>
      <c r="O221">
        <v>21725050</v>
      </c>
      <c r="P221" s="2">
        <v>1.3352926690617513</v>
      </c>
      <c r="Q221" s="4">
        <v>22.333351400000002</v>
      </c>
    </row>
    <row r="222" spans="1:17" x14ac:dyDescent="0.4">
      <c r="A222">
        <v>20210807</v>
      </c>
      <c r="B222" s="1">
        <v>0.83333333333333337</v>
      </c>
      <c r="C222">
        <v>124494</v>
      </c>
      <c r="D222">
        <v>-22927</v>
      </c>
      <c r="E222">
        <v>-250575</v>
      </c>
      <c r="F222">
        <v>-185878</v>
      </c>
      <c r="G222">
        <v>38908</v>
      </c>
      <c r="H222">
        <v>34345</v>
      </c>
      <c r="I222">
        <v>172839</v>
      </c>
      <c r="J222">
        <v>-7229</v>
      </c>
      <c r="K222">
        <v>319686</v>
      </c>
      <c r="L222">
        <v>-7011</v>
      </c>
      <c r="M222">
        <v>10.25</v>
      </c>
      <c r="N222">
        <v>216652</v>
      </c>
      <c r="O222">
        <v>20781100</v>
      </c>
      <c r="P222" s="2">
        <v>1.0425434649753862</v>
      </c>
      <c r="Q222" s="4">
        <v>21.300627500000001</v>
      </c>
    </row>
    <row r="223" spans="1:17" x14ac:dyDescent="0.4">
      <c r="A223">
        <v>20210807</v>
      </c>
      <c r="B223" s="1">
        <v>0.85416666666666663</v>
      </c>
      <c r="C223">
        <v>49865</v>
      </c>
      <c r="D223">
        <v>-71774</v>
      </c>
      <c r="E223">
        <v>-212649</v>
      </c>
      <c r="F223">
        <v>-167039</v>
      </c>
      <c r="G223">
        <v>23147</v>
      </c>
      <c r="H223">
        <v>103071</v>
      </c>
      <c r="I223">
        <v>177987</v>
      </c>
      <c r="J223">
        <v>-24176</v>
      </c>
      <c r="K223">
        <v>331696</v>
      </c>
      <c r="L223">
        <v>-2388</v>
      </c>
      <c r="M223">
        <v>9.92</v>
      </c>
      <c r="N223">
        <v>207740</v>
      </c>
      <c r="O223">
        <v>20830750</v>
      </c>
      <c r="P223" s="2">
        <v>0.99727566218211061</v>
      </c>
      <c r="Q223" s="4">
        <v>20.664103999999998</v>
      </c>
    </row>
    <row r="224" spans="1:17" x14ac:dyDescent="0.4">
      <c r="A224">
        <v>20210807</v>
      </c>
      <c r="B224" s="1">
        <v>0.875</v>
      </c>
      <c r="C224">
        <v>96737</v>
      </c>
      <c r="D224">
        <v>-102137</v>
      </c>
      <c r="E224">
        <v>-278505</v>
      </c>
      <c r="F224">
        <v>-214867</v>
      </c>
      <c r="G224">
        <v>40282</v>
      </c>
      <c r="H224">
        <v>69688</v>
      </c>
      <c r="I224">
        <v>162067</v>
      </c>
      <c r="J224">
        <v>-19948</v>
      </c>
      <c r="K224">
        <v>337342</v>
      </c>
      <c r="L224">
        <v>-5826</v>
      </c>
      <c r="M224">
        <v>9.56</v>
      </c>
      <c r="N224">
        <v>84833</v>
      </c>
      <c r="O224">
        <v>20839700</v>
      </c>
      <c r="P224" s="2">
        <v>0.40707399818615431</v>
      </c>
      <c r="Q224" s="4">
        <v>19.922753199999999</v>
      </c>
    </row>
    <row r="225" spans="1:17" x14ac:dyDescent="0.4">
      <c r="A225">
        <v>20210808</v>
      </c>
      <c r="B225" s="1">
        <v>0</v>
      </c>
      <c r="C225">
        <v>54229</v>
      </c>
      <c r="D225">
        <v>58903</v>
      </c>
      <c r="E225">
        <v>-236534</v>
      </c>
      <c r="F225">
        <v>-20506</v>
      </c>
      <c r="G225">
        <v>66138</v>
      </c>
      <c r="H225">
        <v>55083</v>
      </c>
      <c r="I225">
        <v>-8437</v>
      </c>
      <c r="J225">
        <v>33329</v>
      </c>
      <c r="K225">
        <v>136491</v>
      </c>
      <c r="L225">
        <v>-4634</v>
      </c>
      <c r="M225">
        <v>7.06</v>
      </c>
      <c r="N225">
        <v>134062</v>
      </c>
      <c r="O225">
        <v>17645000</v>
      </c>
      <c r="P225" s="2">
        <v>0.75977330688580336</v>
      </c>
      <c r="Q225" s="4">
        <v>12.457369999999999</v>
      </c>
    </row>
    <row r="226" spans="1:17" x14ac:dyDescent="0.4">
      <c r="A226">
        <v>20210808</v>
      </c>
      <c r="B226" s="1">
        <v>2.0833333333333332E-2</v>
      </c>
      <c r="C226">
        <v>84659</v>
      </c>
      <c r="D226">
        <v>46883</v>
      </c>
      <c r="E226">
        <v>-226089</v>
      </c>
      <c r="F226">
        <v>-9188</v>
      </c>
      <c r="G226">
        <v>53155</v>
      </c>
      <c r="H226">
        <v>82302</v>
      </c>
      <c r="I226">
        <v>-5950</v>
      </c>
      <c r="J226">
        <v>24092</v>
      </c>
      <c r="K226">
        <v>149281</v>
      </c>
      <c r="L226">
        <v>1990</v>
      </c>
      <c r="M226">
        <v>6.96</v>
      </c>
      <c r="N226">
        <v>201135</v>
      </c>
      <c r="O226">
        <v>18889950</v>
      </c>
      <c r="P226" s="2">
        <v>1.0647725377780248</v>
      </c>
      <c r="Q226" s="4">
        <v>13.1474052</v>
      </c>
    </row>
    <row r="227" spans="1:17" x14ac:dyDescent="0.4">
      <c r="A227">
        <v>20210808</v>
      </c>
      <c r="B227" s="1">
        <v>4.1666666666666664E-2</v>
      </c>
      <c r="C227">
        <v>77848</v>
      </c>
      <c r="D227">
        <v>60925</v>
      </c>
      <c r="E227">
        <v>-176887</v>
      </c>
      <c r="F227">
        <v>-1388</v>
      </c>
      <c r="G227">
        <v>31848</v>
      </c>
      <c r="H227">
        <v>120489</v>
      </c>
      <c r="I227">
        <v>-5469</v>
      </c>
      <c r="J227">
        <v>38755</v>
      </c>
      <c r="K227">
        <v>114785</v>
      </c>
      <c r="L227">
        <v>-2137</v>
      </c>
      <c r="M227">
        <v>7</v>
      </c>
      <c r="N227">
        <v>258769</v>
      </c>
      <c r="O227">
        <v>19375700</v>
      </c>
      <c r="P227" s="2">
        <v>1.3355336839443219</v>
      </c>
      <c r="Q227" s="4">
        <v>13.562989999999999</v>
      </c>
    </row>
    <row r="228" spans="1:17" x14ac:dyDescent="0.4">
      <c r="A228">
        <v>20210808</v>
      </c>
      <c r="B228" s="1">
        <v>6.25E-2</v>
      </c>
      <c r="C228">
        <v>68455</v>
      </c>
      <c r="D228">
        <v>55356</v>
      </c>
      <c r="E228">
        <v>-150461</v>
      </c>
      <c r="F228">
        <v>82619</v>
      </c>
      <c r="G228">
        <v>56234</v>
      </c>
      <c r="H228">
        <v>42936</v>
      </c>
      <c r="I228">
        <v>-57658</v>
      </c>
      <c r="J228">
        <v>51307</v>
      </c>
      <c r="K228">
        <v>119910</v>
      </c>
      <c r="L228">
        <v>-1293</v>
      </c>
      <c r="M228">
        <v>7</v>
      </c>
      <c r="N228">
        <v>267405</v>
      </c>
      <c r="O228">
        <v>19447250</v>
      </c>
      <c r="P228" s="2">
        <v>1.3750273174870482</v>
      </c>
      <c r="Q228" s="4">
        <v>13.613075</v>
      </c>
    </row>
    <row r="229" spans="1:17" x14ac:dyDescent="0.4">
      <c r="A229">
        <v>20210808</v>
      </c>
      <c r="B229" s="1">
        <v>8.3333333333333329E-2</v>
      </c>
      <c r="C229">
        <v>65264</v>
      </c>
      <c r="D229">
        <v>42781</v>
      </c>
      <c r="E229">
        <v>-118994</v>
      </c>
      <c r="F229">
        <v>45084</v>
      </c>
      <c r="G229">
        <v>28851</v>
      </c>
      <c r="H229">
        <v>93911</v>
      </c>
      <c r="I229">
        <v>52069</v>
      </c>
      <c r="J229">
        <v>67278</v>
      </c>
      <c r="K229">
        <v>88207</v>
      </c>
      <c r="L229">
        <v>977</v>
      </c>
      <c r="M229">
        <v>7.84</v>
      </c>
      <c r="N229">
        <v>365428</v>
      </c>
      <c r="O229">
        <v>19513850</v>
      </c>
      <c r="P229" s="2">
        <v>1.8726596750513098</v>
      </c>
      <c r="Q229" s="4">
        <v>15.2988584</v>
      </c>
    </row>
    <row r="230" spans="1:17" x14ac:dyDescent="0.4">
      <c r="A230">
        <v>20210808</v>
      </c>
      <c r="B230" s="1">
        <v>0.10416666666666667</v>
      </c>
      <c r="C230">
        <v>118444</v>
      </c>
      <c r="D230">
        <v>59166</v>
      </c>
      <c r="E230">
        <v>-159251</v>
      </c>
      <c r="F230">
        <v>129963</v>
      </c>
      <c r="G230">
        <v>57464</v>
      </c>
      <c r="H230">
        <v>-19659</v>
      </c>
      <c r="I230">
        <v>-775</v>
      </c>
      <c r="J230">
        <v>56352</v>
      </c>
      <c r="K230">
        <v>88148</v>
      </c>
      <c r="L230">
        <v>-6497</v>
      </c>
      <c r="M230">
        <v>7.44</v>
      </c>
      <c r="N230">
        <v>323355</v>
      </c>
      <c r="O230">
        <v>19505550</v>
      </c>
      <c r="P230" s="2">
        <v>1.6577589455308874</v>
      </c>
      <c r="Q230" s="4">
        <v>14.5121292</v>
      </c>
    </row>
    <row r="231" spans="1:17" x14ac:dyDescent="0.4">
      <c r="A231">
        <v>20210808</v>
      </c>
      <c r="B231" s="1">
        <v>0.125</v>
      </c>
      <c r="C231">
        <v>80868</v>
      </c>
      <c r="D231">
        <v>30329</v>
      </c>
      <c r="E231">
        <v>-148779</v>
      </c>
      <c r="F231">
        <v>116943</v>
      </c>
      <c r="G231">
        <v>23366</v>
      </c>
      <c r="H231">
        <v>107966</v>
      </c>
      <c r="I231">
        <v>-21903</v>
      </c>
      <c r="J231">
        <v>38836</v>
      </c>
      <c r="K231">
        <v>98759</v>
      </c>
      <c r="L231">
        <v>-3623</v>
      </c>
      <c r="M231">
        <v>6.94</v>
      </c>
      <c r="N231">
        <v>322762</v>
      </c>
      <c r="O231">
        <v>19702200</v>
      </c>
      <c r="P231" s="2">
        <v>1.6382028402919471</v>
      </c>
      <c r="Q231" s="4">
        <v>13.6733268</v>
      </c>
    </row>
    <row r="232" spans="1:17" x14ac:dyDescent="0.4">
      <c r="A232">
        <v>20210808</v>
      </c>
      <c r="B232" s="1">
        <v>0.14583333333333334</v>
      </c>
      <c r="C232">
        <v>79820</v>
      </c>
      <c r="D232">
        <v>38839</v>
      </c>
      <c r="E232">
        <v>-119780</v>
      </c>
      <c r="F232">
        <v>195959</v>
      </c>
      <c r="G232">
        <v>29073</v>
      </c>
      <c r="H232">
        <v>81449</v>
      </c>
      <c r="I232">
        <v>12722</v>
      </c>
      <c r="J232">
        <v>39126</v>
      </c>
      <c r="K232">
        <v>78746</v>
      </c>
      <c r="L232">
        <v>5926</v>
      </c>
      <c r="M232">
        <v>6.94</v>
      </c>
      <c r="N232">
        <v>441880</v>
      </c>
      <c r="O232">
        <v>19815100</v>
      </c>
      <c r="P232" s="2">
        <v>2.2300165025662246</v>
      </c>
      <c r="Q232" s="4">
        <v>13.7516794</v>
      </c>
    </row>
    <row r="233" spans="1:17" x14ac:dyDescent="0.4">
      <c r="A233">
        <v>20210808</v>
      </c>
      <c r="B233" s="1">
        <v>0.16666666666666666</v>
      </c>
      <c r="C233">
        <v>60289</v>
      </c>
      <c r="D233">
        <v>46403</v>
      </c>
      <c r="E233">
        <v>-64142</v>
      </c>
      <c r="F233">
        <v>125069</v>
      </c>
      <c r="G233">
        <v>18652</v>
      </c>
      <c r="H233">
        <v>194410</v>
      </c>
      <c r="I233">
        <v>33761</v>
      </c>
      <c r="J233">
        <v>56829</v>
      </c>
      <c r="K233">
        <v>41107</v>
      </c>
      <c r="L233">
        <v>15743</v>
      </c>
      <c r="M233">
        <v>6.87</v>
      </c>
      <c r="N233">
        <v>528121</v>
      </c>
      <c r="O233">
        <v>19990900</v>
      </c>
      <c r="P233" s="2">
        <v>2.6418070221950987</v>
      </c>
      <c r="Q233" s="4">
        <v>13.7337483</v>
      </c>
    </row>
    <row r="234" spans="1:17" x14ac:dyDescent="0.4">
      <c r="A234">
        <v>20210808</v>
      </c>
      <c r="B234" s="1">
        <v>0.1875</v>
      </c>
      <c r="C234">
        <v>70110</v>
      </c>
      <c r="D234">
        <v>4034</v>
      </c>
      <c r="E234">
        <v>-17158</v>
      </c>
      <c r="F234">
        <v>140873</v>
      </c>
      <c r="G234">
        <v>37605</v>
      </c>
      <c r="H234">
        <v>101959</v>
      </c>
      <c r="I234">
        <v>75851</v>
      </c>
      <c r="J234">
        <v>59783</v>
      </c>
      <c r="K234">
        <v>-4830</v>
      </c>
      <c r="L234">
        <v>8171</v>
      </c>
      <c r="M234">
        <v>6.95</v>
      </c>
      <c r="N234">
        <v>476398</v>
      </c>
      <c r="O234">
        <v>20039850</v>
      </c>
      <c r="P234" s="2">
        <v>2.3772533227544117</v>
      </c>
      <c r="Q234" s="4">
        <v>13.92769575</v>
      </c>
    </row>
    <row r="235" spans="1:17" x14ac:dyDescent="0.4">
      <c r="A235">
        <v>20210808</v>
      </c>
      <c r="B235" s="1">
        <v>0.20833333333333334</v>
      </c>
      <c r="C235">
        <v>64763</v>
      </c>
      <c r="D235">
        <v>-20967</v>
      </c>
      <c r="E235">
        <v>-21767</v>
      </c>
      <c r="F235">
        <v>130625</v>
      </c>
      <c r="G235">
        <v>42758</v>
      </c>
      <c r="H235">
        <v>108774</v>
      </c>
      <c r="I235">
        <v>48735</v>
      </c>
      <c r="J235">
        <v>63091</v>
      </c>
      <c r="K235">
        <v>-28884</v>
      </c>
      <c r="L235">
        <v>4469</v>
      </c>
      <c r="M235">
        <v>6.92</v>
      </c>
      <c r="N235">
        <v>391597</v>
      </c>
      <c r="O235">
        <v>20022400</v>
      </c>
      <c r="P235" s="2">
        <v>1.9557945101486336</v>
      </c>
      <c r="Q235" s="4">
        <v>13.8555008</v>
      </c>
    </row>
    <row r="236" spans="1:17" x14ac:dyDescent="0.4">
      <c r="A236">
        <v>20210808</v>
      </c>
      <c r="B236" s="1">
        <v>0.22916666666666666</v>
      </c>
      <c r="C236">
        <v>8974</v>
      </c>
      <c r="D236">
        <v>78641</v>
      </c>
      <c r="E236">
        <v>113699</v>
      </c>
      <c r="F236">
        <v>173730</v>
      </c>
      <c r="G236">
        <v>22712</v>
      </c>
      <c r="H236">
        <v>103703</v>
      </c>
      <c r="I236">
        <v>61111</v>
      </c>
      <c r="J236">
        <v>56794</v>
      </c>
      <c r="K236">
        <v>-45323</v>
      </c>
      <c r="L236">
        <v>7937</v>
      </c>
      <c r="M236">
        <v>6.85</v>
      </c>
      <c r="N236">
        <v>581978</v>
      </c>
      <c r="O236">
        <v>20139150</v>
      </c>
      <c r="P236" s="2">
        <v>2.8897843255549516</v>
      </c>
      <c r="Q236" s="4">
        <v>13.795317750000001</v>
      </c>
    </row>
    <row r="237" spans="1:17" x14ac:dyDescent="0.4">
      <c r="A237">
        <v>20210808</v>
      </c>
      <c r="B237" s="1">
        <v>0.25</v>
      </c>
      <c r="C237">
        <v>70948</v>
      </c>
      <c r="D237">
        <v>59556</v>
      </c>
      <c r="E237">
        <v>215590</v>
      </c>
      <c r="F237">
        <v>-6013</v>
      </c>
      <c r="G237">
        <v>53088</v>
      </c>
      <c r="H237">
        <v>78955</v>
      </c>
      <c r="I237">
        <v>-44398</v>
      </c>
      <c r="J237">
        <v>67996</v>
      </c>
      <c r="K237">
        <v>-112991</v>
      </c>
      <c r="L237">
        <v>-6272</v>
      </c>
      <c r="M237">
        <v>6.95</v>
      </c>
      <c r="N237">
        <v>376459</v>
      </c>
      <c r="O237">
        <v>20612950</v>
      </c>
      <c r="P237" s="2">
        <v>1.8263227728199991</v>
      </c>
      <c r="Q237" s="4">
        <v>14.32600025</v>
      </c>
    </row>
    <row r="238" spans="1:17" x14ac:dyDescent="0.4">
      <c r="A238">
        <v>20210808</v>
      </c>
      <c r="B238" s="1">
        <v>0.27083333333333331</v>
      </c>
      <c r="C238">
        <v>47851</v>
      </c>
      <c r="D238">
        <v>49214</v>
      </c>
      <c r="E238">
        <v>383016</v>
      </c>
      <c r="F238">
        <v>-181582</v>
      </c>
      <c r="G238">
        <v>55762</v>
      </c>
      <c r="H238">
        <v>67314</v>
      </c>
      <c r="I238">
        <v>193975</v>
      </c>
      <c r="J238">
        <v>82426</v>
      </c>
      <c r="K238">
        <v>-93035</v>
      </c>
      <c r="L238">
        <v>-10225</v>
      </c>
      <c r="M238">
        <v>6.95</v>
      </c>
      <c r="N238">
        <v>594716</v>
      </c>
      <c r="O238">
        <v>20923700</v>
      </c>
      <c r="P238" s="2">
        <v>2.8423080047983866</v>
      </c>
      <c r="Q238" s="4">
        <v>14.541971500000001</v>
      </c>
    </row>
    <row r="239" spans="1:17" x14ac:dyDescent="0.4">
      <c r="A239">
        <v>20210808</v>
      </c>
      <c r="B239" s="1">
        <v>0.29166666666666669</v>
      </c>
      <c r="C239">
        <v>125240</v>
      </c>
      <c r="D239">
        <v>121973</v>
      </c>
      <c r="E239">
        <v>655072</v>
      </c>
      <c r="F239">
        <v>-108237</v>
      </c>
      <c r="G239">
        <v>67013</v>
      </c>
      <c r="H239">
        <v>-160527</v>
      </c>
      <c r="I239">
        <v>310097</v>
      </c>
      <c r="J239">
        <v>74451</v>
      </c>
      <c r="K239">
        <v>-33750</v>
      </c>
      <c r="L239">
        <v>-14164</v>
      </c>
      <c r="M239">
        <v>6.92</v>
      </c>
      <c r="N239">
        <v>1037168</v>
      </c>
      <c r="O239">
        <v>21295200</v>
      </c>
      <c r="P239" s="2">
        <v>4.8704308952252147</v>
      </c>
      <c r="Q239" s="4">
        <v>14.7362784</v>
      </c>
    </row>
    <row r="240" spans="1:17" x14ac:dyDescent="0.4">
      <c r="A240">
        <v>20210808</v>
      </c>
      <c r="B240" s="1">
        <v>0.3125</v>
      </c>
      <c r="C240">
        <v>152469</v>
      </c>
      <c r="D240">
        <v>100504</v>
      </c>
      <c r="E240">
        <v>798295</v>
      </c>
      <c r="F240">
        <v>-181684</v>
      </c>
      <c r="G240">
        <v>54331</v>
      </c>
      <c r="H240">
        <v>-14964</v>
      </c>
      <c r="I240">
        <v>497572</v>
      </c>
      <c r="J240">
        <v>151026</v>
      </c>
      <c r="K240">
        <v>113074</v>
      </c>
      <c r="L240">
        <v>-25051</v>
      </c>
      <c r="M240">
        <v>6.92</v>
      </c>
      <c r="N240">
        <v>1645572</v>
      </c>
      <c r="O240">
        <v>21662850</v>
      </c>
      <c r="P240" s="2">
        <v>7.5962858072691271</v>
      </c>
      <c r="Q240" s="4">
        <v>14.9906922</v>
      </c>
    </row>
    <row r="241" spans="1:17" x14ac:dyDescent="0.4">
      <c r="A241">
        <v>20210808</v>
      </c>
      <c r="B241" s="1">
        <v>0.33333333333333331</v>
      </c>
      <c r="C241">
        <v>159078</v>
      </c>
      <c r="D241">
        <v>176340</v>
      </c>
      <c r="E241">
        <v>1144746</v>
      </c>
      <c r="F241">
        <v>-208706</v>
      </c>
      <c r="G241">
        <v>64206</v>
      </c>
      <c r="H241">
        <v>7097</v>
      </c>
      <c r="I241">
        <v>152561</v>
      </c>
      <c r="J241">
        <v>188064</v>
      </c>
      <c r="K241">
        <v>189589</v>
      </c>
      <c r="L241">
        <v>-30705</v>
      </c>
      <c r="M241">
        <v>7.14</v>
      </c>
      <c r="N241">
        <v>1842270</v>
      </c>
      <c r="O241">
        <v>22330900</v>
      </c>
      <c r="P241" s="2">
        <v>8.2498690155793089</v>
      </c>
      <c r="Q241" s="4">
        <v>15.9442626</v>
      </c>
    </row>
    <row r="242" spans="1:17" x14ac:dyDescent="0.4">
      <c r="A242">
        <v>20210808</v>
      </c>
      <c r="B242" s="1">
        <v>0.35416666666666669</v>
      </c>
      <c r="C242">
        <v>216058</v>
      </c>
      <c r="D242">
        <v>253266</v>
      </c>
      <c r="E242">
        <v>1287225</v>
      </c>
      <c r="F242">
        <v>-165340</v>
      </c>
      <c r="G242">
        <v>116439</v>
      </c>
      <c r="H242">
        <v>31190</v>
      </c>
      <c r="I242">
        <v>99778</v>
      </c>
      <c r="J242">
        <v>206980</v>
      </c>
      <c r="K242">
        <v>309592</v>
      </c>
      <c r="L242">
        <v>-41067</v>
      </c>
      <c r="M242">
        <v>7.17</v>
      </c>
      <c r="N242">
        <v>2314121</v>
      </c>
      <c r="O242">
        <v>22274050</v>
      </c>
      <c r="P242" s="2">
        <v>10.389314022371325</v>
      </c>
      <c r="Q242" s="4">
        <v>15.97049385</v>
      </c>
    </row>
    <row r="243" spans="1:17" x14ac:dyDescent="0.4">
      <c r="A243">
        <v>20210808</v>
      </c>
      <c r="B243" s="1">
        <v>0.375</v>
      </c>
      <c r="C243">
        <v>227502</v>
      </c>
      <c r="D243">
        <v>388893</v>
      </c>
      <c r="E243">
        <v>1540519</v>
      </c>
      <c r="F243">
        <v>42312</v>
      </c>
      <c r="G243">
        <v>177878</v>
      </c>
      <c r="H243">
        <v>62281</v>
      </c>
      <c r="I243">
        <v>347</v>
      </c>
      <c r="J243">
        <v>214518</v>
      </c>
      <c r="K243">
        <v>327216</v>
      </c>
      <c r="L243">
        <v>-24275</v>
      </c>
      <c r="M243">
        <v>7.89</v>
      </c>
      <c r="N243">
        <v>2957191</v>
      </c>
      <c r="O243">
        <v>22277300</v>
      </c>
      <c r="P243" s="2">
        <v>13.274458753978266</v>
      </c>
      <c r="Q243" s="4">
        <v>17.576789699999999</v>
      </c>
    </row>
    <row r="244" spans="1:17" x14ac:dyDescent="0.4">
      <c r="A244">
        <v>20210808</v>
      </c>
      <c r="B244" s="1">
        <v>0.39583333333333331</v>
      </c>
      <c r="C244">
        <v>278391</v>
      </c>
      <c r="D244">
        <v>438295</v>
      </c>
      <c r="E244">
        <v>1332432</v>
      </c>
      <c r="F244">
        <v>54662</v>
      </c>
      <c r="G244">
        <v>191678</v>
      </c>
      <c r="H244">
        <v>116951</v>
      </c>
      <c r="I244">
        <v>-1948</v>
      </c>
      <c r="J244">
        <v>196931</v>
      </c>
      <c r="K244">
        <v>196014</v>
      </c>
      <c r="L244">
        <v>-13176</v>
      </c>
      <c r="M244">
        <v>7.88</v>
      </c>
      <c r="N244">
        <v>2790230</v>
      </c>
      <c r="O244">
        <v>22331300</v>
      </c>
      <c r="P244" s="2">
        <v>12.494704741774997</v>
      </c>
      <c r="Q244" s="4">
        <v>17.597064400000001</v>
      </c>
    </row>
    <row r="245" spans="1:17" x14ac:dyDescent="0.4">
      <c r="A245">
        <v>20210808</v>
      </c>
      <c r="B245" s="1">
        <v>0.41666666666666669</v>
      </c>
      <c r="C245">
        <v>281746</v>
      </c>
      <c r="D245">
        <v>466429</v>
      </c>
      <c r="E245">
        <v>1448572</v>
      </c>
      <c r="F245">
        <v>193578</v>
      </c>
      <c r="G245">
        <v>224651</v>
      </c>
      <c r="H245">
        <v>338633</v>
      </c>
      <c r="I245">
        <v>137108</v>
      </c>
      <c r="J245">
        <v>210449</v>
      </c>
      <c r="K245">
        <v>87777</v>
      </c>
      <c r="L245">
        <v>-20152</v>
      </c>
      <c r="M245">
        <v>7.89</v>
      </c>
      <c r="N245">
        <v>3368791</v>
      </c>
      <c r="O245">
        <v>22522350</v>
      </c>
      <c r="P245" s="2">
        <v>14.95754661480707</v>
      </c>
      <c r="Q245" s="4">
        <v>17.770134150000001</v>
      </c>
    </row>
    <row r="246" spans="1:17" x14ac:dyDescent="0.4">
      <c r="A246">
        <v>20210808</v>
      </c>
      <c r="B246" s="1">
        <v>0.4375</v>
      </c>
      <c r="C246">
        <v>357409</v>
      </c>
      <c r="D246">
        <v>492776</v>
      </c>
      <c r="E246">
        <v>1432045</v>
      </c>
      <c r="F246">
        <v>206774</v>
      </c>
      <c r="G246">
        <v>158242</v>
      </c>
      <c r="H246">
        <v>462544</v>
      </c>
      <c r="I246">
        <v>200273</v>
      </c>
      <c r="J246">
        <v>206911</v>
      </c>
      <c r="K246">
        <v>52203</v>
      </c>
      <c r="L246">
        <v>1330</v>
      </c>
      <c r="M246">
        <v>7.89</v>
      </c>
      <c r="N246">
        <v>3570507</v>
      </c>
      <c r="O246">
        <v>22593700</v>
      </c>
      <c r="P246" s="2">
        <v>15.803108831222863</v>
      </c>
      <c r="Q246" s="4">
        <v>17.826429300000001</v>
      </c>
    </row>
    <row r="247" spans="1:17" x14ac:dyDescent="0.4">
      <c r="A247">
        <v>20210808</v>
      </c>
      <c r="B247" s="1">
        <v>0.45833333333333331</v>
      </c>
      <c r="C247">
        <v>325839</v>
      </c>
      <c r="D247">
        <v>546336</v>
      </c>
      <c r="E247">
        <v>1033379</v>
      </c>
      <c r="F247">
        <v>234636</v>
      </c>
      <c r="G247">
        <v>135649</v>
      </c>
      <c r="H247">
        <v>542100</v>
      </c>
      <c r="I247">
        <v>278475</v>
      </c>
      <c r="J247">
        <v>204809</v>
      </c>
      <c r="K247">
        <v>98699</v>
      </c>
      <c r="L247">
        <v>-18993</v>
      </c>
      <c r="M247">
        <v>8.86</v>
      </c>
      <c r="N247">
        <v>3380929</v>
      </c>
      <c r="O247">
        <v>22791500</v>
      </c>
      <c r="P247" s="2">
        <v>14.834166246188271</v>
      </c>
      <c r="Q247" s="4">
        <v>20.193269000000001</v>
      </c>
    </row>
    <row r="248" spans="1:17" x14ac:dyDescent="0.4">
      <c r="A248">
        <v>20210808</v>
      </c>
      <c r="B248" s="1">
        <v>0.47916666666666669</v>
      </c>
      <c r="C248">
        <v>366487</v>
      </c>
      <c r="D248">
        <v>596466</v>
      </c>
      <c r="E248">
        <v>599381</v>
      </c>
      <c r="F248">
        <v>89554</v>
      </c>
      <c r="G248">
        <v>128792</v>
      </c>
      <c r="H248">
        <v>386752</v>
      </c>
      <c r="I248">
        <v>270104</v>
      </c>
      <c r="J248">
        <v>196728</v>
      </c>
      <c r="K248">
        <v>-257067</v>
      </c>
      <c r="L248">
        <v>-15946</v>
      </c>
      <c r="M248">
        <v>8.86</v>
      </c>
      <c r="N248">
        <v>2361251</v>
      </c>
      <c r="O248">
        <v>23309600</v>
      </c>
      <c r="P248" s="2">
        <v>10.129950749905618</v>
      </c>
      <c r="Q248" s="4">
        <v>20.652305599999998</v>
      </c>
    </row>
    <row r="249" spans="1:17" x14ac:dyDescent="0.4">
      <c r="A249">
        <v>20210808</v>
      </c>
      <c r="B249" s="1">
        <v>0.5</v>
      </c>
      <c r="C249">
        <v>308479</v>
      </c>
      <c r="D249">
        <v>563289</v>
      </c>
      <c r="E249">
        <v>336776</v>
      </c>
      <c r="F249">
        <v>112074</v>
      </c>
      <c r="G249">
        <v>97869</v>
      </c>
      <c r="H249">
        <v>362947</v>
      </c>
      <c r="I249">
        <v>282545</v>
      </c>
      <c r="J249">
        <v>147050</v>
      </c>
      <c r="K249">
        <v>-409302</v>
      </c>
      <c r="L249">
        <v>-3482</v>
      </c>
      <c r="M249">
        <v>8.86</v>
      </c>
      <c r="N249">
        <v>1798245</v>
      </c>
      <c r="O249">
        <v>23480600</v>
      </c>
      <c r="P249" s="2">
        <v>7.6584286602557006</v>
      </c>
      <c r="Q249" s="4">
        <v>20.8038116</v>
      </c>
    </row>
    <row r="250" spans="1:17" x14ac:dyDescent="0.4">
      <c r="A250">
        <v>20210808</v>
      </c>
      <c r="B250" s="1">
        <v>0.52083333333333337</v>
      </c>
      <c r="C250">
        <v>306680</v>
      </c>
      <c r="D250">
        <v>625405</v>
      </c>
      <c r="E250">
        <v>473338</v>
      </c>
      <c r="F250">
        <v>220175</v>
      </c>
      <c r="G250">
        <v>93914</v>
      </c>
      <c r="H250">
        <v>427838</v>
      </c>
      <c r="I250">
        <v>231938</v>
      </c>
      <c r="J250">
        <v>174276</v>
      </c>
      <c r="K250">
        <v>-618892</v>
      </c>
      <c r="L250">
        <v>-3180</v>
      </c>
      <c r="M250">
        <v>8.86</v>
      </c>
      <c r="N250">
        <v>1931492</v>
      </c>
      <c r="O250">
        <v>23530750</v>
      </c>
      <c r="P250" s="2">
        <v>8.2083741487202921</v>
      </c>
      <c r="Q250" s="4">
        <v>20.8482445</v>
      </c>
    </row>
    <row r="251" spans="1:17" x14ac:dyDescent="0.4">
      <c r="A251">
        <v>20210808</v>
      </c>
      <c r="B251" s="1">
        <v>0.54166666666666663</v>
      </c>
      <c r="C251">
        <v>225062</v>
      </c>
      <c r="D251">
        <v>674503</v>
      </c>
      <c r="E251">
        <v>247097</v>
      </c>
      <c r="F251">
        <v>293671</v>
      </c>
      <c r="G251">
        <v>65645</v>
      </c>
      <c r="H251">
        <v>347780</v>
      </c>
      <c r="I251">
        <v>349224</v>
      </c>
      <c r="J251">
        <v>105314</v>
      </c>
      <c r="K251">
        <v>-767606</v>
      </c>
      <c r="L251">
        <v>-13621</v>
      </c>
      <c r="M251">
        <v>8.86</v>
      </c>
      <c r="N251">
        <v>1527069</v>
      </c>
      <c r="O251">
        <v>23363100</v>
      </c>
      <c r="P251" s="2">
        <v>6.5362430499377222</v>
      </c>
      <c r="Q251" s="4">
        <v>20.699706599999999</v>
      </c>
    </row>
    <row r="252" spans="1:17" x14ac:dyDescent="0.4">
      <c r="A252">
        <v>20210808</v>
      </c>
      <c r="B252" s="1">
        <v>0.5625</v>
      </c>
      <c r="C252">
        <v>193529</v>
      </c>
      <c r="D252">
        <v>586200</v>
      </c>
      <c r="E252">
        <v>97321</v>
      </c>
      <c r="F252">
        <v>270610</v>
      </c>
      <c r="G252">
        <v>63273</v>
      </c>
      <c r="H252">
        <v>418154</v>
      </c>
      <c r="I252">
        <v>220009</v>
      </c>
      <c r="J252">
        <v>86049</v>
      </c>
      <c r="K252">
        <v>-726248</v>
      </c>
      <c r="L252">
        <v>-13071</v>
      </c>
      <c r="M252">
        <v>8.86</v>
      </c>
      <c r="N252">
        <v>1195826</v>
      </c>
      <c r="O252">
        <v>23289000</v>
      </c>
      <c r="P252" s="2">
        <v>5.1347245480699044</v>
      </c>
      <c r="Q252" s="4">
        <v>20.634053999999999</v>
      </c>
    </row>
    <row r="253" spans="1:17" x14ac:dyDescent="0.4">
      <c r="A253">
        <v>20210808</v>
      </c>
      <c r="B253" s="1">
        <v>0.58333333333333337</v>
      </c>
      <c r="C253">
        <v>187012</v>
      </c>
      <c r="D253">
        <v>669353</v>
      </c>
      <c r="E253">
        <v>-236671</v>
      </c>
      <c r="F253">
        <v>331770</v>
      </c>
      <c r="G253">
        <v>24152</v>
      </c>
      <c r="H253">
        <v>407907</v>
      </c>
      <c r="I253">
        <v>37672</v>
      </c>
      <c r="J253">
        <v>37852</v>
      </c>
      <c r="K253">
        <v>-584020</v>
      </c>
      <c r="L253">
        <v>-28418</v>
      </c>
      <c r="M253">
        <v>9.5500000000000007</v>
      </c>
      <c r="N253">
        <v>846609</v>
      </c>
      <c r="O253">
        <v>22951050</v>
      </c>
      <c r="P253" s="2">
        <v>3.6887593378080741</v>
      </c>
      <c r="Q253" s="4">
        <v>21.918252750000004</v>
      </c>
    </row>
    <row r="254" spans="1:17" x14ac:dyDescent="0.4">
      <c r="A254">
        <v>20210808</v>
      </c>
      <c r="B254" s="1">
        <v>0.60416666666666663</v>
      </c>
      <c r="C254">
        <v>192541</v>
      </c>
      <c r="D254">
        <v>506222</v>
      </c>
      <c r="E254">
        <v>-152568</v>
      </c>
      <c r="F254">
        <v>276070</v>
      </c>
      <c r="G254">
        <v>73489</v>
      </c>
      <c r="H254">
        <v>315091</v>
      </c>
      <c r="I254">
        <v>33751</v>
      </c>
      <c r="J254">
        <v>14318</v>
      </c>
      <c r="K254">
        <v>-397928</v>
      </c>
      <c r="L254">
        <v>-27222</v>
      </c>
      <c r="M254">
        <v>9.56</v>
      </c>
      <c r="N254">
        <v>833764</v>
      </c>
      <c r="O254">
        <v>22702550</v>
      </c>
      <c r="P254" s="2">
        <v>3.6725566070771785</v>
      </c>
      <c r="Q254" s="4">
        <v>21.703637799999999</v>
      </c>
    </row>
    <row r="255" spans="1:17" x14ac:dyDescent="0.4">
      <c r="A255">
        <v>20210808</v>
      </c>
      <c r="B255" s="1">
        <v>0.625</v>
      </c>
      <c r="C255">
        <v>148125</v>
      </c>
      <c r="D255">
        <v>398289</v>
      </c>
      <c r="E255">
        <v>94817</v>
      </c>
      <c r="F255">
        <v>279765</v>
      </c>
      <c r="G255">
        <v>46058</v>
      </c>
      <c r="H255">
        <v>228514</v>
      </c>
      <c r="I255">
        <v>-128077</v>
      </c>
      <c r="J255">
        <v>-6434</v>
      </c>
      <c r="K255">
        <v>-132840</v>
      </c>
      <c r="L255">
        <v>-21044</v>
      </c>
      <c r="M255">
        <v>10.01</v>
      </c>
      <c r="N255">
        <v>907173</v>
      </c>
      <c r="O255">
        <v>22316000</v>
      </c>
      <c r="P255" s="2">
        <v>4.0651236780785087</v>
      </c>
      <c r="Q255" s="4">
        <v>22.338315999999999</v>
      </c>
    </row>
    <row r="256" spans="1:17" x14ac:dyDescent="0.4">
      <c r="A256">
        <v>20210808</v>
      </c>
      <c r="B256" s="1">
        <v>0.64583333333333337</v>
      </c>
      <c r="C256">
        <v>186740</v>
      </c>
      <c r="D256">
        <v>364665</v>
      </c>
      <c r="E256">
        <v>562811</v>
      </c>
      <c r="F256">
        <v>57765</v>
      </c>
      <c r="G256">
        <v>47238</v>
      </c>
      <c r="H256">
        <v>15723</v>
      </c>
      <c r="I256">
        <v>-158680</v>
      </c>
      <c r="J256">
        <v>4669</v>
      </c>
      <c r="K256">
        <v>5831</v>
      </c>
      <c r="L256">
        <v>-25151</v>
      </c>
      <c r="M256">
        <v>10.01</v>
      </c>
      <c r="N256">
        <v>1061611</v>
      </c>
      <c r="O256">
        <v>21905600</v>
      </c>
      <c r="P256" s="2">
        <v>4.8462995763640349</v>
      </c>
      <c r="Q256" s="4">
        <v>21.9275056</v>
      </c>
    </row>
    <row r="257" spans="1:17" x14ac:dyDescent="0.4">
      <c r="A257">
        <v>20210808</v>
      </c>
      <c r="B257" s="1">
        <v>0.66666666666666663</v>
      </c>
      <c r="C257">
        <v>144007</v>
      </c>
      <c r="D257">
        <v>308005</v>
      </c>
      <c r="E257">
        <v>712542</v>
      </c>
      <c r="F257">
        <v>-92786</v>
      </c>
      <c r="G257">
        <v>32723</v>
      </c>
      <c r="H257">
        <v>-31716</v>
      </c>
      <c r="I257">
        <v>-141196</v>
      </c>
      <c r="J257">
        <v>37786</v>
      </c>
      <c r="K257">
        <v>57643</v>
      </c>
      <c r="L257">
        <v>-23248</v>
      </c>
      <c r="M257">
        <v>10.27</v>
      </c>
      <c r="N257">
        <v>1003760</v>
      </c>
      <c r="O257">
        <v>22328100</v>
      </c>
      <c r="P257" s="2">
        <v>4.4955011846059447</v>
      </c>
      <c r="Q257" s="4">
        <v>22.930958700000001</v>
      </c>
    </row>
    <row r="258" spans="1:17" x14ac:dyDescent="0.4">
      <c r="A258">
        <v>20210808</v>
      </c>
      <c r="B258" s="1">
        <v>0.6875</v>
      </c>
      <c r="C258">
        <v>186153</v>
      </c>
      <c r="D258">
        <v>269322</v>
      </c>
      <c r="E258">
        <v>1015206</v>
      </c>
      <c r="F258">
        <v>-244248</v>
      </c>
      <c r="G258">
        <v>-2896</v>
      </c>
      <c r="H258">
        <v>171179</v>
      </c>
      <c r="I258">
        <v>-134763</v>
      </c>
      <c r="J258">
        <v>32119</v>
      </c>
      <c r="K258">
        <v>95392</v>
      </c>
      <c r="L258">
        <v>-15644</v>
      </c>
      <c r="M258">
        <v>10.44</v>
      </c>
      <c r="N258">
        <v>1371820</v>
      </c>
      <c r="O258">
        <v>21731650</v>
      </c>
      <c r="P258" s="2">
        <v>6.3125441464407901</v>
      </c>
      <c r="Q258" s="4">
        <v>22.6878426</v>
      </c>
    </row>
    <row r="259" spans="1:17" x14ac:dyDescent="0.4">
      <c r="A259">
        <v>20210808</v>
      </c>
      <c r="B259" s="1">
        <v>0.70833333333333337</v>
      </c>
      <c r="C259">
        <v>129090</v>
      </c>
      <c r="D259">
        <v>187360</v>
      </c>
      <c r="E259">
        <v>1145614</v>
      </c>
      <c r="F259">
        <v>-371611</v>
      </c>
      <c r="G259">
        <v>-10113</v>
      </c>
      <c r="H259">
        <v>153468</v>
      </c>
      <c r="I259">
        <v>-105607</v>
      </c>
      <c r="J259">
        <v>35086</v>
      </c>
      <c r="K259">
        <v>161299</v>
      </c>
      <c r="L259">
        <v>-38088</v>
      </c>
      <c r="M259">
        <v>10.220000000000001</v>
      </c>
      <c r="N259">
        <v>1286498</v>
      </c>
      <c r="O259">
        <v>21642600</v>
      </c>
      <c r="P259" s="2">
        <v>5.9442858066960529</v>
      </c>
      <c r="Q259" s="4">
        <v>22.118737200000002</v>
      </c>
    </row>
    <row r="260" spans="1:17" x14ac:dyDescent="0.4">
      <c r="A260">
        <v>20210808</v>
      </c>
      <c r="B260" s="1">
        <v>0.72916666666666663</v>
      </c>
      <c r="C260">
        <v>125905</v>
      </c>
      <c r="D260">
        <v>251966</v>
      </c>
      <c r="E260">
        <v>1123502</v>
      </c>
      <c r="F260">
        <v>-273668</v>
      </c>
      <c r="G260">
        <v>2039</v>
      </c>
      <c r="H260">
        <v>222329</v>
      </c>
      <c r="I260">
        <v>110089</v>
      </c>
      <c r="J260">
        <v>11026</v>
      </c>
      <c r="K260">
        <v>173694</v>
      </c>
      <c r="L260">
        <v>-32354</v>
      </c>
      <c r="M260">
        <v>10.4</v>
      </c>
      <c r="N260">
        <v>1714528</v>
      </c>
      <c r="O260">
        <v>21433500</v>
      </c>
      <c r="P260" s="2">
        <v>7.9992908297758181</v>
      </c>
      <c r="Q260" s="4">
        <v>22.290839999999999</v>
      </c>
    </row>
    <row r="261" spans="1:17" x14ac:dyDescent="0.4">
      <c r="A261">
        <v>20210808</v>
      </c>
      <c r="B261" s="1">
        <v>0.75</v>
      </c>
      <c r="C261">
        <v>132937</v>
      </c>
      <c r="D261">
        <v>203470</v>
      </c>
      <c r="E261">
        <v>1163201</v>
      </c>
      <c r="F261">
        <v>-198983</v>
      </c>
      <c r="G261">
        <v>-28308</v>
      </c>
      <c r="H261">
        <v>308135</v>
      </c>
      <c r="I261">
        <v>157669</v>
      </c>
      <c r="J261">
        <v>2226</v>
      </c>
      <c r="K261">
        <v>294517</v>
      </c>
      <c r="L261">
        <v>-23606</v>
      </c>
      <c r="M261">
        <v>10.71</v>
      </c>
      <c r="N261">
        <v>2011258</v>
      </c>
      <c r="O261">
        <v>21374200</v>
      </c>
      <c r="P261" s="2">
        <v>9.4097463296871933</v>
      </c>
      <c r="Q261" s="4">
        <v>22.891768200000001</v>
      </c>
    </row>
    <row r="262" spans="1:17" x14ac:dyDescent="0.4">
      <c r="A262">
        <v>20210808</v>
      </c>
      <c r="B262" s="1">
        <v>0.77083333333333337</v>
      </c>
      <c r="C262">
        <v>122664</v>
      </c>
      <c r="D262">
        <v>91938</v>
      </c>
      <c r="E262">
        <v>912791</v>
      </c>
      <c r="F262">
        <v>-141345</v>
      </c>
      <c r="G262">
        <v>-7940</v>
      </c>
      <c r="H262">
        <v>307530</v>
      </c>
      <c r="I262">
        <v>147958</v>
      </c>
      <c r="J262">
        <v>-32482</v>
      </c>
      <c r="K262">
        <v>461177</v>
      </c>
      <c r="L262">
        <v>-22648</v>
      </c>
      <c r="M262">
        <v>11.94</v>
      </c>
      <c r="N262">
        <v>1839643</v>
      </c>
      <c r="O262">
        <v>21215300</v>
      </c>
      <c r="P262" s="2">
        <v>8.6713032575546887</v>
      </c>
      <c r="Q262" s="4">
        <v>25.331068200000001</v>
      </c>
    </row>
    <row r="263" spans="1:17" x14ac:dyDescent="0.4">
      <c r="A263">
        <v>20210808</v>
      </c>
      <c r="B263" s="1">
        <v>0.79166666666666663</v>
      </c>
      <c r="C263">
        <v>110591</v>
      </c>
      <c r="D263">
        <v>138780</v>
      </c>
      <c r="E263">
        <v>552265</v>
      </c>
      <c r="F263">
        <v>-247105</v>
      </c>
      <c r="G263">
        <v>7977</v>
      </c>
      <c r="H263">
        <v>234191</v>
      </c>
      <c r="I263">
        <v>126516</v>
      </c>
      <c r="J263">
        <v>3882</v>
      </c>
      <c r="K263">
        <v>537811</v>
      </c>
      <c r="L263">
        <v>-24840</v>
      </c>
      <c r="M263">
        <v>11.94</v>
      </c>
      <c r="N263">
        <v>1440068</v>
      </c>
      <c r="O263">
        <v>21175550</v>
      </c>
      <c r="P263" s="2">
        <v>6.8006167490336731</v>
      </c>
      <c r="Q263" s="4">
        <v>25.2836067</v>
      </c>
    </row>
    <row r="264" spans="1:17" x14ac:dyDescent="0.4">
      <c r="A264">
        <v>20210808</v>
      </c>
      <c r="B264" s="1">
        <v>0.8125</v>
      </c>
      <c r="C264">
        <v>130265</v>
      </c>
      <c r="D264">
        <v>123733</v>
      </c>
      <c r="E264">
        <v>410477</v>
      </c>
      <c r="F264">
        <v>-176964</v>
      </c>
      <c r="G264">
        <v>-4761</v>
      </c>
      <c r="H264">
        <v>199422</v>
      </c>
      <c r="I264">
        <v>117210</v>
      </c>
      <c r="J264">
        <v>23368</v>
      </c>
      <c r="K264">
        <v>580688</v>
      </c>
      <c r="L264">
        <v>-19902</v>
      </c>
      <c r="M264">
        <v>10.4</v>
      </c>
      <c r="N264">
        <v>1383536</v>
      </c>
      <c r="O264">
        <v>21157300</v>
      </c>
      <c r="P264" s="2">
        <v>6.5392843132157692</v>
      </c>
      <c r="Q264" s="4">
        <v>22.003592000000001</v>
      </c>
    </row>
    <row r="265" spans="1:17" x14ac:dyDescent="0.4">
      <c r="A265">
        <v>20210808</v>
      </c>
      <c r="B265" s="1">
        <v>0.83333333333333337</v>
      </c>
      <c r="C265">
        <v>154963</v>
      </c>
      <c r="D265">
        <v>218448</v>
      </c>
      <c r="E265">
        <v>384292</v>
      </c>
      <c r="F265">
        <v>-200017</v>
      </c>
      <c r="G265">
        <v>-1488</v>
      </c>
      <c r="H265">
        <v>206917</v>
      </c>
      <c r="I265">
        <v>212638</v>
      </c>
      <c r="J265">
        <v>24474</v>
      </c>
      <c r="K265">
        <v>629551</v>
      </c>
      <c r="L265">
        <v>-34799</v>
      </c>
      <c r="M265">
        <v>10.27</v>
      </c>
      <c r="N265">
        <v>1594979</v>
      </c>
      <c r="O265">
        <v>21131900</v>
      </c>
      <c r="P265" s="2">
        <v>7.5477311552676287</v>
      </c>
      <c r="Q265" s="4">
        <v>21.7024613</v>
      </c>
    </row>
    <row r="266" spans="1:17" x14ac:dyDescent="0.4">
      <c r="A266">
        <v>20210808</v>
      </c>
      <c r="B266" s="1">
        <v>0.85416666666666663</v>
      </c>
      <c r="C266">
        <v>116979</v>
      </c>
      <c r="D266">
        <v>199443</v>
      </c>
      <c r="E266">
        <v>416294</v>
      </c>
      <c r="F266">
        <v>-124707</v>
      </c>
      <c r="G266">
        <v>-60229</v>
      </c>
      <c r="H266">
        <v>115081</v>
      </c>
      <c r="I266">
        <v>165061</v>
      </c>
      <c r="J266">
        <v>25063</v>
      </c>
      <c r="K266">
        <v>672026</v>
      </c>
      <c r="L266">
        <v>-18734</v>
      </c>
      <c r="M266">
        <v>10.27</v>
      </c>
      <c r="N266">
        <v>1506277</v>
      </c>
      <c r="O266">
        <v>21041850</v>
      </c>
      <c r="P266" s="2">
        <v>7.1584817874854156</v>
      </c>
      <c r="Q266" s="4">
        <v>21.60997995</v>
      </c>
    </row>
    <row r="267" spans="1:17" x14ac:dyDescent="0.4">
      <c r="A267">
        <v>20210808</v>
      </c>
      <c r="B267" s="1">
        <v>0.875</v>
      </c>
      <c r="C267">
        <v>192652</v>
      </c>
      <c r="D267">
        <v>232840</v>
      </c>
      <c r="E267">
        <v>430562</v>
      </c>
      <c r="F267">
        <v>-134774</v>
      </c>
      <c r="G267">
        <v>16596</v>
      </c>
      <c r="H267">
        <v>108893</v>
      </c>
      <c r="I267">
        <v>144695</v>
      </c>
      <c r="J267">
        <v>23880</v>
      </c>
      <c r="K267">
        <v>587636</v>
      </c>
      <c r="L267">
        <v>-31143</v>
      </c>
      <c r="M267">
        <v>10.01</v>
      </c>
      <c r="N267">
        <v>1571837</v>
      </c>
      <c r="O267">
        <v>20448400</v>
      </c>
      <c r="P267" s="2">
        <v>7.6868459145947847</v>
      </c>
      <c r="Q267" s="4">
        <v>20.468848399999999</v>
      </c>
    </row>
    <row r="268" spans="1:17" x14ac:dyDescent="0.4">
      <c r="A268">
        <v>20210808</v>
      </c>
      <c r="B268" s="1">
        <v>0.89583333333333337</v>
      </c>
      <c r="C268">
        <v>165686</v>
      </c>
      <c r="D268">
        <v>253293</v>
      </c>
      <c r="E268">
        <v>415522</v>
      </c>
      <c r="F268">
        <v>-204215</v>
      </c>
      <c r="G268">
        <v>-6958</v>
      </c>
      <c r="H268">
        <v>7333</v>
      </c>
      <c r="I268">
        <v>135408</v>
      </c>
      <c r="J268">
        <v>14935</v>
      </c>
      <c r="K268">
        <v>525466</v>
      </c>
      <c r="L268">
        <v>-18322</v>
      </c>
      <c r="M268">
        <v>9.9600000000000009</v>
      </c>
      <c r="N268">
        <v>1288148</v>
      </c>
      <c r="O268">
        <v>20319300</v>
      </c>
      <c r="P268" s="2">
        <v>6.3395294129226896</v>
      </c>
      <c r="Q268" s="4">
        <v>20.238022800000003</v>
      </c>
    </row>
    <row r="269" spans="1:17" x14ac:dyDescent="0.4">
      <c r="A269">
        <v>20210808</v>
      </c>
      <c r="B269" s="1">
        <v>0.91666666666666663</v>
      </c>
      <c r="C269">
        <v>183690</v>
      </c>
      <c r="D269">
        <v>223383</v>
      </c>
      <c r="E269">
        <v>417697</v>
      </c>
      <c r="F269">
        <v>-118362</v>
      </c>
      <c r="G269">
        <v>18465</v>
      </c>
      <c r="H269">
        <v>100789</v>
      </c>
      <c r="I269">
        <v>114011</v>
      </c>
      <c r="J269">
        <v>13560</v>
      </c>
      <c r="K269">
        <v>470362</v>
      </c>
      <c r="L269">
        <v>-31084</v>
      </c>
      <c r="M269">
        <v>9.6</v>
      </c>
      <c r="N269">
        <v>1392511</v>
      </c>
      <c r="O269">
        <v>19929650</v>
      </c>
      <c r="P269" s="2">
        <v>6.9871322376459197</v>
      </c>
      <c r="Q269" s="4">
        <v>19.132463999999999</v>
      </c>
    </row>
    <row r="270" spans="1:17" x14ac:dyDescent="0.4">
      <c r="A270">
        <v>20210808</v>
      </c>
      <c r="B270" s="1">
        <v>0.9375</v>
      </c>
      <c r="C270">
        <v>141944</v>
      </c>
      <c r="D270">
        <v>230447</v>
      </c>
      <c r="E270">
        <v>276550</v>
      </c>
      <c r="F270">
        <v>-148405</v>
      </c>
      <c r="G270">
        <v>11387</v>
      </c>
      <c r="H270">
        <v>-33188</v>
      </c>
      <c r="I270">
        <v>181491</v>
      </c>
      <c r="J270">
        <v>18298</v>
      </c>
      <c r="K270">
        <v>458358</v>
      </c>
      <c r="L270">
        <v>-15522</v>
      </c>
      <c r="M270">
        <v>9.5500000000000007</v>
      </c>
      <c r="N270">
        <v>1121360</v>
      </c>
      <c r="O270">
        <v>19679000</v>
      </c>
      <c r="P270" s="2">
        <v>5.6982570252553479</v>
      </c>
      <c r="Q270" s="4">
        <v>18.793444999999998</v>
      </c>
    </row>
    <row r="271" spans="1:17" x14ac:dyDescent="0.4">
      <c r="A271">
        <v>20210808</v>
      </c>
      <c r="B271" s="1">
        <v>0.95833333333333337</v>
      </c>
      <c r="C271">
        <v>166197</v>
      </c>
      <c r="D271">
        <v>159705</v>
      </c>
      <c r="E271">
        <v>344733</v>
      </c>
      <c r="F271">
        <v>-204915</v>
      </c>
      <c r="G271">
        <v>10032</v>
      </c>
      <c r="H271">
        <v>-72403</v>
      </c>
      <c r="I271">
        <v>209716</v>
      </c>
      <c r="J271">
        <v>35281</v>
      </c>
      <c r="K271">
        <v>346152</v>
      </c>
      <c r="L271">
        <v>-27159</v>
      </c>
      <c r="M271">
        <v>7.89</v>
      </c>
      <c r="N271">
        <v>967339</v>
      </c>
      <c r="O271">
        <v>19169200</v>
      </c>
      <c r="P271" s="2">
        <v>5.0463190952152415</v>
      </c>
      <c r="Q271" s="4">
        <v>15.1244988</v>
      </c>
    </row>
    <row r="272" spans="1:17" x14ac:dyDescent="0.4">
      <c r="A272">
        <v>20210808</v>
      </c>
      <c r="B272" s="1">
        <v>0.97916666666666663</v>
      </c>
      <c r="C272">
        <v>186422</v>
      </c>
      <c r="D272">
        <v>169296</v>
      </c>
      <c r="E272">
        <v>280735</v>
      </c>
      <c r="F272">
        <v>-157004</v>
      </c>
      <c r="G272">
        <v>-13862</v>
      </c>
      <c r="H272">
        <v>-111969</v>
      </c>
      <c r="I272">
        <v>215983</v>
      </c>
      <c r="J272">
        <v>22447</v>
      </c>
      <c r="K272">
        <v>460253</v>
      </c>
      <c r="L272">
        <v>-8094</v>
      </c>
      <c r="M272">
        <v>7.44</v>
      </c>
      <c r="N272">
        <v>1044207</v>
      </c>
      <c r="O272">
        <v>18127700</v>
      </c>
      <c r="P272" s="2">
        <v>5.7602839852821921</v>
      </c>
      <c r="Q272" s="4">
        <v>13.4870088</v>
      </c>
    </row>
    <row r="273" spans="1:17" x14ac:dyDescent="0.4">
      <c r="A273">
        <v>20210809</v>
      </c>
      <c r="B273" s="1">
        <v>0</v>
      </c>
      <c r="C273">
        <v>168407</v>
      </c>
      <c r="D273">
        <v>265083</v>
      </c>
      <c r="E273">
        <v>215417</v>
      </c>
      <c r="F273">
        <v>-133492</v>
      </c>
      <c r="G273">
        <v>13250</v>
      </c>
      <c r="H273">
        <v>-80713</v>
      </c>
      <c r="I273">
        <v>184494</v>
      </c>
      <c r="J273">
        <v>-20127</v>
      </c>
      <c r="K273">
        <v>375447</v>
      </c>
      <c r="L273">
        <v>-10883</v>
      </c>
      <c r="M273">
        <v>7.11</v>
      </c>
      <c r="N273">
        <v>976883</v>
      </c>
      <c r="O273">
        <v>17704200</v>
      </c>
      <c r="P273" s="2">
        <v>5.517803685001299</v>
      </c>
      <c r="Q273" s="4">
        <v>12.5876862</v>
      </c>
    </row>
    <row r="274" spans="1:17" x14ac:dyDescent="0.4">
      <c r="A274">
        <v>20210809</v>
      </c>
      <c r="B274" s="1">
        <v>2.0833333333333332E-2</v>
      </c>
      <c r="C274">
        <v>149436</v>
      </c>
      <c r="D274">
        <v>272159</v>
      </c>
      <c r="E274">
        <v>338632</v>
      </c>
      <c r="F274">
        <v>-90221</v>
      </c>
      <c r="G274">
        <v>19442</v>
      </c>
      <c r="H274">
        <v>-196659</v>
      </c>
      <c r="I274">
        <v>235506</v>
      </c>
      <c r="J274">
        <v>-24041</v>
      </c>
      <c r="K274">
        <v>315983</v>
      </c>
      <c r="L274">
        <v>4590</v>
      </c>
      <c r="M274">
        <v>6.99</v>
      </c>
      <c r="N274">
        <v>1024827</v>
      </c>
      <c r="O274">
        <v>18817900</v>
      </c>
      <c r="P274" s="2">
        <v>5.4460221384957936</v>
      </c>
      <c r="Q274" s="4">
        <v>13.1537121</v>
      </c>
    </row>
    <row r="275" spans="1:17" x14ac:dyDescent="0.4">
      <c r="A275">
        <v>20210809</v>
      </c>
      <c r="B275" s="1">
        <v>4.1666666666666664E-2</v>
      </c>
      <c r="C275">
        <v>121258</v>
      </c>
      <c r="D275">
        <v>244032</v>
      </c>
      <c r="E275">
        <v>290166</v>
      </c>
      <c r="F275">
        <v>-121296</v>
      </c>
      <c r="G275">
        <v>37801</v>
      </c>
      <c r="H275">
        <v>-48060</v>
      </c>
      <c r="I275">
        <v>243665</v>
      </c>
      <c r="J275">
        <v>-10490</v>
      </c>
      <c r="K275">
        <v>222185</v>
      </c>
      <c r="L275">
        <v>-6093</v>
      </c>
      <c r="M275">
        <v>6.99</v>
      </c>
      <c r="N275">
        <v>973168</v>
      </c>
      <c r="O275">
        <v>19280350</v>
      </c>
      <c r="P275" s="2">
        <v>5.0474602380143514</v>
      </c>
      <c r="Q275" s="4">
        <v>13.476964649999999</v>
      </c>
    </row>
    <row r="276" spans="1:17" x14ac:dyDescent="0.4">
      <c r="A276">
        <v>20210809</v>
      </c>
      <c r="B276" s="1">
        <v>6.25E-2</v>
      </c>
      <c r="C276">
        <v>111951</v>
      </c>
      <c r="D276">
        <v>225542</v>
      </c>
      <c r="E276">
        <v>355736</v>
      </c>
      <c r="F276">
        <v>-30483</v>
      </c>
      <c r="G276">
        <v>38224</v>
      </c>
      <c r="H276">
        <v>-101582</v>
      </c>
      <c r="I276">
        <v>218447</v>
      </c>
      <c r="J276">
        <v>-7756</v>
      </c>
      <c r="K276">
        <v>266596</v>
      </c>
      <c r="L276">
        <v>6140</v>
      </c>
      <c r="M276">
        <v>6.92</v>
      </c>
      <c r="N276">
        <v>1082815</v>
      </c>
      <c r="O276">
        <v>19425750</v>
      </c>
      <c r="P276" s="2">
        <v>5.5741219772724344</v>
      </c>
      <c r="Q276" s="4">
        <v>13.442619000000001</v>
      </c>
    </row>
    <row r="277" spans="1:17" x14ac:dyDescent="0.4">
      <c r="A277">
        <v>20210809</v>
      </c>
      <c r="B277" s="1">
        <v>8.3333333333333329E-2</v>
      </c>
      <c r="C277">
        <v>75529</v>
      </c>
      <c r="D277">
        <v>284092</v>
      </c>
      <c r="E277">
        <v>260248</v>
      </c>
      <c r="F277">
        <v>-37968</v>
      </c>
      <c r="G277">
        <v>21950</v>
      </c>
      <c r="H277">
        <v>-42892</v>
      </c>
      <c r="I277">
        <v>295260</v>
      </c>
      <c r="J277">
        <v>-87</v>
      </c>
      <c r="K277">
        <v>173604</v>
      </c>
      <c r="L277">
        <v>1945</v>
      </c>
      <c r="M277">
        <v>6.99</v>
      </c>
      <c r="N277">
        <v>1031681</v>
      </c>
      <c r="O277">
        <v>19490400</v>
      </c>
      <c r="P277" s="2">
        <v>5.2932777162090057</v>
      </c>
      <c r="Q277" s="4">
        <v>13.6237896</v>
      </c>
    </row>
    <row r="278" spans="1:17" x14ac:dyDescent="0.4">
      <c r="A278">
        <v>20210809</v>
      </c>
      <c r="B278" s="1">
        <v>0.10416666666666667</v>
      </c>
      <c r="C278">
        <v>142276</v>
      </c>
      <c r="D278">
        <v>282133</v>
      </c>
      <c r="E278">
        <v>246136</v>
      </c>
      <c r="F278">
        <v>-26624</v>
      </c>
      <c r="G278">
        <v>5629</v>
      </c>
      <c r="H278">
        <v>-38638</v>
      </c>
      <c r="I278">
        <v>285079</v>
      </c>
      <c r="J278">
        <v>-40291</v>
      </c>
      <c r="K278">
        <v>75296</v>
      </c>
      <c r="L278">
        <v>1056</v>
      </c>
      <c r="M278">
        <v>6.99</v>
      </c>
      <c r="N278">
        <v>932052</v>
      </c>
      <c r="O278">
        <v>19515650</v>
      </c>
      <c r="P278" s="2">
        <v>4.7759208635121047</v>
      </c>
      <c r="Q278" s="4">
        <v>13.641439350000001</v>
      </c>
    </row>
    <row r="279" spans="1:17" x14ac:dyDescent="0.4">
      <c r="A279">
        <v>20210809</v>
      </c>
      <c r="B279" s="1">
        <v>0.125</v>
      </c>
      <c r="C279">
        <v>124986</v>
      </c>
      <c r="D279">
        <v>271334</v>
      </c>
      <c r="E279">
        <v>1003680</v>
      </c>
      <c r="F279">
        <v>-105025</v>
      </c>
      <c r="G279">
        <v>16695</v>
      </c>
      <c r="H279">
        <v>-28298</v>
      </c>
      <c r="I279">
        <v>173294</v>
      </c>
      <c r="J279">
        <v>-13825</v>
      </c>
      <c r="K279">
        <v>133609</v>
      </c>
      <c r="L279">
        <v>-11596</v>
      </c>
      <c r="M279">
        <v>6.99</v>
      </c>
      <c r="N279">
        <v>1564854</v>
      </c>
      <c r="O279">
        <v>19607750</v>
      </c>
      <c r="P279" s="2">
        <v>7.9807933087682166</v>
      </c>
      <c r="Q279" s="4">
        <v>13.705817250000001</v>
      </c>
    </row>
    <row r="280" spans="1:17" x14ac:dyDescent="0.4">
      <c r="A280">
        <v>20210809</v>
      </c>
      <c r="B280" s="1">
        <v>0.14583333333333334</v>
      </c>
      <c r="C280">
        <v>100823</v>
      </c>
      <c r="D280">
        <v>289872</v>
      </c>
      <c r="E280">
        <v>950721</v>
      </c>
      <c r="F280">
        <v>-96072</v>
      </c>
      <c r="G280">
        <v>27940</v>
      </c>
      <c r="H280">
        <v>18057</v>
      </c>
      <c r="I280">
        <v>100451</v>
      </c>
      <c r="J280">
        <v>-7621</v>
      </c>
      <c r="K280">
        <v>114071</v>
      </c>
      <c r="L280">
        <v>-4437</v>
      </c>
      <c r="M280">
        <v>7.03</v>
      </c>
      <c r="N280">
        <v>1493805</v>
      </c>
      <c r="O280">
        <v>19671100</v>
      </c>
      <c r="P280" s="2">
        <v>7.5939067972812913</v>
      </c>
      <c r="Q280" s="4">
        <v>13.8287833</v>
      </c>
    </row>
    <row r="281" spans="1:17" x14ac:dyDescent="0.4">
      <c r="A281">
        <v>20210809</v>
      </c>
      <c r="B281" s="1">
        <v>0.16666666666666666</v>
      </c>
      <c r="C281">
        <v>52491</v>
      </c>
      <c r="D281">
        <v>270808</v>
      </c>
      <c r="E281">
        <v>937624</v>
      </c>
      <c r="F281">
        <v>-156639</v>
      </c>
      <c r="G281">
        <v>28345</v>
      </c>
      <c r="H281">
        <v>87325</v>
      </c>
      <c r="I281">
        <v>95787</v>
      </c>
      <c r="J281">
        <v>6484</v>
      </c>
      <c r="K281">
        <v>102579</v>
      </c>
      <c r="L281">
        <v>-12121</v>
      </c>
      <c r="M281">
        <v>7.01</v>
      </c>
      <c r="N281">
        <v>1412683</v>
      </c>
      <c r="O281">
        <v>19708350</v>
      </c>
      <c r="P281" s="2">
        <v>7.1679415070262094</v>
      </c>
      <c r="Q281" s="4">
        <v>13.81555335</v>
      </c>
    </row>
    <row r="282" spans="1:17" x14ac:dyDescent="0.4">
      <c r="A282">
        <v>20210809</v>
      </c>
      <c r="B282" s="1">
        <v>0.1875</v>
      </c>
      <c r="C282">
        <v>105812</v>
      </c>
      <c r="D282">
        <v>252120</v>
      </c>
      <c r="E282">
        <v>177231</v>
      </c>
      <c r="F282">
        <v>-138224</v>
      </c>
      <c r="G282">
        <v>-14478</v>
      </c>
      <c r="H282">
        <v>-111553</v>
      </c>
      <c r="I282">
        <v>153072</v>
      </c>
      <c r="J282">
        <v>-9110</v>
      </c>
      <c r="K282">
        <v>84375</v>
      </c>
      <c r="L282">
        <v>-7935</v>
      </c>
      <c r="M282">
        <v>7.01</v>
      </c>
      <c r="N282">
        <v>491310</v>
      </c>
      <c r="O282">
        <v>19739450</v>
      </c>
      <c r="P282" s="2">
        <v>2.4889751234203588</v>
      </c>
      <c r="Q282" s="4">
        <v>13.837354449999999</v>
      </c>
    </row>
    <row r="283" spans="1:17" x14ac:dyDescent="0.4">
      <c r="A283">
        <v>20210809</v>
      </c>
      <c r="B283" s="1">
        <v>0.20833333333333334</v>
      </c>
      <c r="C283">
        <v>75535</v>
      </c>
      <c r="D283">
        <v>213509</v>
      </c>
      <c r="E283">
        <v>309039</v>
      </c>
      <c r="F283">
        <v>-284827</v>
      </c>
      <c r="G283">
        <v>-17100</v>
      </c>
      <c r="H283">
        <v>-223168</v>
      </c>
      <c r="I283">
        <v>125451</v>
      </c>
      <c r="J283">
        <v>-49689</v>
      </c>
      <c r="K283">
        <v>108670</v>
      </c>
      <c r="L283">
        <v>-17295</v>
      </c>
      <c r="M283">
        <v>7.08</v>
      </c>
      <c r="N283">
        <v>240125</v>
      </c>
      <c r="O283">
        <v>19724900</v>
      </c>
      <c r="P283" s="2">
        <v>1.2173699232949216</v>
      </c>
      <c r="Q283" s="4">
        <v>13.9652292</v>
      </c>
    </row>
    <row r="284" spans="1:17" x14ac:dyDescent="0.4">
      <c r="A284">
        <v>20210809</v>
      </c>
      <c r="B284" s="1">
        <v>0.22916666666666666</v>
      </c>
      <c r="C284">
        <v>48791</v>
      </c>
      <c r="D284">
        <v>260899</v>
      </c>
      <c r="E284">
        <v>523335</v>
      </c>
      <c r="F284">
        <v>-298666</v>
      </c>
      <c r="G284">
        <v>-10068</v>
      </c>
      <c r="H284">
        <v>-213175</v>
      </c>
      <c r="I284">
        <v>208583</v>
      </c>
      <c r="J284">
        <v>-38049</v>
      </c>
      <c r="K284">
        <v>77373</v>
      </c>
      <c r="L284">
        <v>-8319</v>
      </c>
      <c r="M284">
        <v>7.01</v>
      </c>
      <c r="N284">
        <v>550704</v>
      </c>
      <c r="O284">
        <v>19951700</v>
      </c>
      <c r="P284" s="2">
        <v>2.760185848824912</v>
      </c>
      <c r="Q284" s="4">
        <v>13.986141699999999</v>
      </c>
    </row>
    <row r="285" spans="1:17" x14ac:dyDescent="0.4">
      <c r="A285">
        <v>20210809</v>
      </c>
      <c r="B285" s="1">
        <v>0.25</v>
      </c>
      <c r="C285">
        <v>106149</v>
      </c>
      <c r="D285">
        <v>279344</v>
      </c>
      <c r="E285">
        <v>399259</v>
      </c>
      <c r="F285">
        <v>-293333</v>
      </c>
      <c r="G285">
        <v>-7876</v>
      </c>
      <c r="H285">
        <v>-296046</v>
      </c>
      <c r="I285">
        <v>186219</v>
      </c>
      <c r="J285">
        <v>5596</v>
      </c>
      <c r="K285">
        <v>-23148</v>
      </c>
      <c r="L285">
        <v>-15624</v>
      </c>
      <c r="M285">
        <v>6.99</v>
      </c>
      <c r="N285">
        <v>340540</v>
      </c>
      <c r="O285">
        <v>20327300</v>
      </c>
      <c r="P285" s="2">
        <v>1.67528397770486</v>
      </c>
      <c r="Q285" s="4">
        <v>14.2087827</v>
      </c>
    </row>
    <row r="286" spans="1:17" x14ac:dyDescent="0.4">
      <c r="A286">
        <v>20210809</v>
      </c>
      <c r="B286" s="1">
        <v>0.27083333333333331</v>
      </c>
      <c r="C286">
        <v>108698</v>
      </c>
      <c r="D286">
        <v>315071</v>
      </c>
      <c r="E286">
        <v>291594</v>
      </c>
      <c r="F286">
        <v>-156863</v>
      </c>
      <c r="G286">
        <v>-14966</v>
      </c>
      <c r="H286">
        <v>-199963</v>
      </c>
      <c r="I286">
        <v>299214</v>
      </c>
      <c r="J286">
        <v>60129</v>
      </c>
      <c r="K286">
        <v>-81469</v>
      </c>
      <c r="L286">
        <v>-10542</v>
      </c>
      <c r="M286">
        <v>6.99</v>
      </c>
      <c r="N286">
        <v>610903</v>
      </c>
      <c r="O286">
        <v>20681950</v>
      </c>
      <c r="P286" s="2">
        <v>2.9537978768926529</v>
      </c>
      <c r="Q286" s="4">
        <v>14.456683050000001</v>
      </c>
    </row>
    <row r="287" spans="1:17" x14ac:dyDescent="0.4">
      <c r="A287">
        <v>20210809</v>
      </c>
      <c r="B287" s="1">
        <v>0.29166666666666669</v>
      </c>
      <c r="C287">
        <v>150917</v>
      </c>
      <c r="D287">
        <v>325085</v>
      </c>
      <c r="E287">
        <v>238538</v>
      </c>
      <c r="F287">
        <v>48488</v>
      </c>
      <c r="G287">
        <v>42600</v>
      </c>
      <c r="H287">
        <v>-227471</v>
      </c>
      <c r="I287">
        <v>296926</v>
      </c>
      <c r="J287">
        <v>51510</v>
      </c>
      <c r="K287">
        <v>-133766</v>
      </c>
      <c r="L287">
        <v>-5279</v>
      </c>
      <c r="M287">
        <v>6.99</v>
      </c>
      <c r="N287">
        <v>787548</v>
      </c>
      <c r="O287">
        <v>21160500</v>
      </c>
      <c r="P287" s="2">
        <v>3.7217835117317644</v>
      </c>
      <c r="Q287" s="4">
        <v>14.7911895</v>
      </c>
    </row>
    <row r="288" spans="1:17" x14ac:dyDescent="0.4">
      <c r="A288">
        <v>20210809</v>
      </c>
      <c r="B288" s="1">
        <v>0.3125</v>
      </c>
      <c r="C288">
        <v>215648</v>
      </c>
      <c r="D288">
        <v>411920</v>
      </c>
      <c r="E288">
        <v>454084</v>
      </c>
      <c r="F288">
        <v>214906</v>
      </c>
      <c r="G288">
        <v>87480</v>
      </c>
      <c r="H288">
        <v>-259159</v>
      </c>
      <c r="I288">
        <v>400006</v>
      </c>
      <c r="J288">
        <v>51598</v>
      </c>
      <c r="K288">
        <v>-97469</v>
      </c>
      <c r="L288">
        <v>-4200</v>
      </c>
      <c r="M288">
        <v>7.17</v>
      </c>
      <c r="N288">
        <v>1474814</v>
      </c>
      <c r="O288">
        <v>21250150</v>
      </c>
      <c r="P288" s="2">
        <v>6.9402521864551545</v>
      </c>
      <c r="Q288" s="4">
        <v>15.236357549999999</v>
      </c>
    </row>
    <row r="289" spans="1:17" x14ac:dyDescent="0.4">
      <c r="A289">
        <v>20210809</v>
      </c>
      <c r="B289" s="1">
        <v>0.33333333333333331</v>
      </c>
      <c r="C289">
        <v>135460</v>
      </c>
      <c r="D289">
        <v>310576</v>
      </c>
      <c r="E289">
        <v>368248</v>
      </c>
      <c r="F289">
        <v>352096</v>
      </c>
      <c r="G289">
        <v>170026</v>
      </c>
      <c r="H289">
        <v>-326032</v>
      </c>
      <c r="I289">
        <v>-82699</v>
      </c>
      <c r="J289">
        <v>-74427</v>
      </c>
      <c r="K289">
        <v>-115724</v>
      </c>
      <c r="L289">
        <v>-6485</v>
      </c>
      <c r="M289">
        <v>7.91</v>
      </c>
      <c r="N289">
        <v>731039</v>
      </c>
      <c r="O289">
        <v>22050950</v>
      </c>
      <c r="P289" s="2">
        <v>3.3152267816125836</v>
      </c>
      <c r="Q289" s="4">
        <v>17.442301449999999</v>
      </c>
    </row>
    <row r="290" spans="1:17" x14ac:dyDescent="0.4">
      <c r="A290">
        <v>20210809</v>
      </c>
      <c r="B290" s="1">
        <v>0.35416666666666669</v>
      </c>
      <c r="C290">
        <v>191777</v>
      </c>
      <c r="D290">
        <v>319446</v>
      </c>
      <c r="E290">
        <v>239712</v>
      </c>
      <c r="F290">
        <v>206731</v>
      </c>
      <c r="G290">
        <v>194768</v>
      </c>
      <c r="H290">
        <v>-385502</v>
      </c>
      <c r="I290">
        <v>-122765</v>
      </c>
      <c r="J290">
        <v>-92180</v>
      </c>
      <c r="K290">
        <v>-85833</v>
      </c>
      <c r="L290">
        <v>-17887</v>
      </c>
      <c r="M290">
        <v>8.11</v>
      </c>
      <c r="N290">
        <v>448267</v>
      </c>
      <c r="O290">
        <v>22305550</v>
      </c>
      <c r="P290" s="2">
        <v>2.0096657558320685</v>
      </c>
      <c r="Q290" s="4">
        <v>18.089801049999998</v>
      </c>
    </row>
    <row r="291" spans="1:17" x14ac:dyDescent="0.4">
      <c r="A291">
        <v>20210809</v>
      </c>
      <c r="B291" s="1">
        <v>0.375</v>
      </c>
      <c r="C291">
        <v>124358</v>
      </c>
      <c r="D291">
        <v>307309</v>
      </c>
      <c r="E291">
        <v>80896</v>
      </c>
      <c r="F291">
        <v>141051</v>
      </c>
      <c r="G291">
        <v>182203</v>
      </c>
      <c r="H291">
        <v>-353147</v>
      </c>
      <c r="I291">
        <v>-77256</v>
      </c>
      <c r="J291">
        <v>-50025</v>
      </c>
      <c r="K291">
        <v>-82712</v>
      </c>
      <c r="L291">
        <v>7321</v>
      </c>
      <c r="M291">
        <v>8.86</v>
      </c>
      <c r="N291">
        <v>279998</v>
      </c>
      <c r="O291">
        <v>22504000</v>
      </c>
      <c r="P291" s="2">
        <v>1.2442143618912194</v>
      </c>
      <c r="Q291" s="4">
        <v>19.938544</v>
      </c>
    </row>
    <row r="292" spans="1:17" x14ac:dyDescent="0.4">
      <c r="A292">
        <v>20210809</v>
      </c>
      <c r="B292" s="1">
        <v>0.39583333333333331</v>
      </c>
      <c r="C292">
        <v>146922</v>
      </c>
      <c r="D292">
        <v>256565</v>
      </c>
      <c r="E292">
        <v>-148051</v>
      </c>
      <c r="F292">
        <v>6804</v>
      </c>
      <c r="G292">
        <v>151854</v>
      </c>
      <c r="H292">
        <v>-5466</v>
      </c>
      <c r="I292">
        <v>-16161</v>
      </c>
      <c r="J292">
        <v>-21289</v>
      </c>
      <c r="K292">
        <v>-10571</v>
      </c>
      <c r="L292">
        <v>371</v>
      </c>
      <c r="M292">
        <v>8.86</v>
      </c>
      <c r="N292">
        <v>360978</v>
      </c>
      <c r="O292">
        <v>22661800</v>
      </c>
      <c r="P292" s="2">
        <v>1.5928920032830578</v>
      </c>
      <c r="Q292" s="4">
        <v>20.0783548</v>
      </c>
    </row>
    <row r="293" spans="1:17" x14ac:dyDescent="0.4">
      <c r="A293">
        <v>20210809</v>
      </c>
      <c r="B293" s="1">
        <v>0.41666666666666669</v>
      </c>
      <c r="C293">
        <v>165808</v>
      </c>
      <c r="D293">
        <v>272843</v>
      </c>
      <c r="E293">
        <v>482129</v>
      </c>
      <c r="F293">
        <v>134904</v>
      </c>
      <c r="G293">
        <v>135448</v>
      </c>
      <c r="H293">
        <v>261932</v>
      </c>
      <c r="I293">
        <v>-67611</v>
      </c>
      <c r="J293">
        <v>85343</v>
      </c>
      <c r="K293">
        <v>183682</v>
      </c>
      <c r="L293">
        <v>-175</v>
      </c>
      <c r="M293">
        <v>9.5299999999999994</v>
      </c>
      <c r="N293">
        <v>1654303</v>
      </c>
      <c r="O293">
        <v>22659300</v>
      </c>
      <c r="P293" s="2">
        <v>7.3007683379451267</v>
      </c>
      <c r="Q293" s="4">
        <v>21.594312899999998</v>
      </c>
    </row>
    <row r="294" spans="1:17" x14ac:dyDescent="0.4">
      <c r="A294">
        <v>20210809</v>
      </c>
      <c r="B294" s="1">
        <v>0.4375</v>
      </c>
      <c r="C294">
        <v>160686</v>
      </c>
      <c r="D294">
        <v>392919</v>
      </c>
      <c r="E294">
        <v>1728306</v>
      </c>
      <c r="F294">
        <v>144187</v>
      </c>
      <c r="G294">
        <v>129039</v>
      </c>
      <c r="H294">
        <v>443992</v>
      </c>
      <c r="I294">
        <v>49004</v>
      </c>
      <c r="J294">
        <v>129015</v>
      </c>
      <c r="K294">
        <v>205557</v>
      </c>
      <c r="L294">
        <v>-1083</v>
      </c>
      <c r="M294">
        <v>9.59</v>
      </c>
      <c r="N294">
        <v>3381622</v>
      </c>
      <c r="O294">
        <v>22712050</v>
      </c>
      <c r="P294" s="2">
        <v>14.889109525560221</v>
      </c>
      <c r="Q294" s="4">
        <v>21.780855949999999</v>
      </c>
    </row>
    <row r="295" spans="1:17" x14ac:dyDescent="0.4">
      <c r="A295">
        <v>20210809</v>
      </c>
      <c r="B295" s="1">
        <v>0.45833333333333331</v>
      </c>
      <c r="C295">
        <v>152621</v>
      </c>
      <c r="D295">
        <v>399947</v>
      </c>
      <c r="E295">
        <v>2543856</v>
      </c>
      <c r="F295">
        <v>260955</v>
      </c>
      <c r="G295">
        <v>141097</v>
      </c>
      <c r="H295">
        <v>638086</v>
      </c>
      <c r="I295">
        <v>16553</v>
      </c>
      <c r="J295">
        <v>173167</v>
      </c>
      <c r="K295">
        <v>265857</v>
      </c>
      <c r="L295">
        <v>6873</v>
      </c>
      <c r="M295">
        <v>10.27</v>
      </c>
      <c r="N295">
        <v>4599012</v>
      </c>
      <c r="O295">
        <v>22856250</v>
      </c>
      <c r="P295" s="2">
        <v>20.121463494667761</v>
      </c>
      <c r="Q295" s="4">
        <v>23.473368749999999</v>
      </c>
    </row>
    <row r="296" spans="1:17" x14ac:dyDescent="0.4">
      <c r="A296">
        <v>20210809</v>
      </c>
      <c r="B296" s="1">
        <v>0.47916666666666669</v>
      </c>
      <c r="C296">
        <v>134575</v>
      </c>
      <c r="D296">
        <v>435232</v>
      </c>
      <c r="E296">
        <v>2014186</v>
      </c>
      <c r="F296">
        <v>408944</v>
      </c>
      <c r="G296">
        <v>136519</v>
      </c>
      <c r="H296">
        <v>806232</v>
      </c>
      <c r="I296">
        <v>79943</v>
      </c>
      <c r="J296">
        <v>154228</v>
      </c>
      <c r="K296">
        <v>126230</v>
      </c>
      <c r="L296">
        <v>-3843</v>
      </c>
      <c r="M296">
        <v>10.27</v>
      </c>
      <c r="N296">
        <v>4292246</v>
      </c>
      <c r="O296">
        <v>23534700</v>
      </c>
      <c r="P296" s="2">
        <v>18.237946521519287</v>
      </c>
      <c r="Q296" s="4">
        <v>24.170136899999999</v>
      </c>
    </row>
    <row r="297" spans="1:17" x14ac:dyDescent="0.4">
      <c r="A297">
        <v>20210809</v>
      </c>
      <c r="B297" s="1">
        <v>0.5</v>
      </c>
      <c r="C297">
        <v>152594</v>
      </c>
      <c r="D297">
        <v>478237</v>
      </c>
      <c r="E297">
        <v>2071487</v>
      </c>
      <c r="F297">
        <v>403669</v>
      </c>
      <c r="G297">
        <v>106350</v>
      </c>
      <c r="H297">
        <v>741285</v>
      </c>
      <c r="I297">
        <v>94473</v>
      </c>
      <c r="J297">
        <v>178557</v>
      </c>
      <c r="K297">
        <v>300767</v>
      </c>
      <c r="L297">
        <v>-9101</v>
      </c>
      <c r="M297">
        <v>10.220000000000001</v>
      </c>
      <c r="N297">
        <v>4518318</v>
      </c>
      <c r="O297">
        <v>23247400</v>
      </c>
      <c r="P297" s="2">
        <v>19.435799272176673</v>
      </c>
      <c r="Q297" s="4">
        <v>23.7588428</v>
      </c>
    </row>
    <row r="298" spans="1:17" x14ac:dyDescent="0.4">
      <c r="A298">
        <v>20210809</v>
      </c>
      <c r="B298" s="1">
        <v>0.52083333333333337</v>
      </c>
      <c r="C298">
        <v>131017</v>
      </c>
      <c r="D298">
        <v>594513</v>
      </c>
      <c r="E298">
        <v>1972259</v>
      </c>
      <c r="F298">
        <v>558782</v>
      </c>
      <c r="G298">
        <v>79886</v>
      </c>
      <c r="H298">
        <v>769817</v>
      </c>
      <c r="I298">
        <v>187808</v>
      </c>
      <c r="J298">
        <v>-164225</v>
      </c>
      <c r="K298">
        <v>424401</v>
      </c>
      <c r="L298">
        <v>-29603</v>
      </c>
      <c r="M298">
        <v>10.220000000000001</v>
      </c>
      <c r="N298">
        <v>4524655</v>
      </c>
      <c r="O298">
        <v>23076250</v>
      </c>
      <c r="P298" s="2">
        <v>19.607410216131303</v>
      </c>
      <c r="Q298" s="4">
        <v>23.583927500000001</v>
      </c>
    </row>
    <row r="299" spans="1:17" x14ac:dyDescent="0.4">
      <c r="A299">
        <v>20210809</v>
      </c>
      <c r="B299" s="1">
        <v>0.54166666666666663</v>
      </c>
      <c r="C299">
        <v>118648</v>
      </c>
      <c r="D299">
        <v>429946</v>
      </c>
      <c r="E299">
        <v>1894482</v>
      </c>
      <c r="F299">
        <v>439382</v>
      </c>
      <c r="G299">
        <v>73963</v>
      </c>
      <c r="H299">
        <v>1005136</v>
      </c>
      <c r="I299">
        <v>359557</v>
      </c>
      <c r="J299">
        <v>-261073</v>
      </c>
      <c r="K299">
        <v>624933</v>
      </c>
      <c r="L299">
        <v>-14271</v>
      </c>
      <c r="M299">
        <v>10.220000000000001</v>
      </c>
      <c r="N299">
        <v>4670703</v>
      </c>
      <c r="O299">
        <v>22735500</v>
      </c>
      <c r="P299" s="2">
        <v>20.54365639638451</v>
      </c>
      <c r="Q299" s="4">
        <v>23.235681</v>
      </c>
    </row>
    <row r="300" spans="1:17" x14ac:dyDescent="0.4">
      <c r="A300">
        <v>20210809</v>
      </c>
      <c r="B300" s="1">
        <v>0.5625</v>
      </c>
      <c r="C300">
        <v>119943</v>
      </c>
      <c r="D300">
        <v>477912</v>
      </c>
      <c r="E300">
        <v>1413788</v>
      </c>
      <c r="F300">
        <v>572744</v>
      </c>
      <c r="G300">
        <v>64634</v>
      </c>
      <c r="H300">
        <v>1158427</v>
      </c>
      <c r="I300">
        <v>17041</v>
      </c>
      <c r="J300">
        <v>-350471</v>
      </c>
      <c r="K300">
        <v>607851</v>
      </c>
      <c r="L300">
        <v>-21051</v>
      </c>
      <c r="M300">
        <v>10.220000000000001</v>
      </c>
      <c r="N300">
        <v>4060818</v>
      </c>
      <c r="O300">
        <v>22839400</v>
      </c>
      <c r="P300" s="2">
        <v>17.77988038214664</v>
      </c>
      <c r="Q300" s="4">
        <v>23.341866799999998</v>
      </c>
    </row>
    <row r="301" spans="1:17" x14ac:dyDescent="0.4">
      <c r="A301">
        <v>20210809</v>
      </c>
      <c r="B301" s="1">
        <v>0.58333333333333337</v>
      </c>
      <c r="C301">
        <v>120538</v>
      </c>
      <c r="D301">
        <v>431723</v>
      </c>
      <c r="E301">
        <v>1247633</v>
      </c>
      <c r="F301">
        <v>625215</v>
      </c>
      <c r="G301">
        <v>19079</v>
      </c>
      <c r="H301">
        <v>669131</v>
      </c>
      <c r="I301">
        <v>5948</v>
      </c>
      <c r="J301">
        <v>-278593</v>
      </c>
      <c r="K301">
        <v>546265</v>
      </c>
      <c r="L301">
        <v>-10094</v>
      </c>
      <c r="M301">
        <v>10.27</v>
      </c>
      <c r="N301">
        <v>3376845</v>
      </c>
      <c r="O301">
        <v>22719200</v>
      </c>
      <c r="P301" s="2">
        <v>14.863397478784464</v>
      </c>
      <c r="Q301" s="4">
        <v>23.332618400000001</v>
      </c>
    </row>
    <row r="302" spans="1:17" x14ac:dyDescent="0.4">
      <c r="A302">
        <v>20210809</v>
      </c>
      <c r="B302" s="1">
        <v>0.60416666666666663</v>
      </c>
      <c r="C302">
        <v>63697</v>
      </c>
      <c r="D302">
        <v>419471</v>
      </c>
      <c r="E302">
        <v>934883</v>
      </c>
      <c r="F302">
        <v>773470</v>
      </c>
      <c r="G302">
        <v>42346</v>
      </c>
      <c r="H302">
        <v>719378</v>
      </c>
      <c r="I302">
        <v>217711</v>
      </c>
      <c r="J302">
        <v>-227644</v>
      </c>
      <c r="K302">
        <v>548901</v>
      </c>
      <c r="L302">
        <v>-18500</v>
      </c>
      <c r="M302">
        <v>10.27</v>
      </c>
      <c r="N302">
        <v>3473713</v>
      </c>
      <c r="O302">
        <v>22591800</v>
      </c>
      <c r="P302" s="2">
        <v>15.375990403597765</v>
      </c>
      <c r="Q302" s="4">
        <v>23.201778600000001</v>
      </c>
    </row>
    <row r="303" spans="1:17" x14ac:dyDescent="0.4">
      <c r="A303">
        <v>20210809</v>
      </c>
      <c r="B303" s="1">
        <v>0.625</v>
      </c>
      <c r="C303">
        <v>97944</v>
      </c>
      <c r="D303">
        <v>320924</v>
      </c>
      <c r="E303">
        <v>778041</v>
      </c>
      <c r="F303">
        <v>850594</v>
      </c>
      <c r="G303">
        <v>3735</v>
      </c>
      <c r="H303">
        <v>1254716</v>
      </c>
      <c r="I303">
        <v>106531</v>
      </c>
      <c r="J303">
        <v>-182146</v>
      </c>
      <c r="K303">
        <v>584592</v>
      </c>
      <c r="L303">
        <v>-6832</v>
      </c>
      <c r="M303">
        <v>10.55</v>
      </c>
      <c r="N303">
        <v>3808099</v>
      </c>
      <c r="O303">
        <v>22549400</v>
      </c>
      <c r="P303" s="2">
        <v>16.887806327441083</v>
      </c>
      <c r="Q303" s="4">
        <v>23.789617000000003</v>
      </c>
    </row>
    <row r="304" spans="1:17" x14ac:dyDescent="0.4">
      <c r="A304">
        <v>20210809</v>
      </c>
      <c r="B304" s="1">
        <v>0.64583333333333337</v>
      </c>
      <c r="C304">
        <v>100199</v>
      </c>
      <c r="D304">
        <v>276963</v>
      </c>
      <c r="E304">
        <v>646941</v>
      </c>
      <c r="F304">
        <v>651810</v>
      </c>
      <c r="G304">
        <v>50292</v>
      </c>
      <c r="H304">
        <v>1102860</v>
      </c>
      <c r="I304">
        <v>177068</v>
      </c>
      <c r="J304">
        <v>-169853</v>
      </c>
      <c r="K304">
        <v>538214</v>
      </c>
      <c r="L304">
        <v>-19154</v>
      </c>
      <c r="M304">
        <v>15</v>
      </c>
      <c r="N304">
        <v>3355340</v>
      </c>
      <c r="O304">
        <v>22192650</v>
      </c>
      <c r="P304" s="2">
        <v>15.119149808607805</v>
      </c>
      <c r="Q304" s="4">
        <v>33.288975000000001</v>
      </c>
    </row>
    <row r="305" spans="1:17" x14ac:dyDescent="0.4">
      <c r="A305">
        <v>20210809</v>
      </c>
      <c r="B305" s="1">
        <v>0.66666666666666663</v>
      </c>
      <c r="C305">
        <v>101977</v>
      </c>
      <c r="D305">
        <v>303262</v>
      </c>
      <c r="E305">
        <v>682177</v>
      </c>
      <c r="F305">
        <v>789437</v>
      </c>
      <c r="G305">
        <v>38591</v>
      </c>
      <c r="H305">
        <v>1030676</v>
      </c>
      <c r="I305">
        <v>527622</v>
      </c>
      <c r="J305">
        <v>-103640</v>
      </c>
      <c r="K305">
        <v>483565</v>
      </c>
      <c r="L305">
        <v>-7722</v>
      </c>
      <c r="M305">
        <v>12</v>
      </c>
      <c r="N305">
        <v>3845945</v>
      </c>
      <c r="O305">
        <v>22824900</v>
      </c>
      <c r="P305" s="2">
        <v>16.849778093222753</v>
      </c>
      <c r="Q305" s="4">
        <v>27.389880000000002</v>
      </c>
    </row>
    <row r="306" spans="1:17" x14ac:dyDescent="0.4">
      <c r="A306">
        <v>20210809</v>
      </c>
      <c r="B306" s="1">
        <v>0.6875</v>
      </c>
      <c r="C306">
        <v>95505</v>
      </c>
      <c r="D306">
        <v>281181</v>
      </c>
      <c r="E306">
        <v>712267</v>
      </c>
      <c r="F306">
        <v>831461</v>
      </c>
      <c r="G306">
        <v>63925</v>
      </c>
      <c r="H306">
        <v>940412</v>
      </c>
      <c r="I306">
        <v>541309</v>
      </c>
      <c r="J306">
        <v>-49366</v>
      </c>
      <c r="K306">
        <v>458370</v>
      </c>
      <c r="L306">
        <v>-28263</v>
      </c>
      <c r="M306">
        <v>12.79</v>
      </c>
      <c r="N306">
        <v>3846801</v>
      </c>
      <c r="O306">
        <v>22483750</v>
      </c>
      <c r="P306" s="2">
        <v>17.109250013898926</v>
      </c>
      <c r="Q306" s="4">
        <v>28.75671625</v>
      </c>
    </row>
    <row r="307" spans="1:17" x14ac:dyDescent="0.4">
      <c r="A307">
        <v>20210809</v>
      </c>
      <c r="B307" s="1">
        <v>0.70833333333333337</v>
      </c>
      <c r="C307">
        <v>69628</v>
      </c>
      <c r="D307">
        <v>252470</v>
      </c>
      <c r="E307">
        <v>617868</v>
      </c>
      <c r="F307">
        <v>824415</v>
      </c>
      <c r="G307">
        <v>117394</v>
      </c>
      <c r="H307">
        <v>470185</v>
      </c>
      <c r="I307">
        <v>438048</v>
      </c>
      <c r="J307">
        <v>-8676</v>
      </c>
      <c r="K307">
        <v>338880</v>
      </c>
      <c r="L307">
        <v>-19209</v>
      </c>
      <c r="M307">
        <v>12.79</v>
      </c>
      <c r="N307">
        <v>3101003</v>
      </c>
      <c r="O307">
        <v>22299400</v>
      </c>
      <c r="P307" s="2">
        <v>13.906217207637873</v>
      </c>
      <c r="Q307" s="4">
        <v>28.520932599999998</v>
      </c>
    </row>
    <row r="308" spans="1:17" x14ac:dyDescent="0.4">
      <c r="A308">
        <v>20210809</v>
      </c>
      <c r="B308" s="1">
        <v>0.72916666666666663</v>
      </c>
      <c r="C308">
        <v>100580</v>
      </c>
      <c r="D308">
        <v>144315</v>
      </c>
      <c r="E308">
        <v>532983</v>
      </c>
      <c r="F308">
        <v>770417</v>
      </c>
      <c r="G308">
        <v>111558</v>
      </c>
      <c r="H308">
        <v>326369</v>
      </c>
      <c r="I308">
        <v>286720</v>
      </c>
      <c r="J308">
        <v>1023</v>
      </c>
      <c r="K308">
        <v>284830</v>
      </c>
      <c r="L308">
        <v>-33346</v>
      </c>
      <c r="M308">
        <v>13.14</v>
      </c>
      <c r="N308">
        <v>2525449</v>
      </c>
      <c r="O308">
        <v>21977850</v>
      </c>
      <c r="P308" s="2">
        <v>11.490882866158428</v>
      </c>
      <c r="Q308" s="4">
        <v>28.878894899999999</v>
      </c>
    </row>
    <row r="309" spans="1:17" x14ac:dyDescent="0.4">
      <c r="A309">
        <v>20210809</v>
      </c>
      <c r="B309" s="1">
        <v>0.75</v>
      </c>
      <c r="C309">
        <v>53050</v>
      </c>
      <c r="D309">
        <v>286711</v>
      </c>
      <c r="E309">
        <v>341674</v>
      </c>
      <c r="F309">
        <v>592647</v>
      </c>
      <c r="G309">
        <v>61059</v>
      </c>
      <c r="H309">
        <v>429762</v>
      </c>
      <c r="I309">
        <v>323908</v>
      </c>
      <c r="J309">
        <v>52982</v>
      </c>
      <c r="K309">
        <v>289778</v>
      </c>
      <c r="L309">
        <v>-18648</v>
      </c>
      <c r="M309">
        <v>14.63</v>
      </c>
      <c r="N309">
        <v>2412923</v>
      </c>
      <c r="O309">
        <v>22005350</v>
      </c>
      <c r="P309" s="2">
        <v>10.965165289350089</v>
      </c>
      <c r="Q309" s="4">
        <v>32.193827050000003</v>
      </c>
    </row>
    <row r="310" spans="1:17" x14ac:dyDescent="0.4">
      <c r="A310">
        <v>20210809</v>
      </c>
      <c r="B310" s="1">
        <v>0.77083333333333337</v>
      </c>
      <c r="C310">
        <v>105998</v>
      </c>
      <c r="D310">
        <v>169847</v>
      </c>
      <c r="E310">
        <v>225060</v>
      </c>
      <c r="F310">
        <v>520613</v>
      </c>
      <c r="G310">
        <v>74221</v>
      </c>
      <c r="H310">
        <v>469078</v>
      </c>
      <c r="I310">
        <v>215803</v>
      </c>
      <c r="J310">
        <v>82016</v>
      </c>
      <c r="K310">
        <v>358727</v>
      </c>
      <c r="L310">
        <v>-25278</v>
      </c>
      <c r="M310">
        <v>16.27</v>
      </c>
      <c r="N310">
        <v>2196085</v>
      </c>
      <c r="O310">
        <v>21889150</v>
      </c>
      <c r="P310" s="2">
        <v>10.032755954434046</v>
      </c>
      <c r="Q310" s="4">
        <v>35.613647049999997</v>
      </c>
    </row>
    <row r="311" spans="1:17" x14ac:dyDescent="0.4">
      <c r="A311">
        <v>20210809</v>
      </c>
      <c r="B311" s="1">
        <v>0.79166666666666663</v>
      </c>
      <c r="C311">
        <v>87638</v>
      </c>
      <c r="D311">
        <v>278241</v>
      </c>
      <c r="E311">
        <v>126058</v>
      </c>
      <c r="F311">
        <v>628509</v>
      </c>
      <c r="G311">
        <v>84167</v>
      </c>
      <c r="H311">
        <v>437926</v>
      </c>
      <c r="I311">
        <v>250833</v>
      </c>
      <c r="J311">
        <v>108656</v>
      </c>
      <c r="K311">
        <v>380424</v>
      </c>
      <c r="L311">
        <v>-13758</v>
      </c>
      <c r="M311">
        <v>15</v>
      </c>
      <c r="N311">
        <v>2368694</v>
      </c>
      <c r="O311">
        <v>21872700</v>
      </c>
      <c r="P311" s="2">
        <v>10.829454068313469</v>
      </c>
      <c r="Q311" s="4">
        <v>32.809049999999999</v>
      </c>
    </row>
    <row r="312" spans="1:17" x14ac:dyDescent="0.4">
      <c r="A312">
        <v>20210809</v>
      </c>
      <c r="B312" s="1">
        <v>0.8125</v>
      </c>
      <c r="C312">
        <v>128185</v>
      </c>
      <c r="D312">
        <v>304412</v>
      </c>
      <c r="E312">
        <v>199560</v>
      </c>
      <c r="F312">
        <v>606517</v>
      </c>
      <c r="G312">
        <v>78646</v>
      </c>
      <c r="H312">
        <v>605952</v>
      </c>
      <c r="I312">
        <v>217662</v>
      </c>
      <c r="J312">
        <v>119898</v>
      </c>
      <c r="K312">
        <v>404911</v>
      </c>
      <c r="L312">
        <v>-16698</v>
      </c>
      <c r="M312">
        <v>13.14</v>
      </c>
      <c r="N312">
        <v>2649045</v>
      </c>
      <c r="O312">
        <v>21573800</v>
      </c>
      <c r="P312" s="2">
        <v>12.27899118375066</v>
      </c>
      <c r="Q312" s="4">
        <v>28.347973199999998</v>
      </c>
    </row>
    <row r="313" spans="1:17" x14ac:dyDescent="0.4">
      <c r="A313">
        <v>20210809</v>
      </c>
      <c r="B313" s="1">
        <v>0.83333333333333337</v>
      </c>
      <c r="C313">
        <v>157144</v>
      </c>
      <c r="D313">
        <v>241358</v>
      </c>
      <c r="E313">
        <v>130860</v>
      </c>
      <c r="F313">
        <v>732217</v>
      </c>
      <c r="G313">
        <v>106706</v>
      </c>
      <c r="H313">
        <v>779140</v>
      </c>
      <c r="I313">
        <v>205386</v>
      </c>
      <c r="J313">
        <v>118302</v>
      </c>
      <c r="K313">
        <v>442957</v>
      </c>
      <c r="L313">
        <v>-12511</v>
      </c>
      <c r="M313">
        <v>12.56</v>
      </c>
      <c r="N313">
        <v>2901559</v>
      </c>
      <c r="O313">
        <v>20973250</v>
      </c>
      <c r="P313" s="2">
        <v>13.834570226359768</v>
      </c>
      <c r="Q313" s="4">
        <v>26.342402</v>
      </c>
    </row>
    <row r="314" spans="1:17" x14ac:dyDescent="0.4">
      <c r="A314">
        <v>20210809</v>
      </c>
      <c r="B314" s="1">
        <v>0.85416666666666663</v>
      </c>
      <c r="C314">
        <v>75528</v>
      </c>
      <c r="D314">
        <v>230874</v>
      </c>
      <c r="E314">
        <v>309443</v>
      </c>
      <c r="F314">
        <v>661930</v>
      </c>
      <c r="G314">
        <v>81268</v>
      </c>
      <c r="H314">
        <v>799546</v>
      </c>
      <c r="I314">
        <v>132984</v>
      </c>
      <c r="J314">
        <v>119618</v>
      </c>
      <c r="K314">
        <v>472886</v>
      </c>
      <c r="L314">
        <v>-7566</v>
      </c>
      <c r="M314">
        <v>12.02</v>
      </c>
      <c r="N314">
        <v>2876511</v>
      </c>
      <c r="O314">
        <v>20837700</v>
      </c>
      <c r="P314" s="2">
        <v>13.804359406268446</v>
      </c>
      <c r="Q314" s="4">
        <v>25.0469154</v>
      </c>
    </row>
    <row r="315" spans="1:17" x14ac:dyDescent="0.4">
      <c r="A315">
        <v>20210809</v>
      </c>
      <c r="B315" s="1">
        <v>0.875</v>
      </c>
      <c r="C315">
        <v>112661</v>
      </c>
      <c r="D315">
        <v>222640</v>
      </c>
      <c r="E315">
        <v>367756</v>
      </c>
      <c r="F315">
        <v>712606</v>
      </c>
      <c r="G315">
        <v>70161</v>
      </c>
      <c r="H315">
        <v>764070</v>
      </c>
      <c r="I315">
        <v>193642</v>
      </c>
      <c r="J315">
        <v>122982</v>
      </c>
      <c r="K315">
        <v>477405</v>
      </c>
      <c r="L315">
        <v>-15058</v>
      </c>
      <c r="M315">
        <v>10.19</v>
      </c>
      <c r="N315">
        <v>3028865</v>
      </c>
      <c r="O315">
        <v>20585850</v>
      </c>
      <c r="P315" s="2">
        <v>14.713334644913861</v>
      </c>
      <c r="Q315" s="4">
        <v>20.97698115</v>
      </c>
    </row>
    <row r="316" spans="1:17" x14ac:dyDescent="0.4">
      <c r="A316">
        <v>20210809</v>
      </c>
      <c r="B316" s="1">
        <v>0.89583333333333337</v>
      </c>
      <c r="C316">
        <v>65816</v>
      </c>
      <c r="D316">
        <v>202350</v>
      </c>
      <c r="E316">
        <v>425502</v>
      </c>
      <c r="F316">
        <v>710847</v>
      </c>
      <c r="G316">
        <v>77162</v>
      </c>
      <c r="H316">
        <v>693762</v>
      </c>
      <c r="I316">
        <v>108874</v>
      </c>
      <c r="J316">
        <v>122768</v>
      </c>
      <c r="K316">
        <v>500849</v>
      </c>
      <c r="L316">
        <v>-7120</v>
      </c>
      <c r="M316">
        <v>9.9499999999999993</v>
      </c>
      <c r="N316">
        <v>2900810</v>
      </c>
      <c r="O316">
        <v>20381900</v>
      </c>
      <c r="P316" s="2">
        <v>14.232284526957741</v>
      </c>
      <c r="Q316" s="4">
        <v>20.2799905</v>
      </c>
    </row>
    <row r="317" spans="1:17" x14ac:dyDescent="0.4">
      <c r="A317">
        <v>20210809</v>
      </c>
      <c r="B317" s="1">
        <v>0.91666666666666663</v>
      </c>
      <c r="C317">
        <v>69128</v>
      </c>
      <c r="D317">
        <v>186789</v>
      </c>
      <c r="E317">
        <v>451773</v>
      </c>
      <c r="F317">
        <v>409105</v>
      </c>
      <c r="G317">
        <v>44492</v>
      </c>
      <c r="H317">
        <v>676064</v>
      </c>
      <c r="I317">
        <v>36527</v>
      </c>
      <c r="J317">
        <v>130895</v>
      </c>
      <c r="K317">
        <v>468868</v>
      </c>
      <c r="L317">
        <v>-5392</v>
      </c>
      <c r="M317">
        <v>9.57</v>
      </c>
      <c r="N317">
        <v>2468249</v>
      </c>
      <c r="O317">
        <v>20082100</v>
      </c>
      <c r="P317" s="2">
        <v>12.290791301706495</v>
      </c>
      <c r="Q317" s="4">
        <v>19.2185697</v>
      </c>
    </row>
    <row r="318" spans="1:17" x14ac:dyDescent="0.4">
      <c r="A318">
        <v>20210809</v>
      </c>
      <c r="B318" s="1">
        <v>0.9375</v>
      </c>
      <c r="C318">
        <v>39758</v>
      </c>
      <c r="D318">
        <v>187301</v>
      </c>
      <c r="E318">
        <v>475072</v>
      </c>
      <c r="F318">
        <v>341615</v>
      </c>
      <c r="G318">
        <v>46574</v>
      </c>
      <c r="H318">
        <v>643108</v>
      </c>
      <c r="I318">
        <v>74088</v>
      </c>
      <c r="J318">
        <v>125175</v>
      </c>
      <c r="K318">
        <v>447793</v>
      </c>
      <c r="L318">
        <v>2613</v>
      </c>
      <c r="M318">
        <v>9.5</v>
      </c>
      <c r="N318">
        <v>2383097</v>
      </c>
      <c r="O318">
        <v>19809400</v>
      </c>
      <c r="P318" s="2">
        <v>12.030132159479843</v>
      </c>
      <c r="Q318" s="4">
        <v>18.818930000000002</v>
      </c>
    </row>
    <row r="319" spans="1:17" x14ac:dyDescent="0.4">
      <c r="A319">
        <v>20210809</v>
      </c>
      <c r="B319" s="1">
        <v>0.95833333333333337</v>
      </c>
      <c r="C319">
        <v>55103</v>
      </c>
      <c r="D319">
        <v>174750</v>
      </c>
      <c r="E319">
        <v>450046</v>
      </c>
      <c r="F319">
        <v>311317</v>
      </c>
      <c r="G319">
        <v>-2808</v>
      </c>
      <c r="H319">
        <v>583457</v>
      </c>
      <c r="I319">
        <v>-39195</v>
      </c>
      <c r="J319">
        <v>112821</v>
      </c>
      <c r="K319">
        <v>220746</v>
      </c>
      <c r="L319">
        <v>-20605</v>
      </c>
      <c r="M319">
        <v>7.79</v>
      </c>
      <c r="N319">
        <v>1845632</v>
      </c>
      <c r="O319">
        <v>19257550</v>
      </c>
      <c r="P319" s="2">
        <v>9.5839398054269616</v>
      </c>
      <c r="Q319" s="4">
        <v>15.00163145</v>
      </c>
    </row>
    <row r="320" spans="1:17" x14ac:dyDescent="0.4">
      <c r="A320">
        <v>20210809</v>
      </c>
      <c r="B320" s="1">
        <v>0.97916666666666663</v>
      </c>
      <c r="C320">
        <v>49181</v>
      </c>
      <c r="D320">
        <v>162974</v>
      </c>
      <c r="E320">
        <v>355370</v>
      </c>
      <c r="F320">
        <v>262505</v>
      </c>
      <c r="G320">
        <v>-8756</v>
      </c>
      <c r="H320">
        <v>389951</v>
      </c>
      <c r="I320">
        <v>-31410</v>
      </c>
      <c r="J320">
        <v>92214</v>
      </c>
      <c r="K320">
        <v>205161</v>
      </c>
      <c r="L320">
        <v>-10094</v>
      </c>
      <c r="M320">
        <v>7.3</v>
      </c>
      <c r="N320">
        <v>1467096</v>
      </c>
      <c r="O320">
        <v>18288650</v>
      </c>
      <c r="P320" s="2">
        <v>8.0218933600894538</v>
      </c>
      <c r="Q320" s="4">
        <v>13.3507145</v>
      </c>
    </row>
    <row r="321" spans="1:17" x14ac:dyDescent="0.4">
      <c r="A321">
        <v>20210810</v>
      </c>
      <c r="B321" s="1">
        <v>0</v>
      </c>
      <c r="C321">
        <v>83381</v>
      </c>
      <c r="D321">
        <v>151864</v>
      </c>
      <c r="E321">
        <v>68070</v>
      </c>
      <c r="F321">
        <v>137556</v>
      </c>
      <c r="G321">
        <v>74302</v>
      </c>
      <c r="H321">
        <v>540284</v>
      </c>
      <c r="I321">
        <v>86304</v>
      </c>
      <c r="J321">
        <v>91153</v>
      </c>
      <c r="K321">
        <v>218356</v>
      </c>
      <c r="L321">
        <v>-11427</v>
      </c>
      <c r="M321">
        <v>6.99</v>
      </c>
      <c r="N321">
        <v>1439843</v>
      </c>
      <c r="O321">
        <v>18431950</v>
      </c>
      <c r="P321" s="2">
        <v>7.8116694109955809</v>
      </c>
      <c r="Q321" s="4">
        <v>12.88393305</v>
      </c>
    </row>
    <row r="322" spans="1:17" x14ac:dyDescent="0.4">
      <c r="A322">
        <v>20210810</v>
      </c>
      <c r="B322" s="1">
        <v>2.0833333333333332E-2</v>
      </c>
      <c r="C322">
        <v>49054</v>
      </c>
      <c r="D322">
        <v>87756</v>
      </c>
      <c r="E322">
        <v>118325</v>
      </c>
      <c r="F322">
        <v>130759</v>
      </c>
      <c r="G322">
        <v>59364</v>
      </c>
      <c r="H322">
        <v>433732</v>
      </c>
      <c r="I322">
        <v>141962</v>
      </c>
      <c r="J322">
        <v>93834</v>
      </c>
      <c r="K322">
        <v>184385</v>
      </c>
      <c r="L322">
        <v>-1809</v>
      </c>
      <c r="M322">
        <v>6.99</v>
      </c>
      <c r="N322">
        <v>1297362</v>
      </c>
      <c r="O322">
        <v>19776300</v>
      </c>
      <c r="P322" s="2">
        <v>6.5601856767949513</v>
      </c>
      <c r="Q322" s="4">
        <v>13.8236337</v>
      </c>
    </row>
    <row r="323" spans="1:17" x14ac:dyDescent="0.4">
      <c r="A323">
        <v>20210810</v>
      </c>
      <c r="B323" s="1">
        <v>4.1666666666666664E-2</v>
      </c>
      <c r="C323">
        <v>67428</v>
      </c>
      <c r="D323">
        <v>100775</v>
      </c>
      <c r="E323">
        <v>-74332</v>
      </c>
      <c r="F323">
        <v>-12655</v>
      </c>
      <c r="G323">
        <v>-2513</v>
      </c>
      <c r="H323">
        <v>371955</v>
      </c>
      <c r="I323">
        <v>107525</v>
      </c>
      <c r="J323">
        <v>93784</v>
      </c>
      <c r="K323">
        <v>162000</v>
      </c>
      <c r="L323">
        <v>-22314</v>
      </c>
      <c r="M323">
        <v>6.98</v>
      </c>
      <c r="N323">
        <v>791653</v>
      </c>
      <c r="O323">
        <v>19808050</v>
      </c>
      <c r="P323" s="2">
        <v>3.9966225852620525</v>
      </c>
      <c r="Q323" s="4">
        <v>13.826018899999999</v>
      </c>
    </row>
    <row r="324" spans="1:17" x14ac:dyDescent="0.4">
      <c r="A324">
        <v>20210810</v>
      </c>
      <c r="B324" s="1">
        <v>6.25E-2</v>
      </c>
      <c r="C324">
        <v>47520</v>
      </c>
      <c r="D324">
        <v>35175</v>
      </c>
      <c r="E324">
        <v>10922</v>
      </c>
      <c r="F324">
        <v>-160</v>
      </c>
      <c r="G324">
        <v>-18195</v>
      </c>
      <c r="H324">
        <v>315857</v>
      </c>
      <c r="I324">
        <v>88133</v>
      </c>
      <c r="J324">
        <v>91933</v>
      </c>
      <c r="K324">
        <v>148549</v>
      </c>
      <c r="L324">
        <v>-7083</v>
      </c>
      <c r="M324">
        <v>6.98</v>
      </c>
      <c r="N324">
        <v>712651</v>
      </c>
      <c r="O324">
        <v>19930850</v>
      </c>
      <c r="P324" s="2">
        <v>3.5756176981914969</v>
      </c>
      <c r="Q324" s="4">
        <v>13.9117333</v>
      </c>
    </row>
    <row r="325" spans="1:17" x14ac:dyDescent="0.4">
      <c r="A325">
        <v>20210810</v>
      </c>
      <c r="B325" s="1">
        <v>8.3333333333333329E-2</v>
      </c>
      <c r="C325">
        <v>28206</v>
      </c>
      <c r="D325">
        <v>69549</v>
      </c>
      <c r="E325">
        <v>-10625</v>
      </c>
      <c r="F325">
        <v>-16266</v>
      </c>
      <c r="G325">
        <v>-37713</v>
      </c>
      <c r="H325">
        <v>354522</v>
      </c>
      <c r="I325">
        <v>109015</v>
      </c>
      <c r="J325">
        <v>94152</v>
      </c>
      <c r="K325">
        <v>188766</v>
      </c>
      <c r="L325">
        <v>-16176</v>
      </c>
      <c r="M325">
        <v>7.03</v>
      </c>
      <c r="N325">
        <v>763430</v>
      </c>
      <c r="O325">
        <v>20143900</v>
      </c>
      <c r="P325" s="2">
        <v>3.7898818004457926</v>
      </c>
      <c r="Q325" s="4">
        <v>14.161161699999999</v>
      </c>
    </row>
    <row r="326" spans="1:17" x14ac:dyDescent="0.4">
      <c r="A326">
        <v>20210810</v>
      </c>
      <c r="B326" s="1">
        <v>0.10416666666666667</v>
      </c>
      <c r="C326">
        <v>78224</v>
      </c>
      <c r="D326">
        <v>35902</v>
      </c>
      <c r="E326">
        <v>-41753</v>
      </c>
      <c r="F326">
        <v>-56591</v>
      </c>
      <c r="G326">
        <v>-45530</v>
      </c>
      <c r="H326">
        <v>388421</v>
      </c>
      <c r="I326">
        <v>112896</v>
      </c>
      <c r="J326">
        <v>93536</v>
      </c>
      <c r="K326">
        <v>215644</v>
      </c>
      <c r="L326">
        <v>-14497</v>
      </c>
      <c r="M326">
        <v>7.03</v>
      </c>
      <c r="N326">
        <v>766252</v>
      </c>
      <c r="O326">
        <v>20184300</v>
      </c>
      <c r="P326" s="2">
        <v>3.7962773046377629</v>
      </c>
      <c r="Q326" s="4">
        <v>14.1895629</v>
      </c>
    </row>
    <row r="327" spans="1:17" x14ac:dyDescent="0.4">
      <c r="A327">
        <v>20210810</v>
      </c>
      <c r="B327" s="1">
        <v>0.125</v>
      </c>
      <c r="C327">
        <v>99709</v>
      </c>
      <c r="D327">
        <v>10268</v>
      </c>
      <c r="E327">
        <v>-36141</v>
      </c>
      <c r="F327">
        <v>-161005</v>
      </c>
      <c r="G327">
        <v>-24247</v>
      </c>
      <c r="H327">
        <v>409672</v>
      </c>
      <c r="I327">
        <v>146995</v>
      </c>
      <c r="J327">
        <v>84936</v>
      </c>
      <c r="K327">
        <v>240972</v>
      </c>
      <c r="L327">
        <v>-19306</v>
      </c>
      <c r="M327">
        <v>7.07</v>
      </c>
      <c r="N327">
        <v>751853</v>
      </c>
      <c r="O327">
        <v>20255900</v>
      </c>
      <c r="P327" s="2">
        <v>3.7117728661772618</v>
      </c>
      <c r="Q327" s="4">
        <v>14.3209213</v>
      </c>
    </row>
    <row r="328" spans="1:17" x14ac:dyDescent="0.4">
      <c r="A328">
        <v>20210810</v>
      </c>
      <c r="B328" s="1">
        <v>0.14583333333333334</v>
      </c>
      <c r="C328">
        <v>102260</v>
      </c>
      <c r="D328">
        <v>26045</v>
      </c>
      <c r="E328">
        <v>-24257</v>
      </c>
      <c r="F328">
        <v>-190101</v>
      </c>
      <c r="G328">
        <v>-6037</v>
      </c>
      <c r="H328">
        <v>437896</v>
      </c>
      <c r="I328">
        <v>152870</v>
      </c>
      <c r="J328">
        <v>81254</v>
      </c>
      <c r="K328">
        <v>272188</v>
      </c>
      <c r="L328">
        <v>-11371</v>
      </c>
      <c r="M328">
        <v>7.03</v>
      </c>
      <c r="N328">
        <v>840747</v>
      </c>
      <c r="O328">
        <v>20418400</v>
      </c>
      <c r="P328" s="2">
        <v>4.1175949143909412</v>
      </c>
      <c r="Q328" s="4">
        <v>14.3541352</v>
      </c>
    </row>
    <row r="329" spans="1:17" x14ac:dyDescent="0.4">
      <c r="A329">
        <v>20210810</v>
      </c>
      <c r="B329" s="1">
        <v>0.16666666666666666</v>
      </c>
      <c r="C329">
        <v>60344</v>
      </c>
      <c r="D329">
        <v>35932</v>
      </c>
      <c r="E329">
        <v>-32780</v>
      </c>
      <c r="F329">
        <v>-86250</v>
      </c>
      <c r="G329">
        <v>19442</v>
      </c>
      <c r="H329">
        <v>543115</v>
      </c>
      <c r="I329">
        <v>96456</v>
      </c>
      <c r="J329">
        <v>69740</v>
      </c>
      <c r="K329">
        <v>279252</v>
      </c>
      <c r="L329">
        <v>-15243</v>
      </c>
      <c r="M329">
        <v>7.03</v>
      </c>
      <c r="N329">
        <v>970008</v>
      </c>
      <c r="O329">
        <v>20415650</v>
      </c>
      <c r="P329" s="2">
        <v>4.7512961869938017</v>
      </c>
      <c r="Q329" s="4">
        <v>14.35220195</v>
      </c>
    </row>
    <row r="330" spans="1:17" x14ac:dyDescent="0.4">
      <c r="A330">
        <v>20210810</v>
      </c>
      <c r="B330" s="1">
        <v>0.1875</v>
      </c>
      <c r="C330">
        <v>100161</v>
      </c>
      <c r="D330">
        <v>114453</v>
      </c>
      <c r="E330">
        <v>-43667</v>
      </c>
      <c r="F330">
        <v>-167183</v>
      </c>
      <c r="G330">
        <v>15886</v>
      </c>
      <c r="H330">
        <v>539396</v>
      </c>
      <c r="I330">
        <v>91961</v>
      </c>
      <c r="J330">
        <v>55977</v>
      </c>
      <c r="K330">
        <v>336162</v>
      </c>
      <c r="L330">
        <v>-12770</v>
      </c>
      <c r="M330">
        <v>6.98</v>
      </c>
      <c r="N330">
        <v>1030376</v>
      </c>
      <c r="O330">
        <v>20483050</v>
      </c>
      <c r="P330" s="2">
        <v>5.0303836586836432</v>
      </c>
      <c r="Q330" s="4">
        <v>14.297168900000001</v>
      </c>
    </row>
    <row r="331" spans="1:17" x14ac:dyDescent="0.4">
      <c r="A331">
        <v>20210810</v>
      </c>
      <c r="B331" s="1">
        <v>0.20833333333333334</v>
      </c>
      <c r="C331">
        <v>23116</v>
      </c>
      <c r="D331">
        <v>158493</v>
      </c>
      <c r="E331">
        <v>66702</v>
      </c>
      <c r="F331">
        <v>-133551</v>
      </c>
      <c r="G331">
        <v>40244</v>
      </c>
      <c r="H331">
        <v>491099</v>
      </c>
      <c r="I331">
        <v>52467</v>
      </c>
      <c r="J331">
        <v>59605</v>
      </c>
      <c r="K331">
        <v>314749</v>
      </c>
      <c r="L331">
        <v>-14206</v>
      </c>
      <c r="M331">
        <v>7</v>
      </c>
      <c r="N331">
        <v>1058718</v>
      </c>
      <c r="O331">
        <v>20483250</v>
      </c>
      <c r="P331" s="2">
        <v>5.1687012559042147</v>
      </c>
      <c r="Q331" s="4">
        <v>14.338274999999999</v>
      </c>
    </row>
    <row r="332" spans="1:17" x14ac:dyDescent="0.4">
      <c r="A332">
        <v>20210810</v>
      </c>
      <c r="B332" s="1">
        <v>0.22916666666666666</v>
      </c>
      <c r="C332">
        <v>87979</v>
      </c>
      <c r="D332">
        <v>174290</v>
      </c>
      <c r="E332">
        <v>152804</v>
      </c>
      <c r="F332">
        <v>-42838</v>
      </c>
      <c r="G332">
        <v>65487</v>
      </c>
      <c r="H332">
        <v>303229</v>
      </c>
      <c r="I332">
        <v>51394</v>
      </c>
      <c r="J332">
        <v>67691</v>
      </c>
      <c r="K332">
        <v>384469</v>
      </c>
      <c r="L332">
        <v>-15928</v>
      </c>
      <c r="M332">
        <v>7.14</v>
      </c>
      <c r="N332">
        <v>1228577</v>
      </c>
      <c r="O332">
        <v>20663000</v>
      </c>
      <c r="P332" s="2">
        <v>5.9457823162173931</v>
      </c>
      <c r="Q332" s="4">
        <v>14.753382</v>
      </c>
    </row>
    <row r="333" spans="1:17" x14ac:dyDescent="0.4">
      <c r="A333">
        <v>20210810</v>
      </c>
      <c r="B333" s="1">
        <v>0.25</v>
      </c>
      <c r="C333">
        <v>37220</v>
      </c>
      <c r="D333">
        <v>260617</v>
      </c>
      <c r="E333">
        <v>329861</v>
      </c>
      <c r="F333">
        <v>-146439</v>
      </c>
      <c r="G333">
        <v>62110</v>
      </c>
      <c r="H333">
        <v>262284</v>
      </c>
      <c r="I333">
        <v>106291</v>
      </c>
      <c r="J333">
        <v>88072</v>
      </c>
      <c r="K333">
        <v>353921</v>
      </c>
      <c r="L333">
        <v>-6374</v>
      </c>
      <c r="M333">
        <v>7.23</v>
      </c>
      <c r="N333">
        <v>1347563</v>
      </c>
      <c r="O333">
        <v>21193200</v>
      </c>
      <c r="P333" s="2">
        <v>6.3584687541286824</v>
      </c>
      <c r="Q333" s="4">
        <v>15.3226836</v>
      </c>
    </row>
    <row r="334" spans="1:17" x14ac:dyDescent="0.4">
      <c r="A334">
        <v>20210810</v>
      </c>
      <c r="B334" s="1">
        <v>0.27083333333333331</v>
      </c>
      <c r="C334">
        <v>61134</v>
      </c>
      <c r="D334">
        <v>311013</v>
      </c>
      <c r="E334">
        <v>208582</v>
      </c>
      <c r="F334">
        <v>-186539</v>
      </c>
      <c r="G334">
        <v>43616</v>
      </c>
      <c r="H334">
        <v>312230</v>
      </c>
      <c r="I334">
        <v>320047</v>
      </c>
      <c r="J334">
        <v>98618</v>
      </c>
      <c r="K334">
        <v>411752</v>
      </c>
      <c r="L334">
        <v>-18358</v>
      </c>
      <c r="M334">
        <v>7.15</v>
      </c>
      <c r="N334">
        <v>1562095</v>
      </c>
      <c r="O334">
        <v>21928050</v>
      </c>
      <c r="P334" s="2">
        <v>7.1237296522034566</v>
      </c>
      <c r="Q334" s="4">
        <v>15.678555749999999</v>
      </c>
    </row>
    <row r="335" spans="1:17" x14ac:dyDescent="0.4">
      <c r="A335">
        <v>20210810</v>
      </c>
      <c r="B335" s="1">
        <v>0.29166666666666669</v>
      </c>
      <c r="C335">
        <v>30861</v>
      </c>
      <c r="D335">
        <v>302322</v>
      </c>
      <c r="E335">
        <v>787049</v>
      </c>
      <c r="F335">
        <v>1760</v>
      </c>
      <c r="G335">
        <v>42740</v>
      </c>
      <c r="H335">
        <v>374260</v>
      </c>
      <c r="I335">
        <v>516207</v>
      </c>
      <c r="J335">
        <v>105095</v>
      </c>
      <c r="K335">
        <v>439857</v>
      </c>
      <c r="L335">
        <v>7630</v>
      </c>
      <c r="M335">
        <v>7.12</v>
      </c>
      <c r="N335">
        <v>2607781</v>
      </c>
      <c r="O335">
        <v>22982000</v>
      </c>
      <c r="P335" s="2">
        <v>11.347058567574624</v>
      </c>
      <c r="Q335" s="4">
        <v>16.363184</v>
      </c>
    </row>
    <row r="336" spans="1:17" x14ac:dyDescent="0.4">
      <c r="A336">
        <v>20210810</v>
      </c>
      <c r="B336" s="1">
        <v>0.3125</v>
      </c>
      <c r="C336">
        <v>49222</v>
      </c>
      <c r="D336">
        <v>491856</v>
      </c>
      <c r="E336">
        <v>1133335</v>
      </c>
      <c r="F336">
        <v>-116661</v>
      </c>
      <c r="G336">
        <v>60206</v>
      </c>
      <c r="H336">
        <v>462560</v>
      </c>
      <c r="I336">
        <v>820845</v>
      </c>
      <c r="J336">
        <v>177318</v>
      </c>
      <c r="K336">
        <v>587940</v>
      </c>
      <c r="L336">
        <v>-658</v>
      </c>
      <c r="M336">
        <v>7.23</v>
      </c>
      <c r="N336">
        <v>3665963</v>
      </c>
      <c r="O336">
        <v>23500750</v>
      </c>
      <c r="P336" s="2">
        <v>15.599344701764837</v>
      </c>
      <c r="Q336" s="4">
        <v>16.99104225</v>
      </c>
    </row>
    <row r="337" spans="1:17" x14ac:dyDescent="0.4">
      <c r="A337">
        <v>20210810</v>
      </c>
      <c r="B337" s="1">
        <v>0.33333333333333331</v>
      </c>
      <c r="C337">
        <v>104533</v>
      </c>
      <c r="D337">
        <v>435119</v>
      </c>
      <c r="E337">
        <v>1788950</v>
      </c>
      <c r="F337">
        <v>294652</v>
      </c>
      <c r="G337">
        <v>77113</v>
      </c>
      <c r="H337">
        <v>724223</v>
      </c>
      <c r="I337">
        <v>392515</v>
      </c>
      <c r="J337">
        <v>231444</v>
      </c>
      <c r="K337">
        <v>626783</v>
      </c>
      <c r="L337">
        <v>7151</v>
      </c>
      <c r="M337">
        <v>7.44</v>
      </c>
      <c r="N337">
        <v>4682483</v>
      </c>
      <c r="O337">
        <v>25258450</v>
      </c>
      <c r="P337" s="2">
        <v>18.538283227989048</v>
      </c>
      <c r="Q337" s="4">
        <v>18.792286799999999</v>
      </c>
    </row>
    <row r="338" spans="1:17" x14ac:dyDescent="0.4">
      <c r="A338">
        <v>20210810</v>
      </c>
      <c r="B338" s="1">
        <v>0.35416666666666669</v>
      </c>
      <c r="C338">
        <v>97872</v>
      </c>
      <c r="D338">
        <v>677849</v>
      </c>
      <c r="E338">
        <v>1623870</v>
      </c>
      <c r="F338">
        <v>87890</v>
      </c>
      <c r="G338">
        <v>84616</v>
      </c>
      <c r="H338">
        <v>891024</v>
      </c>
      <c r="I338">
        <v>492099</v>
      </c>
      <c r="J338">
        <v>255424</v>
      </c>
      <c r="K338">
        <v>672254</v>
      </c>
      <c r="L338">
        <v>-7168</v>
      </c>
      <c r="M338">
        <v>7.88</v>
      </c>
      <c r="N338">
        <v>4875730</v>
      </c>
      <c r="O338">
        <v>25789300</v>
      </c>
      <c r="P338" s="2">
        <v>18.906019162986201</v>
      </c>
      <c r="Q338" s="4">
        <v>20.321968399999999</v>
      </c>
    </row>
    <row r="339" spans="1:17" x14ac:dyDescent="0.4">
      <c r="A339">
        <v>20210810</v>
      </c>
      <c r="B339" s="1">
        <v>0.375</v>
      </c>
      <c r="C339">
        <v>140218</v>
      </c>
      <c r="D339">
        <v>929908</v>
      </c>
      <c r="E339">
        <v>1544939</v>
      </c>
      <c r="F339">
        <v>194559</v>
      </c>
      <c r="G339">
        <v>93647</v>
      </c>
      <c r="H339">
        <v>1093083</v>
      </c>
      <c r="I339">
        <v>506914</v>
      </c>
      <c r="J339">
        <v>290726</v>
      </c>
      <c r="K339">
        <v>687237</v>
      </c>
      <c r="L339">
        <v>-14247</v>
      </c>
      <c r="M339">
        <v>8.39</v>
      </c>
      <c r="N339">
        <v>5466984</v>
      </c>
      <c r="O339">
        <v>26168850</v>
      </c>
      <c r="P339" s="2">
        <v>20.891189333883606</v>
      </c>
      <c r="Q339" s="4">
        <v>21.955665150000002</v>
      </c>
    </row>
    <row r="340" spans="1:17" x14ac:dyDescent="0.4">
      <c r="A340">
        <v>20210810</v>
      </c>
      <c r="B340" s="1">
        <v>0.39583333333333331</v>
      </c>
      <c r="C340">
        <v>112238</v>
      </c>
      <c r="D340">
        <v>797955</v>
      </c>
      <c r="E340">
        <v>1564197</v>
      </c>
      <c r="F340">
        <v>473521</v>
      </c>
      <c r="G340">
        <v>119979</v>
      </c>
      <c r="H340">
        <v>960127</v>
      </c>
      <c r="I340">
        <v>509361</v>
      </c>
      <c r="J340">
        <v>309696</v>
      </c>
      <c r="K340">
        <v>586373</v>
      </c>
      <c r="L340">
        <v>-19608</v>
      </c>
      <c r="M340">
        <v>8.86</v>
      </c>
      <c r="N340">
        <v>5413839</v>
      </c>
      <c r="O340">
        <v>26466750</v>
      </c>
      <c r="P340" s="2">
        <v>20.455246677434896</v>
      </c>
      <c r="Q340" s="4">
        <v>23.449540499999998</v>
      </c>
    </row>
    <row r="341" spans="1:17" x14ac:dyDescent="0.4">
      <c r="A341">
        <v>20210810</v>
      </c>
      <c r="B341" s="1">
        <v>0.41666666666666669</v>
      </c>
      <c r="C341">
        <v>157794</v>
      </c>
      <c r="D341">
        <v>977557</v>
      </c>
      <c r="E341">
        <v>1025752</v>
      </c>
      <c r="F341">
        <v>339775</v>
      </c>
      <c r="G341">
        <v>155878</v>
      </c>
      <c r="H341">
        <v>883255</v>
      </c>
      <c r="I341">
        <v>550257</v>
      </c>
      <c r="J341">
        <v>318463</v>
      </c>
      <c r="K341">
        <v>737499</v>
      </c>
      <c r="L341">
        <v>-22956</v>
      </c>
      <c r="M341">
        <v>8.86</v>
      </c>
      <c r="N341">
        <v>5123274</v>
      </c>
      <c r="O341">
        <v>26684100</v>
      </c>
      <c r="P341" s="2">
        <v>19.199725679337135</v>
      </c>
      <c r="Q341" s="4">
        <v>23.642112599999997</v>
      </c>
    </row>
    <row r="342" spans="1:17" x14ac:dyDescent="0.4">
      <c r="A342">
        <v>20210810</v>
      </c>
      <c r="B342" s="1">
        <v>0.4375</v>
      </c>
      <c r="C342">
        <v>150528</v>
      </c>
      <c r="D342">
        <v>1110154</v>
      </c>
      <c r="E342">
        <v>717121</v>
      </c>
      <c r="F342">
        <v>299733</v>
      </c>
      <c r="G342">
        <v>181706</v>
      </c>
      <c r="H342">
        <v>970008</v>
      </c>
      <c r="I342">
        <v>505505</v>
      </c>
      <c r="J342">
        <v>299540</v>
      </c>
      <c r="K342">
        <v>784608</v>
      </c>
      <c r="L342">
        <v>-17871</v>
      </c>
      <c r="M342">
        <v>8.86</v>
      </c>
      <c r="N342">
        <v>5001032</v>
      </c>
      <c r="O342">
        <v>26716450</v>
      </c>
      <c r="P342" s="2">
        <v>18.718924108554841</v>
      </c>
      <c r="Q342" s="4">
        <v>23.670774699999996</v>
      </c>
    </row>
    <row r="343" spans="1:17" x14ac:dyDescent="0.4">
      <c r="A343">
        <v>20210810</v>
      </c>
      <c r="B343" s="1">
        <v>0.45833333333333331</v>
      </c>
      <c r="C343">
        <v>167231</v>
      </c>
      <c r="D343">
        <v>1150303</v>
      </c>
      <c r="E343">
        <v>522564</v>
      </c>
      <c r="F343">
        <v>577260</v>
      </c>
      <c r="G343">
        <v>202828</v>
      </c>
      <c r="H343">
        <v>966820</v>
      </c>
      <c r="I343">
        <v>426097</v>
      </c>
      <c r="J343">
        <v>202028</v>
      </c>
      <c r="K343">
        <v>916630</v>
      </c>
      <c r="L343">
        <v>-42239</v>
      </c>
      <c r="M343">
        <v>8.86</v>
      </c>
      <c r="N343">
        <v>5089522</v>
      </c>
      <c r="O343">
        <v>27140350</v>
      </c>
      <c r="P343" s="2">
        <v>18.752602674615471</v>
      </c>
      <c r="Q343" s="4">
        <v>24.046350099999998</v>
      </c>
    </row>
    <row r="344" spans="1:17" x14ac:dyDescent="0.4">
      <c r="A344">
        <v>20210810</v>
      </c>
      <c r="B344" s="1">
        <v>0.47916666666666669</v>
      </c>
      <c r="C344">
        <v>173087</v>
      </c>
      <c r="D344">
        <v>1138472</v>
      </c>
      <c r="E344">
        <v>453267</v>
      </c>
      <c r="F344">
        <v>505345</v>
      </c>
      <c r="G344">
        <v>213271</v>
      </c>
      <c r="H344">
        <v>950713</v>
      </c>
      <c r="I344">
        <v>570472</v>
      </c>
      <c r="J344">
        <v>184541</v>
      </c>
      <c r="K344">
        <v>681141</v>
      </c>
      <c r="L344">
        <v>-40574</v>
      </c>
      <c r="M344">
        <v>8.86</v>
      </c>
      <c r="N344">
        <v>4829735</v>
      </c>
      <c r="O344">
        <v>27241250</v>
      </c>
      <c r="P344" s="2">
        <v>17.729491121002155</v>
      </c>
      <c r="Q344" s="4">
        <v>24.135747499999997</v>
      </c>
    </row>
    <row r="345" spans="1:17" x14ac:dyDescent="0.4">
      <c r="A345">
        <v>20210810</v>
      </c>
      <c r="B345" s="1">
        <v>0.5</v>
      </c>
      <c r="C345">
        <v>130565</v>
      </c>
      <c r="D345">
        <v>815533</v>
      </c>
      <c r="E345">
        <v>189801</v>
      </c>
      <c r="F345">
        <v>654327</v>
      </c>
      <c r="G345">
        <v>229902</v>
      </c>
      <c r="H345">
        <v>344900</v>
      </c>
      <c r="I345">
        <v>568938</v>
      </c>
      <c r="J345">
        <v>164018</v>
      </c>
      <c r="K345">
        <v>653420</v>
      </c>
      <c r="L345">
        <v>-38190</v>
      </c>
      <c r="M345">
        <v>8.86</v>
      </c>
      <c r="N345">
        <v>3713214</v>
      </c>
      <c r="O345">
        <v>27162350</v>
      </c>
      <c r="P345" s="2">
        <v>13.670444567572394</v>
      </c>
      <c r="Q345" s="4">
        <v>24.065842099999998</v>
      </c>
    </row>
    <row r="346" spans="1:17" x14ac:dyDescent="0.4">
      <c r="A346">
        <v>20210810</v>
      </c>
      <c r="B346" s="1">
        <v>0.52083333333333337</v>
      </c>
      <c r="C346">
        <v>138559</v>
      </c>
      <c r="D346">
        <v>808228</v>
      </c>
      <c r="E346">
        <v>710854</v>
      </c>
      <c r="F346">
        <v>497508</v>
      </c>
      <c r="G346">
        <v>196801</v>
      </c>
      <c r="H346">
        <v>254300</v>
      </c>
      <c r="I346">
        <v>585232</v>
      </c>
      <c r="J346">
        <v>137001</v>
      </c>
      <c r="K346">
        <v>431354</v>
      </c>
      <c r="L346">
        <v>-36227</v>
      </c>
      <c r="M346">
        <v>8.86</v>
      </c>
      <c r="N346">
        <v>3723610</v>
      </c>
      <c r="O346">
        <v>27100900</v>
      </c>
      <c r="P346" s="2">
        <v>13.739801999195599</v>
      </c>
      <c r="Q346" s="4">
        <v>24.011397399999996</v>
      </c>
    </row>
    <row r="347" spans="1:17" x14ac:dyDescent="0.4">
      <c r="A347">
        <v>20210810</v>
      </c>
      <c r="B347" s="1">
        <v>0.54166666666666663</v>
      </c>
      <c r="C347">
        <v>166987</v>
      </c>
      <c r="D347">
        <v>836837</v>
      </c>
      <c r="E347">
        <v>588810</v>
      </c>
      <c r="F347">
        <v>683447</v>
      </c>
      <c r="G347">
        <v>196014</v>
      </c>
      <c r="H347">
        <v>515783</v>
      </c>
      <c r="I347">
        <v>468479</v>
      </c>
      <c r="J347">
        <v>135674</v>
      </c>
      <c r="K347">
        <v>349327</v>
      </c>
      <c r="L347">
        <v>-38116</v>
      </c>
      <c r="M347">
        <v>9.61</v>
      </c>
      <c r="N347">
        <v>3903242</v>
      </c>
      <c r="O347">
        <v>26336400</v>
      </c>
      <c r="P347" s="2">
        <v>14.82071201834723</v>
      </c>
      <c r="Q347" s="4">
        <v>25.309280399999999</v>
      </c>
    </row>
    <row r="348" spans="1:17" x14ac:dyDescent="0.4">
      <c r="A348">
        <v>20210810</v>
      </c>
      <c r="B348" s="1">
        <v>0.5625</v>
      </c>
      <c r="C348">
        <v>161739</v>
      </c>
      <c r="D348">
        <v>941983</v>
      </c>
      <c r="E348">
        <v>1277718</v>
      </c>
      <c r="F348">
        <v>574043</v>
      </c>
      <c r="G348">
        <v>179112</v>
      </c>
      <c r="H348">
        <v>609616</v>
      </c>
      <c r="I348">
        <v>435645</v>
      </c>
      <c r="J348">
        <v>161607</v>
      </c>
      <c r="K348">
        <v>151711</v>
      </c>
      <c r="L348">
        <v>-43971</v>
      </c>
      <c r="M348">
        <v>9.83</v>
      </c>
      <c r="N348">
        <v>4449203</v>
      </c>
      <c r="O348">
        <v>26118650</v>
      </c>
      <c r="P348" s="2">
        <v>17.034582568394615</v>
      </c>
      <c r="Q348" s="4">
        <v>25.674632949999999</v>
      </c>
    </row>
    <row r="349" spans="1:17" x14ac:dyDescent="0.4">
      <c r="A349">
        <v>20210810</v>
      </c>
      <c r="B349" s="1">
        <v>0.58333333333333337</v>
      </c>
      <c r="C349">
        <v>162966</v>
      </c>
      <c r="D349">
        <v>1025474</v>
      </c>
      <c r="E349">
        <v>1649795</v>
      </c>
      <c r="F349">
        <v>361645</v>
      </c>
      <c r="G349">
        <v>131643</v>
      </c>
      <c r="H349">
        <v>805345</v>
      </c>
      <c r="I349">
        <v>458895</v>
      </c>
      <c r="J349">
        <v>181699</v>
      </c>
      <c r="K349">
        <v>-293704</v>
      </c>
      <c r="L349">
        <v>-34794</v>
      </c>
      <c r="M349">
        <v>10.27</v>
      </c>
      <c r="N349">
        <v>4448964</v>
      </c>
      <c r="O349">
        <v>26171500</v>
      </c>
      <c r="P349" s="2">
        <v>16.999270198498365</v>
      </c>
      <c r="Q349" s="4">
        <v>26.878130500000001</v>
      </c>
    </row>
    <row r="350" spans="1:17" x14ac:dyDescent="0.4">
      <c r="A350">
        <v>20210810</v>
      </c>
      <c r="B350" s="1">
        <v>0.60416666666666663</v>
      </c>
      <c r="C350">
        <v>102278</v>
      </c>
      <c r="D350">
        <v>921573</v>
      </c>
      <c r="E350">
        <v>1667754</v>
      </c>
      <c r="F350">
        <v>568755</v>
      </c>
      <c r="G350">
        <v>98710</v>
      </c>
      <c r="H350">
        <v>799898</v>
      </c>
      <c r="I350">
        <v>428992</v>
      </c>
      <c r="J350">
        <v>148271</v>
      </c>
      <c r="K350">
        <v>-491260</v>
      </c>
      <c r="L350">
        <v>-35796</v>
      </c>
      <c r="M350">
        <v>10.27</v>
      </c>
      <c r="N350">
        <v>4209175</v>
      </c>
      <c r="O350">
        <v>25726500</v>
      </c>
      <c r="P350" s="2">
        <v>16.361242298796959</v>
      </c>
      <c r="Q350" s="4">
        <v>26.421115499999999</v>
      </c>
    </row>
    <row r="351" spans="1:17" x14ac:dyDescent="0.4">
      <c r="A351">
        <v>20210810</v>
      </c>
      <c r="B351" s="1">
        <v>0.625</v>
      </c>
      <c r="C351">
        <v>100094</v>
      </c>
      <c r="D351">
        <v>909820</v>
      </c>
      <c r="E351">
        <v>1672918</v>
      </c>
      <c r="F351">
        <v>504819</v>
      </c>
      <c r="G351">
        <v>118031</v>
      </c>
      <c r="H351">
        <v>884326</v>
      </c>
      <c r="I351">
        <v>235765</v>
      </c>
      <c r="J351">
        <v>140497</v>
      </c>
      <c r="K351">
        <v>-482209</v>
      </c>
      <c r="L351">
        <v>-38443</v>
      </c>
      <c r="M351">
        <v>10.220000000000001</v>
      </c>
      <c r="N351">
        <v>4045618</v>
      </c>
      <c r="O351">
        <v>25238100</v>
      </c>
      <c r="P351" s="2">
        <v>16.029804145319972</v>
      </c>
      <c r="Q351" s="4">
        <v>25.793338200000004</v>
      </c>
    </row>
    <row r="352" spans="1:17" x14ac:dyDescent="0.4">
      <c r="A352">
        <v>20210810</v>
      </c>
      <c r="B352" s="1">
        <v>0.64583333333333337</v>
      </c>
      <c r="C352">
        <v>159555</v>
      </c>
      <c r="D352">
        <v>838840</v>
      </c>
      <c r="E352">
        <v>1564855</v>
      </c>
      <c r="F352">
        <v>463103</v>
      </c>
      <c r="G352">
        <v>179497</v>
      </c>
      <c r="H352">
        <v>991881</v>
      </c>
      <c r="I352">
        <v>262283</v>
      </c>
      <c r="J352">
        <v>69002</v>
      </c>
      <c r="K352">
        <v>-390161</v>
      </c>
      <c r="L352">
        <v>-48605</v>
      </c>
      <c r="M352">
        <v>10.84</v>
      </c>
      <c r="N352">
        <v>4090250</v>
      </c>
      <c r="O352">
        <v>24759650</v>
      </c>
      <c r="P352" s="2">
        <v>16.519821564521308</v>
      </c>
      <c r="Q352" s="4">
        <v>26.839460599999999</v>
      </c>
    </row>
    <row r="353" spans="1:17" x14ac:dyDescent="0.4">
      <c r="A353">
        <v>20210810</v>
      </c>
      <c r="B353" s="1">
        <v>0.66666666666666663</v>
      </c>
      <c r="C353">
        <v>161645</v>
      </c>
      <c r="D353">
        <v>838163</v>
      </c>
      <c r="E353">
        <v>676037</v>
      </c>
      <c r="F353">
        <v>297461</v>
      </c>
      <c r="G353">
        <v>148216</v>
      </c>
      <c r="H353">
        <v>867850</v>
      </c>
      <c r="I353">
        <v>755414</v>
      </c>
      <c r="J353">
        <v>3289</v>
      </c>
      <c r="K353">
        <v>-280094</v>
      </c>
      <c r="L353">
        <v>-52515</v>
      </c>
      <c r="M353">
        <v>12.64</v>
      </c>
      <c r="N353">
        <v>3415466</v>
      </c>
      <c r="O353">
        <v>25126750</v>
      </c>
      <c r="P353" s="2">
        <v>13.592947754882745</v>
      </c>
      <c r="Q353" s="4">
        <v>31.760211999999999</v>
      </c>
    </row>
    <row r="354" spans="1:17" x14ac:dyDescent="0.4">
      <c r="A354">
        <v>20210810</v>
      </c>
      <c r="B354" s="1">
        <v>0.6875</v>
      </c>
      <c r="C354">
        <v>173502</v>
      </c>
      <c r="D354">
        <v>721854</v>
      </c>
      <c r="E354">
        <v>773905</v>
      </c>
      <c r="F354">
        <v>490014</v>
      </c>
      <c r="G354">
        <v>157472</v>
      </c>
      <c r="H354">
        <v>790508</v>
      </c>
      <c r="I354">
        <v>373696</v>
      </c>
      <c r="J354">
        <v>37538</v>
      </c>
      <c r="K354">
        <v>-10286</v>
      </c>
      <c r="L354">
        <v>-41179</v>
      </c>
      <c r="M354">
        <v>12.79</v>
      </c>
      <c r="N354">
        <v>3467024</v>
      </c>
      <c r="O354">
        <v>24604400</v>
      </c>
      <c r="P354" s="2">
        <v>14.091073141389344</v>
      </c>
      <c r="Q354" s="4">
        <v>31.4690276</v>
      </c>
    </row>
    <row r="355" spans="1:17" x14ac:dyDescent="0.4">
      <c r="A355">
        <v>20210810</v>
      </c>
      <c r="B355" s="1">
        <v>0.70833333333333337</v>
      </c>
      <c r="C355">
        <v>162751</v>
      </c>
      <c r="D355">
        <v>616381</v>
      </c>
      <c r="E355">
        <v>1122305</v>
      </c>
      <c r="F355">
        <v>526982</v>
      </c>
      <c r="G355">
        <v>155430</v>
      </c>
      <c r="H355">
        <v>476326</v>
      </c>
      <c r="I355">
        <v>246746</v>
      </c>
      <c r="J355">
        <v>37906</v>
      </c>
      <c r="K355">
        <v>128915</v>
      </c>
      <c r="L355">
        <v>-41424</v>
      </c>
      <c r="M355">
        <v>12.79</v>
      </c>
      <c r="N355">
        <v>3432318</v>
      </c>
      <c r="O355">
        <v>24257350</v>
      </c>
      <c r="P355" s="2">
        <v>14.149600018138832</v>
      </c>
      <c r="Q355" s="4">
        <v>31.02515065</v>
      </c>
    </row>
    <row r="356" spans="1:17" x14ac:dyDescent="0.4">
      <c r="A356">
        <v>20210810</v>
      </c>
      <c r="B356" s="1">
        <v>0.72916666666666663</v>
      </c>
      <c r="C356">
        <v>175812</v>
      </c>
      <c r="D356">
        <v>505722</v>
      </c>
      <c r="E356">
        <v>1159073</v>
      </c>
      <c r="F356">
        <v>728818</v>
      </c>
      <c r="G356">
        <v>197871</v>
      </c>
      <c r="H356">
        <v>730428</v>
      </c>
      <c r="I356">
        <v>180493</v>
      </c>
      <c r="J356">
        <v>23644</v>
      </c>
      <c r="K356">
        <v>306476</v>
      </c>
      <c r="L356">
        <v>-34965</v>
      </c>
      <c r="M356">
        <v>13.41</v>
      </c>
      <c r="N356">
        <v>3973372</v>
      </c>
      <c r="O356">
        <v>23801600</v>
      </c>
      <c r="P356" s="2">
        <v>16.693718069373489</v>
      </c>
      <c r="Q356" s="4">
        <v>31.917945599999999</v>
      </c>
    </row>
    <row r="357" spans="1:17" x14ac:dyDescent="0.4">
      <c r="A357">
        <v>20210810</v>
      </c>
      <c r="B357" s="1">
        <v>0.75</v>
      </c>
      <c r="C357">
        <v>139209</v>
      </c>
      <c r="D357">
        <v>406304</v>
      </c>
      <c r="E357">
        <v>1212855</v>
      </c>
      <c r="F357">
        <v>859201</v>
      </c>
      <c r="G357">
        <v>140467</v>
      </c>
      <c r="H357">
        <v>831535</v>
      </c>
      <c r="I357">
        <v>131453</v>
      </c>
      <c r="J357">
        <v>51128</v>
      </c>
      <c r="K357">
        <v>402649</v>
      </c>
      <c r="L357">
        <v>-28873</v>
      </c>
      <c r="M357">
        <v>13.41</v>
      </c>
      <c r="N357">
        <v>4145928</v>
      </c>
      <c r="O357">
        <v>23066050</v>
      </c>
      <c r="P357" s="2">
        <v>17.974156823556701</v>
      </c>
      <c r="Q357" s="4">
        <v>30.931573050000001</v>
      </c>
    </row>
    <row r="358" spans="1:17" x14ac:dyDescent="0.4">
      <c r="A358">
        <v>20210810</v>
      </c>
      <c r="B358" s="1">
        <v>0.77083333333333337</v>
      </c>
      <c r="C358">
        <v>148702</v>
      </c>
      <c r="D358">
        <v>292337</v>
      </c>
      <c r="E358">
        <v>1129849</v>
      </c>
      <c r="F358">
        <v>1016657</v>
      </c>
      <c r="G358">
        <v>138053</v>
      </c>
      <c r="H358">
        <v>852620</v>
      </c>
      <c r="I358">
        <v>87134</v>
      </c>
      <c r="J358">
        <v>110007</v>
      </c>
      <c r="K358">
        <v>542326</v>
      </c>
      <c r="L358">
        <v>-33903</v>
      </c>
      <c r="M358">
        <v>14.96</v>
      </c>
      <c r="N358">
        <v>4283782</v>
      </c>
      <c r="O358">
        <v>22866900</v>
      </c>
      <c r="P358" s="2">
        <v>18.733549366114339</v>
      </c>
      <c r="Q358" s="4">
        <v>34.2088824</v>
      </c>
    </row>
    <row r="359" spans="1:17" x14ac:dyDescent="0.4">
      <c r="A359">
        <v>20210810</v>
      </c>
      <c r="B359" s="1">
        <v>0.79166666666666663</v>
      </c>
      <c r="C359">
        <v>138438</v>
      </c>
      <c r="D359">
        <v>392089</v>
      </c>
      <c r="E359">
        <v>1193784</v>
      </c>
      <c r="F359">
        <v>937044</v>
      </c>
      <c r="G359">
        <v>146917</v>
      </c>
      <c r="H359">
        <v>870120</v>
      </c>
      <c r="I359">
        <v>138628</v>
      </c>
      <c r="J359">
        <v>146400</v>
      </c>
      <c r="K359">
        <v>511015</v>
      </c>
      <c r="L359">
        <v>-36255</v>
      </c>
      <c r="M359">
        <v>13.41</v>
      </c>
      <c r="N359">
        <v>4438180</v>
      </c>
      <c r="O359">
        <v>22985500</v>
      </c>
      <c r="P359" s="2">
        <v>19.308607600443757</v>
      </c>
      <c r="Q359" s="4">
        <v>30.823555500000001</v>
      </c>
    </row>
    <row r="360" spans="1:17" x14ac:dyDescent="0.4">
      <c r="A360">
        <v>20210810</v>
      </c>
      <c r="B360" s="1">
        <v>0.8125</v>
      </c>
      <c r="C360">
        <v>166539</v>
      </c>
      <c r="D360">
        <v>415770</v>
      </c>
      <c r="E360">
        <v>1366293</v>
      </c>
      <c r="F360">
        <v>979962</v>
      </c>
      <c r="G360">
        <v>141880</v>
      </c>
      <c r="H360">
        <v>859621</v>
      </c>
      <c r="I360">
        <v>237071</v>
      </c>
      <c r="J360">
        <v>128909</v>
      </c>
      <c r="K360">
        <v>504757</v>
      </c>
      <c r="L360">
        <v>-33162</v>
      </c>
      <c r="M360">
        <v>13.41</v>
      </c>
      <c r="N360">
        <v>4767640</v>
      </c>
      <c r="O360">
        <v>22570350</v>
      </c>
      <c r="P360" s="2">
        <v>21.123465076970451</v>
      </c>
      <c r="Q360" s="4">
        <v>30.266839350000001</v>
      </c>
    </row>
    <row r="361" spans="1:17" x14ac:dyDescent="0.4">
      <c r="A361">
        <v>20210810</v>
      </c>
      <c r="B361" s="1">
        <v>0.83333333333333337</v>
      </c>
      <c r="C361">
        <v>151632</v>
      </c>
      <c r="D361">
        <v>465036</v>
      </c>
      <c r="E361">
        <v>1177782</v>
      </c>
      <c r="F361">
        <v>936262</v>
      </c>
      <c r="G361">
        <v>152631</v>
      </c>
      <c r="H361">
        <v>855668</v>
      </c>
      <c r="I361">
        <v>292112</v>
      </c>
      <c r="J361">
        <v>109075</v>
      </c>
      <c r="K361">
        <v>565075</v>
      </c>
      <c r="L361">
        <v>-40361</v>
      </c>
      <c r="M361">
        <v>12.93</v>
      </c>
      <c r="N361">
        <v>4664912</v>
      </c>
      <c r="O361">
        <v>21919450</v>
      </c>
      <c r="P361" s="2">
        <v>21.282066840180754</v>
      </c>
      <c r="Q361" s="4">
        <v>28.341848850000002</v>
      </c>
    </row>
    <row r="362" spans="1:17" x14ac:dyDescent="0.4">
      <c r="A362">
        <v>20210810</v>
      </c>
      <c r="B362" s="1">
        <v>0.85416666666666663</v>
      </c>
      <c r="C362">
        <v>198550</v>
      </c>
      <c r="D362">
        <v>430341</v>
      </c>
      <c r="E362">
        <v>1164104</v>
      </c>
      <c r="F362">
        <v>887308</v>
      </c>
      <c r="G362">
        <v>130027</v>
      </c>
      <c r="H362">
        <v>793674</v>
      </c>
      <c r="I362">
        <v>293161</v>
      </c>
      <c r="J362">
        <v>89899</v>
      </c>
      <c r="K362">
        <v>352268</v>
      </c>
      <c r="L362">
        <v>-32456</v>
      </c>
      <c r="M362">
        <v>10.57</v>
      </c>
      <c r="N362">
        <v>4306876</v>
      </c>
      <c r="O362">
        <v>21661450</v>
      </c>
      <c r="P362" s="2">
        <v>19.882676367463858</v>
      </c>
      <c r="Q362" s="4">
        <v>22.896152650000001</v>
      </c>
    </row>
    <row r="363" spans="1:17" x14ac:dyDescent="0.4">
      <c r="A363">
        <v>20210810</v>
      </c>
      <c r="B363" s="1">
        <v>0.875</v>
      </c>
      <c r="C363">
        <v>170877</v>
      </c>
      <c r="D363">
        <v>522592</v>
      </c>
      <c r="E363">
        <v>1147780</v>
      </c>
      <c r="F363">
        <v>848219</v>
      </c>
      <c r="G363">
        <v>168435</v>
      </c>
      <c r="H363">
        <v>976280</v>
      </c>
      <c r="I363">
        <v>305140</v>
      </c>
      <c r="J363">
        <v>77641</v>
      </c>
      <c r="K363">
        <v>319845</v>
      </c>
      <c r="L363">
        <v>-41001</v>
      </c>
      <c r="M363">
        <v>9.84</v>
      </c>
      <c r="N363">
        <v>4495808</v>
      </c>
      <c r="O363">
        <v>21497600</v>
      </c>
      <c r="P363" s="2">
        <v>20.913069365882702</v>
      </c>
      <c r="Q363" s="4">
        <v>21.153638399999998</v>
      </c>
    </row>
    <row r="364" spans="1:17" x14ac:dyDescent="0.4">
      <c r="A364">
        <v>20210810</v>
      </c>
      <c r="B364" s="1">
        <v>0.89583333333333337</v>
      </c>
      <c r="C364">
        <v>175103</v>
      </c>
      <c r="D364">
        <v>597784</v>
      </c>
      <c r="E364">
        <v>1290580</v>
      </c>
      <c r="F364">
        <v>567506</v>
      </c>
      <c r="G364">
        <v>173487</v>
      </c>
      <c r="H364">
        <v>745108</v>
      </c>
      <c r="I364">
        <v>290444</v>
      </c>
      <c r="J364">
        <v>66768</v>
      </c>
      <c r="K364">
        <v>341803</v>
      </c>
      <c r="L364">
        <v>-34514</v>
      </c>
      <c r="M364">
        <v>9.56</v>
      </c>
      <c r="N364">
        <v>4214069</v>
      </c>
      <c r="O364">
        <v>21459800</v>
      </c>
      <c r="P364" s="2">
        <v>19.637037623836196</v>
      </c>
      <c r="Q364" s="4">
        <v>20.5155688</v>
      </c>
    </row>
    <row r="365" spans="1:17" x14ac:dyDescent="0.4">
      <c r="A365">
        <v>20210810</v>
      </c>
      <c r="B365" s="1">
        <v>0.91666666666666663</v>
      </c>
      <c r="C365">
        <v>170146</v>
      </c>
      <c r="D365">
        <v>533732</v>
      </c>
      <c r="E365">
        <v>1261035</v>
      </c>
      <c r="F365">
        <v>447958</v>
      </c>
      <c r="G365">
        <v>78229</v>
      </c>
      <c r="H365">
        <v>824115</v>
      </c>
      <c r="I365">
        <v>212510</v>
      </c>
      <c r="J365">
        <v>66169</v>
      </c>
      <c r="K365">
        <v>250459</v>
      </c>
      <c r="L365">
        <v>-42327</v>
      </c>
      <c r="M365">
        <v>9.33</v>
      </c>
      <c r="N365">
        <v>3802026</v>
      </c>
      <c r="O365">
        <v>20858900</v>
      </c>
      <c r="P365" s="2">
        <v>18.227356188485491</v>
      </c>
      <c r="Q365" s="4">
        <v>19.4613537</v>
      </c>
    </row>
    <row r="366" spans="1:17" x14ac:dyDescent="0.4">
      <c r="A366">
        <v>20210810</v>
      </c>
      <c r="B366" s="1">
        <v>0.9375</v>
      </c>
      <c r="C366">
        <v>129132</v>
      </c>
      <c r="D366">
        <v>589490</v>
      </c>
      <c r="E366">
        <v>1308823</v>
      </c>
      <c r="F366">
        <v>576645</v>
      </c>
      <c r="G366">
        <v>92073</v>
      </c>
      <c r="H366">
        <v>812645</v>
      </c>
      <c r="I366">
        <v>166964</v>
      </c>
      <c r="J366">
        <v>55148</v>
      </c>
      <c r="K366">
        <v>200674</v>
      </c>
      <c r="L366">
        <v>-35796</v>
      </c>
      <c r="M366">
        <v>8.99</v>
      </c>
      <c r="N366">
        <v>3895798</v>
      </c>
      <c r="O366">
        <v>20690300</v>
      </c>
      <c r="P366" s="2">
        <v>18.829103492941137</v>
      </c>
      <c r="Q366" s="4">
        <v>18.600579700000001</v>
      </c>
    </row>
    <row r="367" spans="1:17" x14ac:dyDescent="0.4">
      <c r="A367">
        <v>20210810</v>
      </c>
      <c r="B367" s="1">
        <v>0.95833333333333337</v>
      </c>
      <c r="C367">
        <v>133595</v>
      </c>
      <c r="D367">
        <v>569190</v>
      </c>
      <c r="E367">
        <v>1338930</v>
      </c>
      <c r="F367">
        <v>443996</v>
      </c>
      <c r="G367">
        <v>84618</v>
      </c>
      <c r="H367">
        <v>829335</v>
      </c>
      <c r="I367">
        <v>115333</v>
      </c>
      <c r="J367">
        <v>37084</v>
      </c>
      <c r="K367">
        <v>93663</v>
      </c>
      <c r="L367">
        <v>-29829</v>
      </c>
      <c r="M367">
        <v>7.88</v>
      </c>
      <c r="N367">
        <v>3615915</v>
      </c>
      <c r="O367">
        <v>19952250</v>
      </c>
      <c r="P367" s="2">
        <v>18.122843288350939</v>
      </c>
      <c r="Q367" s="4">
        <v>15.722372999999999</v>
      </c>
    </row>
    <row r="368" spans="1:17" x14ac:dyDescent="0.4">
      <c r="A368">
        <v>20210810</v>
      </c>
      <c r="B368" s="1">
        <v>0.97916666666666663</v>
      </c>
      <c r="C368">
        <v>130910</v>
      </c>
      <c r="D368">
        <v>533822</v>
      </c>
      <c r="E368">
        <v>1301377</v>
      </c>
      <c r="F368">
        <v>419511</v>
      </c>
      <c r="G368">
        <v>98245</v>
      </c>
      <c r="H368">
        <v>724052</v>
      </c>
      <c r="I368">
        <v>56516</v>
      </c>
      <c r="J368">
        <v>33574</v>
      </c>
      <c r="K368">
        <v>112321</v>
      </c>
      <c r="L368">
        <v>-22712</v>
      </c>
      <c r="M368">
        <v>7.42</v>
      </c>
      <c r="N368">
        <v>3387616</v>
      </c>
      <c r="O368">
        <v>18979050</v>
      </c>
      <c r="P368" s="2">
        <v>17.849239029350784</v>
      </c>
      <c r="Q368" s="4">
        <v>14.082455100000001</v>
      </c>
    </row>
    <row r="369" spans="1:17" x14ac:dyDescent="0.4">
      <c r="A369">
        <v>20210811</v>
      </c>
      <c r="B369" s="1">
        <v>0</v>
      </c>
      <c r="C369">
        <v>102437</v>
      </c>
      <c r="D369">
        <v>695442</v>
      </c>
      <c r="E369">
        <v>427504</v>
      </c>
      <c r="F369">
        <v>565440</v>
      </c>
      <c r="G369">
        <v>45911</v>
      </c>
      <c r="H369">
        <v>565744</v>
      </c>
      <c r="I369">
        <v>-26990</v>
      </c>
      <c r="J369">
        <v>9564</v>
      </c>
      <c r="K369">
        <v>187836</v>
      </c>
      <c r="L369">
        <v>-17400</v>
      </c>
      <c r="M369">
        <v>6.96</v>
      </c>
      <c r="N369">
        <v>2555488</v>
      </c>
      <c r="O369">
        <v>18839750</v>
      </c>
      <c r="P369" s="2">
        <v>13.564341352724956</v>
      </c>
      <c r="Q369" s="4">
        <v>13.112466</v>
      </c>
    </row>
    <row r="370" spans="1:17" x14ac:dyDescent="0.4">
      <c r="A370">
        <v>20210811</v>
      </c>
      <c r="B370" s="1">
        <v>2.0833333333333332E-2</v>
      </c>
      <c r="C370">
        <v>129818</v>
      </c>
      <c r="D370">
        <v>538683</v>
      </c>
      <c r="E370">
        <v>508644</v>
      </c>
      <c r="F370">
        <v>508650</v>
      </c>
      <c r="G370">
        <v>62233</v>
      </c>
      <c r="H370">
        <v>568731</v>
      </c>
      <c r="I370">
        <v>-31454</v>
      </c>
      <c r="J370">
        <v>12089</v>
      </c>
      <c r="K370">
        <v>181447</v>
      </c>
      <c r="L370">
        <v>-17988</v>
      </c>
      <c r="M370">
        <v>6.96</v>
      </c>
      <c r="N370">
        <v>2460853</v>
      </c>
      <c r="O370">
        <v>20549700</v>
      </c>
      <c r="P370" s="2">
        <v>11.975128590685022</v>
      </c>
      <c r="Q370" s="4">
        <v>14.3025912</v>
      </c>
    </row>
    <row r="371" spans="1:17" x14ac:dyDescent="0.4">
      <c r="A371">
        <v>20210811</v>
      </c>
      <c r="B371" s="1">
        <v>4.1666666666666664E-2</v>
      </c>
      <c r="C371">
        <v>100524</v>
      </c>
      <c r="D371">
        <v>545177</v>
      </c>
      <c r="E371">
        <v>448525</v>
      </c>
      <c r="F371">
        <v>512725</v>
      </c>
      <c r="G371">
        <v>60003</v>
      </c>
      <c r="H371">
        <v>603490</v>
      </c>
      <c r="I371">
        <v>-68714</v>
      </c>
      <c r="J371">
        <v>10024</v>
      </c>
      <c r="K371">
        <v>142045</v>
      </c>
      <c r="L371">
        <v>-17451</v>
      </c>
      <c r="M371">
        <v>6.99</v>
      </c>
      <c r="N371">
        <v>2336348</v>
      </c>
      <c r="O371">
        <v>20988200</v>
      </c>
      <c r="P371" s="2">
        <v>11.131721634061044</v>
      </c>
      <c r="Q371" s="4">
        <v>14.6707518</v>
      </c>
    </row>
    <row r="372" spans="1:17" x14ac:dyDescent="0.4">
      <c r="A372">
        <v>20210811</v>
      </c>
      <c r="B372" s="1">
        <v>6.25E-2</v>
      </c>
      <c r="C372">
        <v>80297</v>
      </c>
      <c r="D372">
        <v>487305</v>
      </c>
      <c r="E372">
        <v>588229</v>
      </c>
      <c r="F372">
        <v>402492</v>
      </c>
      <c r="G372">
        <v>90410</v>
      </c>
      <c r="H372">
        <v>320242</v>
      </c>
      <c r="I372">
        <v>-89589</v>
      </c>
      <c r="J372">
        <v>10256</v>
      </c>
      <c r="K372">
        <v>122534</v>
      </c>
      <c r="L372">
        <v>-19951</v>
      </c>
      <c r="M372">
        <v>7.02</v>
      </c>
      <c r="N372">
        <v>1992225</v>
      </c>
      <c r="O372">
        <v>21114650</v>
      </c>
      <c r="P372" s="2">
        <v>9.4352736133442896</v>
      </c>
      <c r="Q372" s="4">
        <v>14.822484299999999</v>
      </c>
    </row>
    <row r="373" spans="1:17" x14ac:dyDescent="0.4">
      <c r="A373">
        <v>20210811</v>
      </c>
      <c r="B373" s="1">
        <v>8.3333333333333329E-2</v>
      </c>
      <c r="C373">
        <v>70832</v>
      </c>
      <c r="D373">
        <v>449504</v>
      </c>
      <c r="E373">
        <v>528001</v>
      </c>
      <c r="F373">
        <v>436926</v>
      </c>
      <c r="G373">
        <v>89768</v>
      </c>
      <c r="H373">
        <v>377349</v>
      </c>
      <c r="I373">
        <v>-25754</v>
      </c>
      <c r="J373">
        <v>24918</v>
      </c>
      <c r="K373">
        <v>174533</v>
      </c>
      <c r="L373">
        <v>-14357</v>
      </c>
      <c r="M373">
        <v>7.03</v>
      </c>
      <c r="N373">
        <v>2111720</v>
      </c>
      <c r="O373">
        <v>21279300</v>
      </c>
      <c r="P373" s="2">
        <v>9.9238226821371001</v>
      </c>
      <c r="Q373" s="4">
        <v>14.959347899999999</v>
      </c>
    </row>
    <row r="374" spans="1:17" x14ac:dyDescent="0.4">
      <c r="A374">
        <v>20210811</v>
      </c>
      <c r="B374" s="1">
        <v>0.10416666666666667</v>
      </c>
      <c r="C374">
        <v>103957</v>
      </c>
      <c r="D374">
        <v>469419</v>
      </c>
      <c r="E374">
        <v>545725</v>
      </c>
      <c r="F374">
        <v>403618</v>
      </c>
      <c r="G374">
        <v>94831</v>
      </c>
      <c r="H374">
        <v>301210</v>
      </c>
      <c r="I374">
        <v>-20989</v>
      </c>
      <c r="J374">
        <v>16095</v>
      </c>
      <c r="K374">
        <v>205747</v>
      </c>
      <c r="L374">
        <v>-23656</v>
      </c>
      <c r="M374">
        <v>7.09</v>
      </c>
      <c r="N374">
        <v>2095957</v>
      </c>
      <c r="O374">
        <v>21187400</v>
      </c>
      <c r="P374" s="2">
        <v>9.8924691089987444</v>
      </c>
      <c r="Q374" s="4">
        <v>15.021866599999999</v>
      </c>
    </row>
    <row r="375" spans="1:17" x14ac:dyDescent="0.4">
      <c r="A375">
        <v>20210811</v>
      </c>
      <c r="B375" s="1">
        <v>0.125</v>
      </c>
      <c r="C375">
        <v>67152</v>
      </c>
      <c r="D375">
        <v>431645</v>
      </c>
      <c r="E375">
        <v>284010</v>
      </c>
      <c r="F375">
        <v>283121</v>
      </c>
      <c r="G375">
        <v>58800</v>
      </c>
      <c r="H375">
        <v>396319</v>
      </c>
      <c r="I375">
        <v>33257</v>
      </c>
      <c r="J375">
        <v>29667</v>
      </c>
      <c r="K375">
        <v>205337</v>
      </c>
      <c r="L375">
        <v>-19990</v>
      </c>
      <c r="M375">
        <v>7.08</v>
      </c>
      <c r="N375">
        <v>1769318</v>
      </c>
      <c r="O375">
        <v>21155300</v>
      </c>
      <c r="P375" s="2">
        <v>8.3634739285190953</v>
      </c>
      <c r="Q375" s="4">
        <v>14.977952399999999</v>
      </c>
    </row>
    <row r="376" spans="1:17" x14ac:dyDescent="0.4">
      <c r="A376">
        <v>20210811</v>
      </c>
      <c r="B376" s="1">
        <v>0.14583333333333334</v>
      </c>
      <c r="C376">
        <v>77649</v>
      </c>
      <c r="D376">
        <v>424499</v>
      </c>
      <c r="E376">
        <v>290970</v>
      </c>
      <c r="F376">
        <v>286115</v>
      </c>
      <c r="G376">
        <v>37505</v>
      </c>
      <c r="H376">
        <v>315814</v>
      </c>
      <c r="I376">
        <v>10912</v>
      </c>
      <c r="J376">
        <v>34649</v>
      </c>
      <c r="K376">
        <v>239392</v>
      </c>
      <c r="L376">
        <v>-20196</v>
      </c>
      <c r="M376">
        <v>7.08</v>
      </c>
      <c r="N376">
        <v>1697309</v>
      </c>
      <c r="O376">
        <v>21138950</v>
      </c>
      <c r="P376" s="2">
        <v>8.0292966301542883</v>
      </c>
      <c r="Q376" s="4">
        <v>14.9663766</v>
      </c>
    </row>
    <row r="377" spans="1:17" x14ac:dyDescent="0.4">
      <c r="A377">
        <v>20210811</v>
      </c>
      <c r="B377" s="1">
        <v>0.16666666666666666</v>
      </c>
      <c r="C377">
        <v>64532</v>
      </c>
      <c r="D377">
        <v>421384</v>
      </c>
      <c r="E377">
        <v>353036</v>
      </c>
      <c r="F377">
        <v>199765</v>
      </c>
      <c r="G377">
        <v>43709</v>
      </c>
      <c r="H377">
        <v>347921</v>
      </c>
      <c r="I377">
        <v>73367</v>
      </c>
      <c r="J377">
        <v>18537</v>
      </c>
      <c r="K377">
        <v>265153</v>
      </c>
      <c r="L377">
        <v>-19155</v>
      </c>
      <c r="M377">
        <v>7.14</v>
      </c>
      <c r="N377">
        <v>1768249</v>
      </c>
      <c r="O377">
        <v>21213200</v>
      </c>
      <c r="P377" s="2">
        <v>8.335607074840194</v>
      </c>
      <c r="Q377" s="4">
        <v>15.146224800000001</v>
      </c>
    </row>
    <row r="378" spans="1:17" x14ac:dyDescent="0.4">
      <c r="A378">
        <v>20210811</v>
      </c>
      <c r="B378" s="1">
        <v>0.1875</v>
      </c>
      <c r="C378">
        <v>87565</v>
      </c>
      <c r="D378">
        <v>355657</v>
      </c>
      <c r="E378">
        <v>299948</v>
      </c>
      <c r="F378">
        <v>335517</v>
      </c>
      <c r="G378">
        <v>8574</v>
      </c>
      <c r="H378">
        <v>316226</v>
      </c>
      <c r="I378">
        <v>76840</v>
      </c>
      <c r="J378">
        <v>27392</v>
      </c>
      <c r="K378">
        <v>226214</v>
      </c>
      <c r="L378">
        <v>-26576</v>
      </c>
      <c r="M378">
        <v>7.15</v>
      </c>
      <c r="N378">
        <v>1707357</v>
      </c>
      <c r="O378">
        <v>21172600</v>
      </c>
      <c r="P378" s="2">
        <v>8.0639930854028314</v>
      </c>
      <c r="Q378" s="4">
        <v>15.138408999999999</v>
      </c>
    </row>
    <row r="379" spans="1:17" x14ac:dyDescent="0.4">
      <c r="A379">
        <v>20210811</v>
      </c>
      <c r="B379" s="1">
        <v>0.20833333333333334</v>
      </c>
      <c r="C379">
        <v>50284</v>
      </c>
      <c r="D379">
        <v>171080</v>
      </c>
      <c r="E379">
        <v>450282</v>
      </c>
      <c r="F379">
        <v>242757</v>
      </c>
      <c r="G379">
        <v>25627</v>
      </c>
      <c r="H379">
        <v>423269</v>
      </c>
      <c r="I379">
        <v>54574</v>
      </c>
      <c r="J379">
        <v>41289</v>
      </c>
      <c r="K379">
        <v>188914</v>
      </c>
      <c r="L379">
        <v>-25289</v>
      </c>
      <c r="M379">
        <v>7.19</v>
      </c>
      <c r="N379">
        <v>1622787</v>
      </c>
      <c r="O379">
        <v>21169700</v>
      </c>
      <c r="P379" s="2">
        <v>7.6656116997406674</v>
      </c>
      <c r="Q379" s="4">
        <v>15.2210143</v>
      </c>
    </row>
    <row r="380" spans="1:17" x14ac:dyDescent="0.4">
      <c r="A380">
        <v>20210811</v>
      </c>
      <c r="B380" s="1">
        <v>0.22916666666666666</v>
      </c>
      <c r="C380">
        <v>62002</v>
      </c>
      <c r="D380">
        <v>190603</v>
      </c>
      <c r="E380">
        <v>402558</v>
      </c>
      <c r="F380">
        <v>334831</v>
      </c>
      <c r="G380">
        <v>-7320</v>
      </c>
      <c r="H380">
        <v>534772</v>
      </c>
      <c r="I380">
        <v>178883</v>
      </c>
      <c r="J380">
        <v>57724</v>
      </c>
      <c r="K380">
        <v>272114</v>
      </c>
      <c r="L380">
        <v>-20299</v>
      </c>
      <c r="M380">
        <v>7.14</v>
      </c>
      <c r="N380">
        <v>2005868</v>
      </c>
      <c r="O380">
        <v>21446550</v>
      </c>
      <c r="P380" s="2">
        <v>9.3528702751724637</v>
      </c>
      <c r="Q380" s="4">
        <v>15.3128367</v>
      </c>
    </row>
    <row r="381" spans="1:17" x14ac:dyDescent="0.4">
      <c r="A381">
        <v>20210811</v>
      </c>
      <c r="B381" s="1">
        <v>0.25</v>
      </c>
      <c r="C381">
        <v>106548</v>
      </c>
      <c r="D381">
        <v>190999</v>
      </c>
      <c r="E381">
        <v>687257</v>
      </c>
      <c r="F381">
        <v>310127</v>
      </c>
      <c r="G381">
        <v>14844</v>
      </c>
      <c r="H381">
        <v>703887</v>
      </c>
      <c r="I381">
        <v>187062</v>
      </c>
      <c r="J381">
        <v>83457</v>
      </c>
      <c r="K381">
        <v>288935</v>
      </c>
      <c r="L381">
        <v>-14062</v>
      </c>
      <c r="M381">
        <v>7.08</v>
      </c>
      <c r="N381">
        <v>2559054</v>
      </c>
      <c r="O381">
        <v>22066050</v>
      </c>
      <c r="P381" s="2">
        <v>11.597245542360323</v>
      </c>
      <c r="Q381" s="4">
        <v>15.6227634</v>
      </c>
    </row>
    <row r="382" spans="1:17" x14ac:dyDescent="0.4">
      <c r="A382">
        <v>20210811</v>
      </c>
      <c r="B382" s="1">
        <v>0.27083333333333331</v>
      </c>
      <c r="C382">
        <v>145176</v>
      </c>
      <c r="D382">
        <v>320234</v>
      </c>
      <c r="E382">
        <v>820574</v>
      </c>
      <c r="F382">
        <v>383698</v>
      </c>
      <c r="G382">
        <v>23584</v>
      </c>
      <c r="H382">
        <v>780965</v>
      </c>
      <c r="I382">
        <v>155106</v>
      </c>
      <c r="J382">
        <v>106195</v>
      </c>
      <c r="K382">
        <v>317275</v>
      </c>
      <c r="L382">
        <v>-14391</v>
      </c>
      <c r="M382">
        <v>7.08</v>
      </c>
      <c r="N382">
        <v>3038416</v>
      </c>
      <c r="O382">
        <v>22506800</v>
      </c>
      <c r="P382" s="2">
        <v>13.499991113796719</v>
      </c>
      <c r="Q382" s="4">
        <v>15.9348144</v>
      </c>
    </row>
    <row r="383" spans="1:17" x14ac:dyDescent="0.4">
      <c r="A383">
        <v>20210811</v>
      </c>
      <c r="B383" s="1">
        <v>0.29166666666666669</v>
      </c>
      <c r="C383">
        <v>189485</v>
      </c>
      <c r="D383">
        <v>343134</v>
      </c>
      <c r="E383">
        <v>1164260</v>
      </c>
      <c r="F383">
        <v>682122</v>
      </c>
      <c r="G383">
        <v>59041</v>
      </c>
      <c r="H383">
        <v>922435</v>
      </c>
      <c r="I383">
        <v>195833</v>
      </c>
      <c r="J383">
        <v>99242</v>
      </c>
      <c r="K383">
        <v>278752</v>
      </c>
      <c r="L383">
        <v>-8740</v>
      </c>
      <c r="M383">
        <v>7.15</v>
      </c>
      <c r="N383">
        <v>3925564</v>
      </c>
      <c r="O383">
        <v>23338600</v>
      </c>
      <c r="P383" s="2">
        <v>16.820049188897364</v>
      </c>
      <c r="Q383" s="4">
        <v>16.687099</v>
      </c>
    </row>
    <row r="384" spans="1:17" x14ac:dyDescent="0.4">
      <c r="A384">
        <v>20210811</v>
      </c>
      <c r="B384" s="1">
        <v>0.3125</v>
      </c>
      <c r="C384">
        <v>271007</v>
      </c>
      <c r="D384">
        <v>396327</v>
      </c>
      <c r="E384">
        <v>1155901</v>
      </c>
      <c r="F384">
        <v>724770</v>
      </c>
      <c r="G384">
        <v>73486</v>
      </c>
      <c r="H384">
        <v>947896</v>
      </c>
      <c r="I384">
        <v>350030</v>
      </c>
      <c r="J384">
        <v>175905</v>
      </c>
      <c r="K384">
        <v>303066</v>
      </c>
      <c r="L384">
        <v>-9607</v>
      </c>
      <c r="M384">
        <v>7.08</v>
      </c>
      <c r="N384">
        <v>4388781</v>
      </c>
      <c r="O384">
        <v>23629800</v>
      </c>
      <c r="P384" s="2">
        <v>18.57307721605769</v>
      </c>
      <c r="Q384" s="4">
        <v>16.7298984</v>
      </c>
    </row>
    <row r="385" spans="1:17" x14ac:dyDescent="0.4">
      <c r="A385">
        <v>20210811</v>
      </c>
      <c r="B385" s="1">
        <v>0.33333333333333331</v>
      </c>
      <c r="C385">
        <v>363599</v>
      </c>
      <c r="D385">
        <v>329649</v>
      </c>
      <c r="E385">
        <v>1406448</v>
      </c>
      <c r="F385">
        <v>746894</v>
      </c>
      <c r="G385">
        <v>94755</v>
      </c>
      <c r="H385">
        <v>1090332</v>
      </c>
      <c r="I385">
        <v>-45081</v>
      </c>
      <c r="J385">
        <v>185290</v>
      </c>
      <c r="K385">
        <v>458214</v>
      </c>
      <c r="L385">
        <v>10777</v>
      </c>
      <c r="M385">
        <v>7.17</v>
      </c>
      <c r="N385">
        <v>4640877</v>
      </c>
      <c r="O385">
        <v>24858350</v>
      </c>
      <c r="P385" s="2">
        <v>18.669288186866787</v>
      </c>
      <c r="Q385" s="4">
        <v>17.823436950000001</v>
      </c>
    </row>
    <row r="386" spans="1:17" x14ac:dyDescent="0.4">
      <c r="A386">
        <v>20210811</v>
      </c>
      <c r="B386" s="1">
        <v>0.35416666666666669</v>
      </c>
      <c r="C386">
        <v>425561</v>
      </c>
      <c r="D386">
        <v>303747</v>
      </c>
      <c r="E386">
        <v>1517475</v>
      </c>
      <c r="F386">
        <v>799650</v>
      </c>
      <c r="G386">
        <v>149078</v>
      </c>
      <c r="H386">
        <v>896975</v>
      </c>
      <c r="I386">
        <v>-123620</v>
      </c>
      <c r="J386">
        <v>166563</v>
      </c>
      <c r="K386">
        <v>444438</v>
      </c>
      <c r="L386">
        <v>-2051</v>
      </c>
      <c r="M386">
        <v>7.44</v>
      </c>
      <c r="N386">
        <v>4577816</v>
      </c>
      <c r="O386">
        <v>25113050</v>
      </c>
      <c r="P386" s="2">
        <v>18.22883321619636</v>
      </c>
      <c r="Q386" s="4">
        <v>18.684109200000002</v>
      </c>
    </row>
    <row r="387" spans="1:17" x14ac:dyDescent="0.4">
      <c r="A387">
        <v>20210811</v>
      </c>
      <c r="B387" s="1">
        <v>0.375</v>
      </c>
      <c r="C387">
        <v>494702</v>
      </c>
      <c r="D387">
        <v>342112</v>
      </c>
      <c r="E387">
        <v>1683598</v>
      </c>
      <c r="F387">
        <v>837533</v>
      </c>
      <c r="G387">
        <v>167069</v>
      </c>
      <c r="H387">
        <v>927749</v>
      </c>
      <c r="I387">
        <v>-71404</v>
      </c>
      <c r="J387">
        <v>143101</v>
      </c>
      <c r="K387">
        <v>62963</v>
      </c>
      <c r="L387">
        <v>-24404</v>
      </c>
      <c r="M387">
        <v>8.86</v>
      </c>
      <c r="N387">
        <v>4563019</v>
      </c>
      <c r="O387">
        <v>25470900</v>
      </c>
      <c r="P387" s="2">
        <v>17.914635917851353</v>
      </c>
      <c r="Q387" s="4">
        <v>22.567217400000001</v>
      </c>
    </row>
    <row r="388" spans="1:17" x14ac:dyDescent="0.4">
      <c r="A388">
        <v>20210811</v>
      </c>
      <c r="B388" s="1">
        <v>0.39583333333333331</v>
      </c>
      <c r="C388">
        <v>499644</v>
      </c>
      <c r="D388">
        <v>256343</v>
      </c>
      <c r="E388">
        <v>1366291</v>
      </c>
      <c r="F388">
        <v>1047059</v>
      </c>
      <c r="G388">
        <v>185882</v>
      </c>
      <c r="H388">
        <v>913657</v>
      </c>
      <c r="I388">
        <v>-156604</v>
      </c>
      <c r="J388">
        <v>114659</v>
      </c>
      <c r="K388">
        <v>-4995</v>
      </c>
      <c r="L388">
        <v>-31883</v>
      </c>
      <c r="M388">
        <v>8.86</v>
      </c>
      <c r="N388">
        <v>4190053</v>
      </c>
      <c r="O388">
        <v>25820350</v>
      </c>
      <c r="P388" s="2">
        <v>16.227715735844015</v>
      </c>
      <c r="Q388" s="4">
        <v>22.876830099999999</v>
      </c>
    </row>
    <row r="389" spans="1:17" x14ac:dyDescent="0.4">
      <c r="A389">
        <v>20210811</v>
      </c>
      <c r="B389" s="1">
        <v>0.41666666666666669</v>
      </c>
      <c r="C389">
        <v>571508</v>
      </c>
      <c r="D389">
        <v>232804</v>
      </c>
      <c r="E389">
        <v>1421892</v>
      </c>
      <c r="F389">
        <v>850335</v>
      </c>
      <c r="G389">
        <v>217909</v>
      </c>
      <c r="H389">
        <v>923148</v>
      </c>
      <c r="I389">
        <v>-118115</v>
      </c>
      <c r="J389">
        <v>78664</v>
      </c>
      <c r="K389">
        <v>94605</v>
      </c>
      <c r="L389">
        <v>-32363</v>
      </c>
      <c r="M389">
        <v>8.99</v>
      </c>
      <c r="N389">
        <v>4240387</v>
      </c>
      <c r="O389">
        <v>26273450</v>
      </c>
      <c r="P389" s="2">
        <v>16.139437340737512</v>
      </c>
      <c r="Q389" s="4">
        <v>23.619831550000001</v>
      </c>
    </row>
    <row r="390" spans="1:17" x14ac:dyDescent="0.4">
      <c r="A390">
        <v>20210811</v>
      </c>
      <c r="B390" s="1">
        <v>0.4375</v>
      </c>
      <c r="C390">
        <v>525600</v>
      </c>
      <c r="D390">
        <v>229894</v>
      </c>
      <c r="E390">
        <v>1597593</v>
      </c>
      <c r="F390">
        <v>979374</v>
      </c>
      <c r="G390">
        <v>240233</v>
      </c>
      <c r="H390">
        <v>804337</v>
      </c>
      <c r="I390">
        <v>-65327</v>
      </c>
      <c r="J390">
        <v>98164</v>
      </c>
      <c r="K390">
        <v>117941</v>
      </c>
      <c r="L390">
        <v>-19871</v>
      </c>
      <c r="M390">
        <v>9.19</v>
      </c>
      <c r="N390">
        <v>4507938</v>
      </c>
      <c r="O390">
        <v>26398800</v>
      </c>
      <c r="P390" s="2">
        <v>17.076298922678305</v>
      </c>
      <c r="Q390" s="4">
        <v>24.2604972</v>
      </c>
    </row>
    <row r="391" spans="1:17" x14ac:dyDescent="0.4">
      <c r="A391">
        <v>20210811</v>
      </c>
      <c r="B391" s="1">
        <v>0.45833333333333331</v>
      </c>
      <c r="C391">
        <v>543842</v>
      </c>
      <c r="D391">
        <v>261346</v>
      </c>
      <c r="E391">
        <v>1813562</v>
      </c>
      <c r="F391">
        <v>751549</v>
      </c>
      <c r="G391">
        <v>204116</v>
      </c>
      <c r="H391">
        <v>755228</v>
      </c>
      <c r="I391">
        <v>12427</v>
      </c>
      <c r="J391">
        <v>72986</v>
      </c>
      <c r="K391">
        <v>285687</v>
      </c>
      <c r="L391">
        <v>-9025</v>
      </c>
      <c r="M391">
        <v>9.6</v>
      </c>
      <c r="N391">
        <v>4691718</v>
      </c>
      <c r="O391">
        <v>26450850</v>
      </c>
      <c r="P391" s="2">
        <v>17.737494258218543</v>
      </c>
      <c r="Q391" s="4">
        <v>25.392816</v>
      </c>
    </row>
    <row r="392" spans="1:17" x14ac:dyDescent="0.4">
      <c r="A392">
        <v>20210811</v>
      </c>
      <c r="B392" s="1">
        <v>0.47916666666666669</v>
      </c>
      <c r="C392">
        <v>545170</v>
      </c>
      <c r="D392">
        <v>293531</v>
      </c>
      <c r="E392">
        <v>1212189</v>
      </c>
      <c r="F392">
        <v>608630</v>
      </c>
      <c r="G392">
        <v>190071</v>
      </c>
      <c r="H392">
        <v>728412</v>
      </c>
      <c r="I392">
        <v>44803</v>
      </c>
      <c r="J392">
        <v>37024</v>
      </c>
      <c r="K392">
        <v>405127</v>
      </c>
      <c r="L392">
        <v>-18477</v>
      </c>
      <c r="M392">
        <v>9.84</v>
      </c>
      <c r="N392">
        <v>4046480</v>
      </c>
      <c r="O392">
        <v>26292000</v>
      </c>
      <c r="P392" s="2">
        <v>15.390537045489122</v>
      </c>
      <c r="Q392" s="4">
        <v>25.871327999999998</v>
      </c>
    </row>
    <row r="393" spans="1:17" x14ac:dyDescent="0.4">
      <c r="A393">
        <v>20210811</v>
      </c>
      <c r="B393" s="1">
        <v>0.5</v>
      </c>
      <c r="C393">
        <v>554333</v>
      </c>
      <c r="D393">
        <v>305568</v>
      </c>
      <c r="E393">
        <v>882435</v>
      </c>
      <c r="F393">
        <v>610578</v>
      </c>
      <c r="G393">
        <v>213556</v>
      </c>
      <c r="H393">
        <v>814173</v>
      </c>
      <c r="I393">
        <v>-55960</v>
      </c>
      <c r="J393">
        <v>138372</v>
      </c>
      <c r="K393">
        <v>621861</v>
      </c>
      <c r="L393">
        <v>-28521</v>
      </c>
      <c r="M393">
        <v>9.9</v>
      </c>
      <c r="N393">
        <v>4056395</v>
      </c>
      <c r="O393">
        <v>26021150</v>
      </c>
      <c r="P393" s="2">
        <v>15.588838310374445</v>
      </c>
      <c r="Q393" s="4">
        <v>25.760938500000002</v>
      </c>
    </row>
    <row r="394" spans="1:17" x14ac:dyDescent="0.4">
      <c r="A394">
        <v>20210811</v>
      </c>
      <c r="B394" s="1">
        <v>0.52083333333333337</v>
      </c>
      <c r="C394">
        <v>578386</v>
      </c>
      <c r="D394">
        <v>401459</v>
      </c>
      <c r="E394">
        <v>1044194</v>
      </c>
      <c r="F394">
        <v>343003</v>
      </c>
      <c r="G394">
        <v>186880</v>
      </c>
      <c r="H394">
        <v>842848</v>
      </c>
      <c r="I394">
        <v>-265436</v>
      </c>
      <c r="J394">
        <v>93488</v>
      </c>
      <c r="K394">
        <v>173780</v>
      </c>
      <c r="L394">
        <v>-24134</v>
      </c>
      <c r="M394">
        <v>9.83</v>
      </c>
      <c r="N394">
        <v>3374468</v>
      </c>
      <c r="O394">
        <v>25928200</v>
      </c>
      <c r="P394" s="2">
        <v>13.014663570938206</v>
      </c>
      <c r="Q394" s="4">
        <v>25.4874206</v>
      </c>
    </row>
    <row r="395" spans="1:17" x14ac:dyDescent="0.4">
      <c r="A395">
        <v>20210811</v>
      </c>
      <c r="B395" s="1">
        <v>0.54166666666666663</v>
      </c>
      <c r="C395">
        <v>563000</v>
      </c>
      <c r="D395">
        <v>35667</v>
      </c>
      <c r="E395">
        <v>1274770</v>
      </c>
      <c r="F395">
        <v>171699</v>
      </c>
      <c r="G395">
        <v>66776</v>
      </c>
      <c r="H395">
        <v>277215</v>
      </c>
      <c r="I395">
        <v>-252855</v>
      </c>
      <c r="J395">
        <v>52622</v>
      </c>
      <c r="K395">
        <v>227615</v>
      </c>
      <c r="L395">
        <v>-21655</v>
      </c>
      <c r="M395">
        <v>10.27</v>
      </c>
      <c r="N395">
        <v>2394854</v>
      </c>
      <c r="O395">
        <v>25483800</v>
      </c>
      <c r="P395" s="2">
        <v>9.3975545248353853</v>
      </c>
      <c r="Q395" s="4">
        <v>26.171862600000001</v>
      </c>
    </row>
    <row r="396" spans="1:17" x14ac:dyDescent="0.4">
      <c r="A396">
        <v>20210811</v>
      </c>
      <c r="B396" s="1">
        <v>0.5625</v>
      </c>
      <c r="C396">
        <v>567999</v>
      </c>
      <c r="D396">
        <v>190081</v>
      </c>
      <c r="E396">
        <v>816226</v>
      </c>
      <c r="F396">
        <v>200238</v>
      </c>
      <c r="G396">
        <v>131749</v>
      </c>
      <c r="H396">
        <v>301634</v>
      </c>
      <c r="I396">
        <v>-197003</v>
      </c>
      <c r="J396">
        <v>-85774</v>
      </c>
      <c r="K396">
        <v>274453</v>
      </c>
      <c r="L396">
        <v>-24330</v>
      </c>
      <c r="M396">
        <v>10.27</v>
      </c>
      <c r="N396">
        <v>2175273</v>
      </c>
      <c r="O396">
        <v>25124800</v>
      </c>
      <c r="P396" s="2">
        <v>8.6578719034579379</v>
      </c>
      <c r="Q396" s="4">
        <v>25.8031696</v>
      </c>
    </row>
    <row r="397" spans="1:17" x14ac:dyDescent="0.4">
      <c r="A397">
        <v>20210811</v>
      </c>
      <c r="B397" s="1">
        <v>0.58333333333333337</v>
      </c>
      <c r="C397">
        <v>479198</v>
      </c>
      <c r="D397">
        <v>214854</v>
      </c>
      <c r="E397">
        <v>1230744</v>
      </c>
      <c r="F397">
        <v>393306</v>
      </c>
      <c r="G397">
        <v>94948</v>
      </c>
      <c r="H397">
        <v>327628</v>
      </c>
      <c r="I397">
        <v>-167998</v>
      </c>
      <c r="J397">
        <v>-127948</v>
      </c>
      <c r="K397">
        <v>334310</v>
      </c>
      <c r="L397">
        <v>-25529</v>
      </c>
      <c r="M397">
        <v>11.89</v>
      </c>
      <c r="N397">
        <v>2753513</v>
      </c>
      <c r="O397">
        <v>24903150</v>
      </c>
      <c r="P397" s="2">
        <v>11.056886377827704</v>
      </c>
      <c r="Q397" s="4">
        <v>29.609845350000001</v>
      </c>
    </row>
    <row r="398" spans="1:17" x14ac:dyDescent="0.4">
      <c r="A398">
        <v>20210811</v>
      </c>
      <c r="B398" s="1">
        <v>0.60416666666666663</v>
      </c>
      <c r="C398">
        <v>499070</v>
      </c>
      <c r="D398">
        <v>212293</v>
      </c>
      <c r="E398">
        <v>1716755</v>
      </c>
      <c r="F398">
        <v>387820</v>
      </c>
      <c r="G398">
        <v>62138</v>
      </c>
      <c r="H398">
        <v>689798</v>
      </c>
      <c r="I398">
        <v>-378614</v>
      </c>
      <c r="J398">
        <v>-162939</v>
      </c>
      <c r="K398">
        <v>128118</v>
      </c>
      <c r="L398">
        <v>-23932</v>
      </c>
      <c r="M398">
        <v>11.79</v>
      </c>
      <c r="N398">
        <v>3130507</v>
      </c>
      <c r="O398">
        <v>24684600</v>
      </c>
      <c r="P398" s="2">
        <v>12.682024420083778</v>
      </c>
      <c r="Q398" s="4">
        <v>29.1031434</v>
      </c>
    </row>
    <row r="399" spans="1:17" x14ac:dyDescent="0.4">
      <c r="A399">
        <v>20210811</v>
      </c>
      <c r="B399" s="1">
        <v>0.625</v>
      </c>
      <c r="C399">
        <v>369199</v>
      </c>
      <c r="D399">
        <v>167902</v>
      </c>
      <c r="E399">
        <v>1965848</v>
      </c>
      <c r="F399">
        <v>409375</v>
      </c>
      <c r="G399">
        <v>64461</v>
      </c>
      <c r="H399">
        <v>838131</v>
      </c>
      <c r="I399">
        <v>-240053</v>
      </c>
      <c r="J399">
        <v>-112019</v>
      </c>
      <c r="K399">
        <v>78681</v>
      </c>
      <c r="L399">
        <v>-18617</v>
      </c>
      <c r="M399">
        <v>11.71</v>
      </c>
      <c r="N399">
        <v>3522908</v>
      </c>
      <c r="O399">
        <v>24169650</v>
      </c>
      <c r="P399" s="2">
        <v>14.575750993498044</v>
      </c>
      <c r="Q399" s="4">
        <v>28.302660150000001</v>
      </c>
    </row>
    <row r="400" spans="1:17" x14ac:dyDescent="0.4">
      <c r="A400">
        <v>20210811</v>
      </c>
      <c r="B400" s="1">
        <v>0.64583333333333337</v>
      </c>
      <c r="C400">
        <v>393750</v>
      </c>
      <c r="D400">
        <v>229679</v>
      </c>
      <c r="E400">
        <v>2014038</v>
      </c>
      <c r="F400">
        <v>146881</v>
      </c>
      <c r="G400">
        <v>70349</v>
      </c>
      <c r="H400">
        <v>983742</v>
      </c>
      <c r="I400">
        <v>-249776</v>
      </c>
      <c r="J400">
        <v>-50465</v>
      </c>
      <c r="K400">
        <v>165117</v>
      </c>
      <c r="L400">
        <v>-30519</v>
      </c>
      <c r="M400">
        <v>14.87</v>
      </c>
      <c r="N400">
        <v>3672796</v>
      </c>
      <c r="O400">
        <v>23837050</v>
      </c>
      <c r="P400" s="2">
        <v>15.407930092020615</v>
      </c>
      <c r="Q400" s="4">
        <v>35.445693349999999</v>
      </c>
    </row>
    <row r="401" spans="1:17" x14ac:dyDescent="0.4">
      <c r="A401">
        <v>20210811</v>
      </c>
      <c r="B401" s="1">
        <v>0.66666666666666663</v>
      </c>
      <c r="C401">
        <v>292541</v>
      </c>
      <c r="D401">
        <v>366735</v>
      </c>
      <c r="E401">
        <v>1690856</v>
      </c>
      <c r="F401">
        <v>76762</v>
      </c>
      <c r="G401">
        <v>-30299</v>
      </c>
      <c r="H401">
        <v>759745</v>
      </c>
      <c r="I401">
        <v>238522</v>
      </c>
      <c r="J401">
        <v>-32594</v>
      </c>
      <c r="K401">
        <v>183244</v>
      </c>
      <c r="L401">
        <v>-42738</v>
      </c>
      <c r="M401">
        <v>12.08</v>
      </c>
      <c r="N401">
        <v>3502774</v>
      </c>
      <c r="O401">
        <v>24260000</v>
      </c>
      <c r="P401" s="2">
        <v>14.438474855729597</v>
      </c>
      <c r="Q401" s="4">
        <v>29.306080000000001</v>
      </c>
    </row>
    <row r="402" spans="1:17" x14ac:dyDescent="0.4">
      <c r="A402">
        <v>20210811</v>
      </c>
      <c r="B402" s="1">
        <v>0.6875</v>
      </c>
      <c r="C402">
        <v>252126</v>
      </c>
      <c r="D402">
        <v>393326</v>
      </c>
      <c r="E402">
        <v>1805927</v>
      </c>
      <c r="F402">
        <v>192667</v>
      </c>
      <c r="G402">
        <v>89235</v>
      </c>
      <c r="H402">
        <v>711072</v>
      </c>
      <c r="I402">
        <v>271442</v>
      </c>
      <c r="J402">
        <v>-30545</v>
      </c>
      <c r="K402">
        <v>318030</v>
      </c>
      <c r="L402">
        <v>-51380</v>
      </c>
      <c r="M402">
        <v>15</v>
      </c>
      <c r="N402">
        <v>3951900</v>
      </c>
      <c r="O402">
        <v>23896700</v>
      </c>
      <c r="P402" s="2">
        <v>16.53742985433135</v>
      </c>
      <c r="Q402" s="4">
        <v>35.845050000000001</v>
      </c>
    </row>
    <row r="403" spans="1:17" x14ac:dyDescent="0.4">
      <c r="A403">
        <v>20210811</v>
      </c>
      <c r="B403" s="1">
        <v>0.70833333333333337</v>
      </c>
      <c r="C403">
        <v>149300</v>
      </c>
      <c r="D403">
        <v>399058</v>
      </c>
      <c r="E403">
        <v>1787425</v>
      </c>
      <c r="F403">
        <v>289753</v>
      </c>
      <c r="G403">
        <v>94160</v>
      </c>
      <c r="H403">
        <v>518380</v>
      </c>
      <c r="I403">
        <v>266923</v>
      </c>
      <c r="J403">
        <v>4262</v>
      </c>
      <c r="K403">
        <v>433935</v>
      </c>
      <c r="L403">
        <v>-40750</v>
      </c>
      <c r="M403">
        <v>12.08</v>
      </c>
      <c r="N403">
        <v>3902446</v>
      </c>
      <c r="O403">
        <v>23523200</v>
      </c>
      <c r="P403" s="2">
        <v>16.589775200652973</v>
      </c>
      <c r="Q403" s="4">
        <v>28.416025600000001</v>
      </c>
    </row>
    <row r="404" spans="1:17" x14ac:dyDescent="0.4">
      <c r="A404">
        <v>20210811</v>
      </c>
      <c r="B404" s="1">
        <v>0.72916666666666663</v>
      </c>
      <c r="C404">
        <v>110979</v>
      </c>
      <c r="D404">
        <v>336453</v>
      </c>
      <c r="E404">
        <v>1889261</v>
      </c>
      <c r="F404">
        <v>355100</v>
      </c>
      <c r="G404">
        <v>93716</v>
      </c>
      <c r="H404">
        <v>455671</v>
      </c>
      <c r="I404">
        <v>321610</v>
      </c>
      <c r="J404">
        <v>25037</v>
      </c>
      <c r="K404">
        <v>493448</v>
      </c>
      <c r="L404">
        <v>-38725</v>
      </c>
      <c r="M404">
        <v>11.9</v>
      </c>
      <c r="N404">
        <v>4042550</v>
      </c>
      <c r="O404">
        <v>23321650</v>
      </c>
      <c r="P404" s="2">
        <v>17.333893613873805</v>
      </c>
      <c r="Q404" s="4">
        <v>27.7527635</v>
      </c>
    </row>
    <row r="405" spans="1:17" x14ac:dyDescent="0.4">
      <c r="A405">
        <v>20210811</v>
      </c>
      <c r="B405" s="1">
        <v>0.75</v>
      </c>
      <c r="C405">
        <v>99832</v>
      </c>
      <c r="D405">
        <v>308449</v>
      </c>
      <c r="E405">
        <v>1815788</v>
      </c>
      <c r="F405">
        <v>342663</v>
      </c>
      <c r="G405">
        <v>76443</v>
      </c>
      <c r="H405">
        <v>470584</v>
      </c>
      <c r="I405">
        <v>174594</v>
      </c>
      <c r="J405">
        <v>71204</v>
      </c>
      <c r="K405">
        <v>535887</v>
      </c>
      <c r="L405">
        <v>-24813</v>
      </c>
      <c r="M405">
        <v>12.08</v>
      </c>
      <c r="N405">
        <v>3870631</v>
      </c>
      <c r="O405">
        <v>22844850</v>
      </c>
      <c r="P405" s="2">
        <v>16.943122848256827</v>
      </c>
      <c r="Q405" s="4">
        <v>27.5965788</v>
      </c>
    </row>
    <row r="406" spans="1:17" x14ac:dyDescent="0.4">
      <c r="A406">
        <v>20210811</v>
      </c>
      <c r="B406" s="1">
        <v>0.77083333333333337</v>
      </c>
      <c r="C406">
        <v>85827</v>
      </c>
      <c r="D406">
        <v>285936</v>
      </c>
      <c r="E406">
        <v>1705214</v>
      </c>
      <c r="F406">
        <v>262100</v>
      </c>
      <c r="G406">
        <v>82871</v>
      </c>
      <c r="H406">
        <v>569721</v>
      </c>
      <c r="I406">
        <v>225997</v>
      </c>
      <c r="J406">
        <v>119550</v>
      </c>
      <c r="K406">
        <v>568570</v>
      </c>
      <c r="L406">
        <v>-24264</v>
      </c>
      <c r="M406">
        <v>12.1</v>
      </c>
      <c r="N406">
        <v>3881522</v>
      </c>
      <c r="O406">
        <v>22822150</v>
      </c>
      <c r="P406" s="2">
        <v>17.007696470315022</v>
      </c>
      <c r="Q406" s="4">
        <v>27.614801499999999</v>
      </c>
    </row>
    <row r="407" spans="1:17" x14ac:dyDescent="0.4">
      <c r="A407">
        <v>20210811</v>
      </c>
      <c r="B407" s="1">
        <v>0.79166666666666663</v>
      </c>
      <c r="C407">
        <v>45634</v>
      </c>
      <c r="D407">
        <v>335377</v>
      </c>
      <c r="E407">
        <v>1195239</v>
      </c>
      <c r="F407">
        <v>209883</v>
      </c>
      <c r="G407">
        <v>90976</v>
      </c>
      <c r="H407">
        <v>557928</v>
      </c>
      <c r="I407">
        <v>227280</v>
      </c>
      <c r="J407">
        <v>157072</v>
      </c>
      <c r="K407">
        <v>554861</v>
      </c>
      <c r="L407">
        <v>-22597</v>
      </c>
      <c r="M407">
        <v>11.01</v>
      </c>
      <c r="N407">
        <v>3351653</v>
      </c>
      <c r="O407">
        <v>22316950</v>
      </c>
      <c r="P407" s="2">
        <v>15.018418735535098</v>
      </c>
      <c r="Q407" s="4">
        <v>24.570961950000001</v>
      </c>
    </row>
    <row r="408" spans="1:17" x14ac:dyDescent="0.4">
      <c r="A408">
        <v>20210811</v>
      </c>
      <c r="B408" s="1">
        <v>0.8125</v>
      </c>
      <c r="C408">
        <v>106727</v>
      </c>
      <c r="D408">
        <v>351349</v>
      </c>
      <c r="E408">
        <v>1243343</v>
      </c>
      <c r="F408">
        <v>216464</v>
      </c>
      <c r="G408">
        <v>82151</v>
      </c>
      <c r="H408">
        <v>567107</v>
      </c>
      <c r="I408">
        <v>246442</v>
      </c>
      <c r="J408">
        <v>174644</v>
      </c>
      <c r="K408">
        <v>548161</v>
      </c>
      <c r="L408">
        <v>-22253</v>
      </c>
      <c r="M408">
        <v>10.63</v>
      </c>
      <c r="N408">
        <v>3514135</v>
      </c>
      <c r="O408">
        <v>22034000</v>
      </c>
      <c r="P408" s="2">
        <v>15.948692929109558</v>
      </c>
      <c r="Q408" s="4">
        <v>23.422142000000004</v>
      </c>
    </row>
    <row r="409" spans="1:17" x14ac:dyDescent="0.4">
      <c r="A409">
        <v>20210811</v>
      </c>
      <c r="B409" s="1">
        <v>0.83333333333333337</v>
      </c>
      <c r="C409">
        <v>154967</v>
      </c>
      <c r="D409">
        <v>336592</v>
      </c>
      <c r="E409">
        <v>1044390</v>
      </c>
      <c r="F409">
        <v>143384</v>
      </c>
      <c r="G409">
        <v>63088</v>
      </c>
      <c r="H409">
        <v>680621</v>
      </c>
      <c r="I409">
        <v>264256</v>
      </c>
      <c r="J409">
        <v>187483</v>
      </c>
      <c r="K409">
        <v>504796</v>
      </c>
      <c r="L409">
        <v>-32837</v>
      </c>
      <c r="M409">
        <v>13.41</v>
      </c>
      <c r="N409">
        <v>3346740</v>
      </c>
      <c r="O409">
        <v>21601750</v>
      </c>
      <c r="P409" s="2">
        <v>15.492911453933131</v>
      </c>
      <c r="Q409" s="4">
        <v>28.967946749999999</v>
      </c>
    </row>
    <row r="410" spans="1:17" x14ac:dyDescent="0.4">
      <c r="A410">
        <v>20210811</v>
      </c>
      <c r="B410" s="1">
        <v>0.85416666666666663</v>
      </c>
      <c r="C410">
        <v>74432</v>
      </c>
      <c r="D410">
        <v>320591</v>
      </c>
      <c r="E410">
        <v>1067177</v>
      </c>
      <c r="F410">
        <v>45166</v>
      </c>
      <c r="G410">
        <v>51710</v>
      </c>
      <c r="H410">
        <v>656110</v>
      </c>
      <c r="I410">
        <v>242000</v>
      </c>
      <c r="J410">
        <v>181365</v>
      </c>
      <c r="K410">
        <v>435028</v>
      </c>
      <c r="L410">
        <v>-26136</v>
      </c>
      <c r="M410">
        <v>10.38</v>
      </c>
      <c r="N410">
        <v>3047443</v>
      </c>
      <c r="O410">
        <v>21736400</v>
      </c>
      <c r="P410" s="2">
        <v>14.019998711838207</v>
      </c>
      <c r="Q410" s="4">
        <v>22.562383200000003</v>
      </c>
    </row>
    <row r="411" spans="1:17" x14ac:dyDescent="0.4">
      <c r="A411">
        <v>20210811</v>
      </c>
      <c r="B411" s="1">
        <v>0.875</v>
      </c>
      <c r="C411">
        <v>201172</v>
      </c>
      <c r="D411">
        <v>363501</v>
      </c>
      <c r="E411">
        <v>938996</v>
      </c>
      <c r="F411">
        <v>64425</v>
      </c>
      <c r="G411">
        <v>64592</v>
      </c>
      <c r="H411">
        <v>708796</v>
      </c>
      <c r="I411">
        <v>229870</v>
      </c>
      <c r="J411">
        <v>135014</v>
      </c>
      <c r="K411">
        <v>461489</v>
      </c>
      <c r="L411">
        <v>-38316</v>
      </c>
      <c r="M411">
        <v>9.8699999999999992</v>
      </c>
      <c r="N411">
        <v>3129539</v>
      </c>
      <c r="O411">
        <v>21606750</v>
      </c>
      <c r="P411" s="2">
        <v>14.484080206416976</v>
      </c>
      <c r="Q411" s="4">
        <v>21.325862249999997</v>
      </c>
    </row>
    <row r="412" spans="1:17" x14ac:dyDescent="0.4">
      <c r="A412">
        <v>20210811</v>
      </c>
      <c r="B412" s="1">
        <v>0.89583333333333337</v>
      </c>
      <c r="C412">
        <v>90389</v>
      </c>
      <c r="D412">
        <v>307068</v>
      </c>
      <c r="E412">
        <v>1307314</v>
      </c>
      <c r="F412">
        <v>18139</v>
      </c>
      <c r="G412">
        <v>68403</v>
      </c>
      <c r="H412">
        <v>650933</v>
      </c>
      <c r="I412">
        <v>118578</v>
      </c>
      <c r="J412">
        <v>131603</v>
      </c>
      <c r="K412">
        <v>525923</v>
      </c>
      <c r="L412">
        <v>-28338</v>
      </c>
      <c r="M412">
        <v>9.5299999999999994</v>
      </c>
      <c r="N412">
        <v>3190012</v>
      </c>
      <c r="O412">
        <v>21728750</v>
      </c>
      <c r="P412" s="2">
        <v>14.681065408732669</v>
      </c>
      <c r="Q412" s="4">
        <v>20.707498749999999</v>
      </c>
    </row>
    <row r="413" spans="1:17" x14ac:dyDescent="0.4">
      <c r="A413">
        <v>20210811</v>
      </c>
      <c r="B413" s="1">
        <v>0.91666666666666663</v>
      </c>
      <c r="C413">
        <v>167626</v>
      </c>
      <c r="D413">
        <v>289179</v>
      </c>
      <c r="E413">
        <v>872359</v>
      </c>
      <c r="F413">
        <v>-21068</v>
      </c>
      <c r="G413">
        <v>57582</v>
      </c>
      <c r="H413">
        <v>528704</v>
      </c>
      <c r="I413">
        <v>124693</v>
      </c>
      <c r="J413">
        <v>109930</v>
      </c>
      <c r="K413">
        <v>472998</v>
      </c>
      <c r="L413">
        <v>-26077</v>
      </c>
      <c r="M413">
        <v>8.86</v>
      </c>
      <c r="N413">
        <v>2575926</v>
      </c>
      <c r="O413">
        <v>21322400</v>
      </c>
      <c r="P413" s="2">
        <v>12.08084455783589</v>
      </c>
      <c r="Q413" s="4">
        <v>18.891646399999999</v>
      </c>
    </row>
    <row r="414" spans="1:17" x14ac:dyDescent="0.4">
      <c r="A414">
        <v>20210811</v>
      </c>
      <c r="B414" s="1">
        <v>0.9375</v>
      </c>
      <c r="C414">
        <v>138106</v>
      </c>
      <c r="D414">
        <v>285969</v>
      </c>
      <c r="E414">
        <v>824904</v>
      </c>
      <c r="F414">
        <v>27192</v>
      </c>
      <c r="G414">
        <v>48379</v>
      </c>
      <c r="H414">
        <v>537261</v>
      </c>
      <c r="I414">
        <v>43789</v>
      </c>
      <c r="J414">
        <v>113243</v>
      </c>
      <c r="K414">
        <v>448359</v>
      </c>
      <c r="L414">
        <v>-15937</v>
      </c>
      <c r="M414">
        <v>8.86</v>
      </c>
      <c r="N414">
        <v>2451265</v>
      </c>
      <c r="O414">
        <v>21247750</v>
      </c>
      <c r="P414" s="2">
        <v>11.536586226776953</v>
      </c>
      <c r="Q414" s="4">
        <v>18.825506499999999</v>
      </c>
    </row>
    <row r="415" spans="1:17" x14ac:dyDescent="0.4">
      <c r="A415">
        <v>20210811</v>
      </c>
      <c r="B415" s="1">
        <v>0.95833333333333337</v>
      </c>
      <c r="C415">
        <v>135882</v>
      </c>
      <c r="D415">
        <v>234003</v>
      </c>
      <c r="E415">
        <v>679710</v>
      </c>
      <c r="F415">
        <v>42108</v>
      </c>
      <c r="G415">
        <v>21642</v>
      </c>
      <c r="H415">
        <v>587424</v>
      </c>
      <c r="I415">
        <v>831</v>
      </c>
      <c r="J415">
        <v>94804</v>
      </c>
      <c r="K415">
        <v>390601</v>
      </c>
      <c r="L415">
        <v>-27069</v>
      </c>
      <c r="M415">
        <v>7.38</v>
      </c>
      <c r="N415">
        <v>2159936</v>
      </c>
      <c r="O415">
        <v>20383900</v>
      </c>
      <c r="P415" s="2">
        <v>10.596284322430938</v>
      </c>
      <c r="Q415" s="4">
        <v>15.0433182</v>
      </c>
    </row>
    <row r="416" spans="1:17" x14ac:dyDescent="0.4">
      <c r="A416">
        <v>20210811</v>
      </c>
      <c r="B416" s="1">
        <v>0.97916666666666663</v>
      </c>
      <c r="C416">
        <v>159661</v>
      </c>
      <c r="D416">
        <v>188576</v>
      </c>
      <c r="E416">
        <v>924742</v>
      </c>
      <c r="F416">
        <v>-9040</v>
      </c>
      <c r="G416">
        <v>15311</v>
      </c>
      <c r="H416">
        <v>448315</v>
      </c>
      <c r="I416">
        <v>-29046</v>
      </c>
      <c r="J416">
        <v>95935</v>
      </c>
      <c r="K416">
        <v>383406</v>
      </c>
      <c r="L416">
        <v>-19758</v>
      </c>
      <c r="M416">
        <v>7.09</v>
      </c>
      <c r="N416">
        <v>2158102</v>
      </c>
      <c r="O416">
        <v>19212050</v>
      </c>
      <c r="P416" s="2">
        <v>11.233064665145053</v>
      </c>
      <c r="Q416" s="4">
        <v>13.621343449999999</v>
      </c>
    </row>
    <row r="417" spans="1:17" x14ac:dyDescent="0.4">
      <c r="A417">
        <v>20210812</v>
      </c>
      <c r="B417" s="1">
        <v>0</v>
      </c>
      <c r="C417">
        <v>122554</v>
      </c>
      <c r="D417">
        <v>138920</v>
      </c>
      <c r="E417">
        <v>186302</v>
      </c>
      <c r="F417">
        <v>-135545</v>
      </c>
      <c r="G417">
        <v>50869</v>
      </c>
      <c r="H417">
        <v>236300</v>
      </c>
      <c r="I417">
        <v>30031</v>
      </c>
      <c r="J417">
        <v>90274</v>
      </c>
      <c r="K417">
        <v>667753</v>
      </c>
      <c r="L417">
        <v>-23228</v>
      </c>
      <c r="M417">
        <v>6.56</v>
      </c>
      <c r="N417">
        <v>1364230</v>
      </c>
      <c r="O417">
        <v>19127150</v>
      </c>
      <c r="P417" s="2">
        <v>7.132426942853483</v>
      </c>
      <c r="Q417" s="4">
        <v>12.547410399999999</v>
      </c>
    </row>
    <row r="418" spans="1:17" x14ac:dyDescent="0.4">
      <c r="A418">
        <v>20210812</v>
      </c>
      <c r="B418" s="1">
        <v>2.0833333333333332E-2</v>
      </c>
      <c r="C418">
        <v>121335</v>
      </c>
      <c r="D418">
        <v>152615</v>
      </c>
      <c r="E418">
        <v>256239</v>
      </c>
      <c r="F418">
        <v>-129729</v>
      </c>
      <c r="G418">
        <v>44332</v>
      </c>
      <c r="H418">
        <v>314124</v>
      </c>
      <c r="I418">
        <v>-19490</v>
      </c>
      <c r="J418">
        <v>80278</v>
      </c>
      <c r="K418">
        <v>523206</v>
      </c>
      <c r="L418">
        <v>-14523</v>
      </c>
      <c r="M418">
        <v>6.47</v>
      </c>
      <c r="N418">
        <v>1328387</v>
      </c>
      <c r="O418">
        <v>20207050</v>
      </c>
      <c r="P418" s="2">
        <v>6.5738789184962672</v>
      </c>
      <c r="Q418" s="4">
        <v>13.073961349999999</v>
      </c>
    </row>
    <row r="419" spans="1:17" x14ac:dyDescent="0.4">
      <c r="A419">
        <v>20210812</v>
      </c>
      <c r="B419" s="1">
        <v>4.1666666666666664E-2</v>
      </c>
      <c r="C419">
        <v>106819</v>
      </c>
      <c r="D419">
        <v>156054</v>
      </c>
      <c r="E419">
        <v>121264</v>
      </c>
      <c r="F419">
        <v>-165024</v>
      </c>
      <c r="G419">
        <v>33600</v>
      </c>
      <c r="H419">
        <v>340312</v>
      </c>
      <c r="I419">
        <v>-45925</v>
      </c>
      <c r="J419">
        <v>66049</v>
      </c>
      <c r="K419">
        <v>468170</v>
      </c>
      <c r="L419">
        <v>-17851</v>
      </c>
      <c r="M419">
        <v>6.55</v>
      </c>
      <c r="N419">
        <v>1063468</v>
      </c>
      <c r="O419">
        <v>19991950</v>
      </c>
      <c r="P419" s="2">
        <v>5.3194810911391839</v>
      </c>
      <c r="Q419" s="4">
        <v>13.09472725</v>
      </c>
    </row>
    <row r="420" spans="1:17" x14ac:dyDescent="0.4">
      <c r="A420">
        <v>20210812</v>
      </c>
      <c r="B420" s="1">
        <v>6.25E-2</v>
      </c>
      <c r="C420">
        <v>115665</v>
      </c>
      <c r="D420">
        <v>148547</v>
      </c>
      <c r="E420">
        <v>279272</v>
      </c>
      <c r="F420">
        <v>-78495</v>
      </c>
      <c r="G420">
        <v>33917</v>
      </c>
      <c r="H420">
        <v>317833</v>
      </c>
      <c r="I420">
        <v>-33814</v>
      </c>
      <c r="J420">
        <v>56945</v>
      </c>
      <c r="K420">
        <v>419568</v>
      </c>
      <c r="L420">
        <v>-12591</v>
      </c>
      <c r="M420">
        <v>6.59</v>
      </c>
      <c r="N420">
        <v>1246847</v>
      </c>
      <c r="O420">
        <v>19987550</v>
      </c>
      <c r="P420" s="2">
        <v>6.238118228597302</v>
      </c>
      <c r="Q420" s="4">
        <v>13.171795449999999</v>
      </c>
    </row>
    <row r="421" spans="1:17" x14ac:dyDescent="0.4">
      <c r="A421">
        <v>20210812</v>
      </c>
      <c r="B421" s="1">
        <v>8.3333333333333329E-2</v>
      </c>
      <c r="C421">
        <v>135442</v>
      </c>
      <c r="D421">
        <v>194543</v>
      </c>
      <c r="E421">
        <v>164021</v>
      </c>
      <c r="F421">
        <v>-104995</v>
      </c>
      <c r="G421">
        <v>16628</v>
      </c>
      <c r="H421">
        <v>326270</v>
      </c>
      <c r="I421">
        <v>19487</v>
      </c>
      <c r="J421">
        <v>53589</v>
      </c>
      <c r="K421">
        <v>488848</v>
      </c>
      <c r="L421">
        <v>-13991</v>
      </c>
      <c r="M421">
        <v>6.53</v>
      </c>
      <c r="N421">
        <v>1279842</v>
      </c>
      <c r="O421">
        <v>20233700</v>
      </c>
      <c r="P421" s="2">
        <v>6.325298882557318</v>
      </c>
      <c r="Q421" s="4">
        <v>13.2126061</v>
      </c>
    </row>
    <row r="422" spans="1:17" x14ac:dyDescent="0.4">
      <c r="A422">
        <v>20210812</v>
      </c>
      <c r="B422" s="1">
        <v>0.10416666666666667</v>
      </c>
      <c r="C422">
        <v>106560</v>
      </c>
      <c r="D422">
        <v>182152</v>
      </c>
      <c r="E422">
        <v>192487</v>
      </c>
      <c r="F422">
        <v>-82422</v>
      </c>
      <c r="G422">
        <v>31431</v>
      </c>
      <c r="H422">
        <v>314710</v>
      </c>
      <c r="I422">
        <v>-21273</v>
      </c>
      <c r="J422">
        <v>56939</v>
      </c>
      <c r="K422">
        <v>438967</v>
      </c>
      <c r="L422">
        <v>-19774</v>
      </c>
      <c r="M422">
        <v>6.45</v>
      </c>
      <c r="N422">
        <v>1199777</v>
      </c>
      <c r="O422">
        <v>20269100</v>
      </c>
      <c r="P422" s="2">
        <v>5.9192416042152836</v>
      </c>
      <c r="Q422" s="4">
        <v>13.0735695</v>
      </c>
    </row>
    <row r="423" spans="1:17" x14ac:dyDescent="0.4">
      <c r="A423">
        <v>20210812</v>
      </c>
      <c r="B423" s="1">
        <v>0.125</v>
      </c>
      <c r="C423">
        <v>103462</v>
      </c>
      <c r="D423">
        <v>201711</v>
      </c>
      <c r="E423">
        <v>227452</v>
      </c>
      <c r="F423">
        <v>-7325</v>
      </c>
      <c r="G423">
        <v>48968</v>
      </c>
      <c r="H423">
        <v>341689</v>
      </c>
      <c r="I423">
        <v>71650</v>
      </c>
      <c r="J423">
        <v>40887</v>
      </c>
      <c r="K423">
        <v>423941</v>
      </c>
      <c r="L423">
        <v>-20457</v>
      </c>
      <c r="M423">
        <v>6.53</v>
      </c>
      <c r="N423">
        <v>1431978</v>
      </c>
      <c r="O423">
        <v>20281100</v>
      </c>
      <c r="P423" s="2">
        <v>7.060652528708995</v>
      </c>
      <c r="Q423" s="4">
        <v>13.2435583</v>
      </c>
    </row>
    <row r="424" spans="1:17" x14ac:dyDescent="0.4">
      <c r="A424">
        <v>20210812</v>
      </c>
      <c r="B424" s="1">
        <v>0.14583333333333334</v>
      </c>
      <c r="C424">
        <v>77985</v>
      </c>
      <c r="D424">
        <v>203873</v>
      </c>
      <c r="E424">
        <v>261047</v>
      </c>
      <c r="F424">
        <v>-15372</v>
      </c>
      <c r="G424">
        <v>53973</v>
      </c>
      <c r="H424">
        <v>303049</v>
      </c>
      <c r="I424">
        <v>271</v>
      </c>
      <c r="J424">
        <v>40602</v>
      </c>
      <c r="K424">
        <v>399544</v>
      </c>
      <c r="L424">
        <v>-16965</v>
      </c>
      <c r="M424">
        <v>6.53</v>
      </c>
      <c r="N424">
        <v>1308007</v>
      </c>
      <c r="O424">
        <v>20264400</v>
      </c>
      <c r="P424" s="2">
        <v>6.454703815558319</v>
      </c>
      <c r="Q424" s="4">
        <v>13.2326532</v>
      </c>
    </row>
    <row r="425" spans="1:17" x14ac:dyDescent="0.4">
      <c r="A425">
        <v>20210812</v>
      </c>
      <c r="B425" s="1">
        <v>0.16666666666666666</v>
      </c>
      <c r="C425">
        <v>97025</v>
      </c>
      <c r="D425">
        <v>212927</v>
      </c>
      <c r="E425">
        <v>277133</v>
      </c>
      <c r="F425">
        <v>-44313</v>
      </c>
      <c r="G425">
        <v>51225</v>
      </c>
      <c r="H425">
        <v>340274</v>
      </c>
      <c r="I425">
        <v>73475</v>
      </c>
      <c r="J425">
        <v>47967</v>
      </c>
      <c r="K425">
        <v>363024</v>
      </c>
      <c r="L425">
        <v>-18279</v>
      </c>
      <c r="M425">
        <v>6.62</v>
      </c>
      <c r="N425">
        <v>1400458</v>
      </c>
      <c r="O425">
        <v>20269950</v>
      </c>
      <c r="P425" s="2">
        <v>6.9090352960910115</v>
      </c>
      <c r="Q425" s="4">
        <v>13.4187069</v>
      </c>
    </row>
    <row r="426" spans="1:17" x14ac:dyDescent="0.4">
      <c r="A426">
        <v>20210812</v>
      </c>
      <c r="B426" s="1">
        <v>0.1875</v>
      </c>
      <c r="C426">
        <v>73270</v>
      </c>
      <c r="D426">
        <v>243890</v>
      </c>
      <c r="E426">
        <v>185618</v>
      </c>
      <c r="F426">
        <v>73292</v>
      </c>
      <c r="G426">
        <v>48248</v>
      </c>
      <c r="H426">
        <v>370981</v>
      </c>
      <c r="I426">
        <v>73930</v>
      </c>
      <c r="J426">
        <v>55723</v>
      </c>
      <c r="K426">
        <v>356040</v>
      </c>
      <c r="L426">
        <v>-25237</v>
      </c>
      <c r="M426">
        <v>6.62</v>
      </c>
      <c r="N426">
        <v>1455755</v>
      </c>
      <c r="O426">
        <v>20261100</v>
      </c>
      <c r="P426" s="2">
        <v>7.1849751494242664</v>
      </c>
      <c r="Q426" s="4">
        <v>13.412848200000001</v>
      </c>
    </row>
    <row r="427" spans="1:17" x14ac:dyDescent="0.4">
      <c r="A427">
        <v>20210812</v>
      </c>
      <c r="B427" s="1">
        <v>0.20833333333333334</v>
      </c>
      <c r="C427">
        <v>72374</v>
      </c>
      <c r="D427">
        <v>178671</v>
      </c>
      <c r="E427">
        <v>366843</v>
      </c>
      <c r="F427">
        <v>-33809</v>
      </c>
      <c r="G427">
        <v>57502</v>
      </c>
      <c r="H427">
        <v>354329</v>
      </c>
      <c r="I427">
        <v>107105</v>
      </c>
      <c r="J427">
        <v>65123</v>
      </c>
      <c r="K427">
        <v>318016</v>
      </c>
      <c r="L427">
        <v>-25731</v>
      </c>
      <c r="M427">
        <v>6.64</v>
      </c>
      <c r="N427">
        <v>1460423</v>
      </c>
      <c r="O427">
        <v>20386050</v>
      </c>
      <c r="P427" s="2">
        <v>7.1638350734938845</v>
      </c>
      <c r="Q427" s="4">
        <v>13.5363372</v>
      </c>
    </row>
    <row r="428" spans="1:17" x14ac:dyDescent="0.4">
      <c r="A428">
        <v>20210812</v>
      </c>
      <c r="B428" s="1">
        <v>0.22916666666666666</v>
      </c>
      <c r="C428">
        <v>99831</v>
      </c>
      <c r="D428">
        <v>268513</v>
      </c>
      <c r="E428">
        <v>634906</v>
      </c>
      <c r="F428">
        <v>113368</v>
      </c>
      <c r="G428">
        <v>-11851</v>
      </c>
      <c r="H428">
        <v>368001</v>
      </c>
      <c r="I428">
        <v>105315</v>
      </c>
      <c r="J428">
        <v>76205</v>
      </c>
      <c r="K428">
        <v>363630</v>
      </c>
      <c r="L428">
        <v>-25574</v>
      </c>
      <c r="M428">
        <v>6.63</v>
      </c>
      <c r="N428">
        <v>1992344</v>
      </c>
      <c r="O428">
        <v>20340350</v>
      </c>
      <c r="P428" s="2">
        <v>9.7950330254887454</v>
      </c>
      <c r="Q428" s="4">
        <v>13.485652050000001</v>
      </c>
    </row>
    <row r="429" spans="1:17" x14ac:dyDescent="0.4">
      <c r="A429">
        <v>20210812</v>
      </c>
      <c r="B429" s="1">
        <v>0.25</v>
      </c>
      <c r="C429">
        <v>124419</v>
      </c>
      <c r="D429">
        <v>180798</v>
      </c>
      <c r="E429">
        <v>824885</v>
      </c>
      <c r="F429">
        <v>84441</v>
      </c>
      <c r="G429">
        <v>32469</v>
      </c>
      <c r="H429">
        <v>284609</v>
      </c>
      <c r="I429">
        <v>47481</v>
      </c>
      <c r="J429">
        <v>84546</v>
      </c>
      <c r="K429">
        <v>309135</v>
      </c>
      <c r="L429">
        <v>-13756</v>
      </c>
      <c r="M429">
        <v>6.6</v>
      </c>
      <c r="N429">
        <v>1959027</v>
      </c>
      <c r="O429">
        <v>20680100</v>
      </c>
      <c r="P429" s="2">
        <v>9.4730054496835123</v>
      </c>
      <c r="Q429" s="4">
        <v>13.648866</v>
      </c>
    </row>
    <row r="430" spans="1:17" x14ac:dyDescent="0.4">
      <c r="A430">
        <v>20210812</v>
      </c>
      <c r="B430" s="1">
        <v>0.27083333333333331</v>
      </c>
      <c r="C430">
        <v>73775</v>
      </c>
      <c r="D430">
        <v>173601</v>
      </c>
      <c r="E430">
        <v>1095427</v>
      </c>
      <c r="F430">
        <v>304831</v>
      </c>
      <c r="G430">
        <v>17896</v>
      </c>
      <c r="H430">
        <v>300515</v>
      </c>
      <c r="I430">
        <v>-18774</v>
      </c>
      <c r="J430">
        <v>89818</v>
      </c>
      <c r="K430">
        <v>323355</v>
      </c>
      <c r="L430">
        <v>-18054</v>
      </c>
      <c r="M430">
        <v>6.63</v>
      </c>
      <c r="N430">
        <v>2342390</v>
      </c>
      <c r="O430">
        <v>21127700</v>
      </c>
      <c r="P430" s="2">
        <v>11.086819672751885</v>
      </c>
      <c r="Q430" s="4">
        <v>14.007665100000001</v>
      </c>
    </row>
    <row r="431" spans="1:17" x14ac:dyDescent="0.4">
      <c r="A431">
        <v>20210812</v>
      </c>
      <c r="B431" s="1">
        <v>0.29166666666666669</v>
      </c>
      <c r="C431">
        <v>150158</v>
      </c>
      <c r="D431">
        <v>238433</v>
      </c>
      <c r="E431">
        <v>1502194</v>
      </c>
      <c r="F431">
        <v>379276</v>
      </c>
      <c r="G431">
        <v>26319</v>
      </c>
      <c r="H431">
        <v>245596</v>
      </c>
      <c r="I431">
        <v>45463</v>
      </c>
      <c r="J431">
        <v>76871</v>
      </c>
      <c r="K431">
        <v>335852</v>
      </c>
      <c r="L431">
        <v>-7448</v>
      </c>
      <c r="M431">
        <v>6.72</v>
      </c>
      <c r="N431">
        <v>2992714</v>
      </c>
      <c r="O431">
        <v>21926200</v>
      </c>
      <c r="P431" s="2">
        <v>13.649031751967966</v>
      </c>
      <c r="Q431" s="4">
        <v>14.734406399999999</v>
      </c>
    </row>
    <row r="432" spans="1:17" x14ac:dyDescent="0.4">
      <c r="A432">
        <v>20210812</v>
      </c>
      <c r="B432" s="1">
        <v>0.3125</v>
      </c>
      <c r="C432">
        <v>125646</v>
      </c>
      <c r="D432">
        <v>425065</v>
      </c>
      <c r="E432">
        <v>1813276</v>
      </c>
      <c r="F432">
        <v>475110</v>
      </c>
      <c r="G432">
        <v>29145</v>
      </c>
      <c r="H432">
        <v>127760</v>
      </c>
      <c r="I432">
        <v>31203</v>
      </c>
      <c r="J432">
        <v>69353</v>
      </c>
      <c r="K432">
        <v>309267</v>
      </c>
      <c r="L432">
        <v>-15795</v>
      </c>
      <c r="M432">
        <v>6.73</v>
      </c>
      <c r="N432">
        <v>3390030</v>
      </c>
      <c r="O432">
        <v>22086600</v>
      </c>
      <c r="P432" s="2">
        <v>15.348808779984244</v>
      </c>
      <c r="Q432" s="4">
        <v>14.864281800000001</v>
      </c>
    </row>
    <row r="433" spans="1:17" x14ac:dyDescent="0.4">
      <c r="A433">
        <v>20210812</v>
      </c>
      <c r="B433" s="1">
        <v>0.33333333333333331</v>
      </c>
      <c r="C433">
        <v>161058</v>
      </c>
      <c r="D433">
        <v>532049</v>
      </c>
      <c r="E433">
        <v>2099911</v>
      </c>
      <c r="F433">
        <v>605413</v>
      </c>
      <c r="G433">
        <v>4335</v>
      </c>
      <c r="H433">
        <v>156434</v>
      </c>
      <c r="I433">
        <v>-221444</v>
      </c>
      <c r="J433">
        <v>22434</v>
      </c>
      <c r="K433">
        <v>273519</v>
      </c>
      <c r="L433">
        <v>-6428</v>
      </c>
      <c r="M433">
        <v>7.15</v>
      </c>
      <c r="N433">
        <v>3627281</v>
      </c>
      <c r="O433">
        <v>23443950</v>
      </c>
      <c r="P433" s="2">
        <v>15.472141000130097</v>
      </c>
      <c r="Q433" s="4">
        <v>16.762424249999999</v>
      </c>
    </row>
    <row r="434" spans="1:17" x14ac:dyDescent="0.4">
      <c r="A434">
        <v>20210812</v>
      </c>
      <c r="B434" s="1">
        <v>0.35416666666666669</v>
      </c>
      <c r="C434">
        <v>134549</v>
      </c>
      <c r="D434">
        <v>550580</v>
      </c>
      <c r="E434">
        <v>2441526</v>
      </c>
      <c r="F434">
        <v>673073</v>
      </c>
      <c r="G434">
        <v>11982</v>
      </c>
      <c r="H434">
        <v>50389</v>
      </c>
      <c r="I434">
        <v>-316795</v>
      </c>
      <c r="J434">
        <v>66597</v>
      </c>
      <c r="K434">
        <v>369957</v>
      </c>
      <c r="L434">
        <v>-15492</v>
      </c>
      <c r="M434">
        <v>7.35</v>
      </c>
      <c r="N434">
        <v>3966366</v>
      </c>
      <c r="O434">
        <v>24120550</v>
      </c>
      <c r="P434" s="2">
        <v>16.443928517384553</v>
      </c>
      <c r="Q434" s="4">
        <v>17.72860425</v>
      </c>
    </row>
    <row r="435" spans="1:17" x14ac:dyDescent="0.4">
      <c r="A435">
        <v>20210812</v>
      </c>
      <c r="B435" s="1">
        <v>0.375</v>
      </c>
      <c r="C435">
        <v>133666</v>
      </c>
      <c r="D435">
        <v>529929</v>
      </c>
      <c r="E435">
        <v>2944483</v>
      </c>
      <c r="F435">
        <v>861505</v>
      </c>
      <c r="G435">
        <v>33067</v>
      </c>
      <c r="H435">
        <v>41784</v>
      </c>
      <c r="I435">
        <v>-241678</v>
      </c>
      <c r="J435">
        <v>60786</v>
      </c>
      <c r="K435">
        <v>295025</v>
      </c>
      <c r="L435">
        <v>-3333</v>
      </c>
      <c r="M435">
        <v>7.79</v>
      </c>
      <c r="N435">
        <v>4655234</v>
      </c>
      <c r="O435">
        <v>24177350</v>
      </c>
      <c r="P435" s="2">
        <v>19.254525413248349</v>
      </c>
      <c r="Q435" s="4">
        <v>18.83415565</v>
      </c>
    </row>
    <row r="436" spans="1:17" x14ac:dyDescent="0.4">
      <c r="A436">
        <v>20210812</v>
      </c>
      <c r="B436" s="1">
        <v>0.39583333333333331</v>
      </c>
      <c r="C436">
        <v>139984</v>
      </c>
      <c r="D436">
        <v>254534</v>
      </c>
      <c r="E436">
        <v>3429433</v>
      </c>
      <c r="F436">
        <v>768194</v>
      </c>
      <c r="G436">
        <v>55943</v>
      </c>
      <c r="H436">
        <v>259781</v>
      </c>
      <c r="I436">
        <v>-221335</v>
      </c>
      <c r="J436">
        <v>-41796</v>
      </c>
      <c r="K436">
        <v>367826</v>
      </c>
      <c r="L436">
        <v>722</v>
      </c>
      <c r="M436">
        <v>7.9</v>
      </c>
      <c r="N436">
        <v>5013286</v>
      </c>
      <c r="O436">
        <v>24197700</v>
      </c>
      <c r="P436" s="2">
        <v>20.718026919913875</v>
      </c>
      <c r="Q436" s="4">
        <v>19.116182999999999</v>
      </c>
    </row>
    <row r="437" spans="1:17" x14ac:dyDescent="0.4">
      <c r="A437">
        <v>20210812</v>
      </c>
      <c r="B437" s="1">
        <v>0.41666666666666669</v>
      </c>
      <c r="C437">
        <v>164950</v>
      </c>
      <c r="D437">
        <v>236313</v>
      </c>
      <c r="E437">
        <v>3620660</v>
      </c>
      <c r="F437">
        <v>627900</v>
      </c>
      <c r="G437">
        <v>72907</v>
      </c>
      <c r="H437">
        <v>440588</v>
      </c>
      <c r="I437">
        <v>-133141</v>
      </c>
      <c r="J437">
        <v>-30249</v>
      </c>
      <c r="K437">
        <v>491631</v>
      </c>
      <c r="L437">
        <v>-14332</v>
      </c>
      <c r="M437">
        <v>7.9</v>
      </c>
      <c r="N437">
        <v>5477227</v>
      </c>
      <c r="O437">
        <v>24565600</v>
      </c>
      <c r="P437" s="2">
        <v>22.296329012928648</v>
      </c>
      <c r="Q437" s="4">
        <v>19.406824</v>
      </c>
    </row>
    <row r="438" spans="1:17" x14ac:dyDescent="0.4">
      <c r="A438">
        <v>20210812</v>
      </c>
      <c r="B438" s="1">
        <v>0.4375</v>
      </c>
      <c r="C438">
        <v>163534</v>
      </c>
      <c r="D438">
        <v>272741</v>
      </c>
      <c r="E438">
        <v>3506193</v>
      </c>
      <c r="F438">
        <v>329153</v>
      </c>
      <c r="G438">
        <v>68347</v>
      </c>
      <c r="H438">
        <v>589700</v>
      </c>
      <c r="I438">
        <v>-133583</v>
      </c>
      <c r="J438">
        <v>-53583</v>
      </c>
      <c r="K438">
        <v>623797</v>
      </c>
      <c r="L438">
        <v>-19279</v>
      </c>
      <c r="M438">
        <v>8.11</v>
      </c>
      <c r="N438">
        <v>5347020</v>
      </c>
      <c r="O438">
        <v>24871000</v>
      </c>
      <c r="P438" s="2">
        <v>21.499014916971575</v>
      </c>
      <c r="Q438" s="4">
        <v>20.170380999999999</v>
      </c>
    </row>
    <row r="439" spans="1:17" x14ac:dyDescent="0.4">
      <c r="A439">
        <v>20210812</v>
      </c>
      <c r="B439" s="1">
        <v>0.45833333333333331</v>
      </c>
      <c r="C439">
        <v>254197</v>
      </c>
      <c r="D439">
        <v>309551</v>
      </c>
      <c r="E439">
        <v>2412179</v>
      </c>
      <c r="F439">
        <v>215600</v>
      </c>
      <c r="G439">
        <v>16167</v>
      </c>
      <c r="H439">
        <v>797991</v>
      </c>
      <c r="I439">
        <v>-104922</v>
      </c>
      <c r="J439">
        <v>-30505</v>
      </c>
      <c r="K439">
        <v>755360</v>
      </c>
      <c r="L439">
        <v>-43419</v>
      </c>
      <c r="M439">
        <v>8.86</v>
      </c>
      <c r="N439">
        <v>4582199</v>
      </c>
      <c r="O439">
        <v>25156150</v>
      </c>
      <c r="P439" s="2">
        <v>18.215024954136464</v>
      </c>
      <c r="Q439" s="4">
        <v>22.288348899999999</v>
      </c>
    </row>
    <row r="440" spans="1:17" x14ac:dyDescent="0.4">
      <c r="A440">
        <v>20210812</v>
      </c>
      <c r="B440" s="1">
        <v>0.47916666666666669</v>
      </c>
      <c r="C440">
        <v>277417</v>
      </c>
      <c r="D440">
        <v>298265</v>
      </c>
      <c r="E440">
        <v>2345262</v>
      </c>
      <c r="F440">
        <v>215817</v>
      </c>
      <c r="G440">
        <v>-14351</v>
      </c>
      <c r="H440">
        <v>694938</v>
      </c>
      <c r="I440">
        <v>-86783</v>
      </c>
      <c r="J440">
        <v>-32562</v>
      </c>
      <c r="K440">
        <v>884806</v>
      </c>
      <c r="L440">
        <v>-47269</v>
      </c>
      <c r="M440">
        <v>9.4600000000000009</v>
      </c>
      <c r="N440">
        <v>4535540</v>
      </c>
      <c r="O440">
        <v>25188500</v>
      </c>
      <c r="P440" s="2">
        <v>18.006391805784386</v>
      </c>
      <c r="Q440" s="4">
        <v>23.828321000000003</v>
      </c>
    </row>
    <row r="441" spans="1:17" x14ac:dyDescent="0.4">
      <c r="A441">
        <v>20210812</v>
      </c>
      <c r="B441" s="1">
        <v>0.5</v>
      </c>
      <c r="C441">
        <v>353786</v>
      </c>
      <c r="D441">
        <v>350484</v>
      </c>
      <c r="E441">
        <v>1926686</v>
      </c>
      <c r="F441">
        <v>-40904</v>
      </c>
      <c r="G441">
        <v>37238</v>
      </c>
      <c r="H441">
        <v>644226</v>
      </c>
      <c r="I441">
        <v>-95023</v>
      </c>
      <c r="J441">
        <v>-60641</v>
      </c>
      <c r="K441">
        <v>582499</v>
      </c>
      <c r="L441">
        <v>-59634</v>
      </c>
      <c r="M441">
        <v>9.0299999999999994</v>
      </c>
      <c r="N441">
        <v>3638717</v>
      </c>
      <c r="O441">
        <v>25159100</v>
      </c>
      <c r="P441" s="2">
        <v>14.462826571697716</v>
      </c>
      <c r="Q441" s="4">
        <v>22.718667299999996</v>
      </c>
    </row>
    <row r="442" spans="1:17" x14ac:dyDescent="0.4">
      <c r="A442">
        <v>20210812</v>
      </c>
      <c r="B442" s="1">
        <v>0.52083333333333337</v>
      </c>
      <c r="C442">
        <v>337747</v>
      </c>
      <c r="D442">
        <v>356821</v>
      </c>
      <c r="E442">
        <v>1672176</v>
      </c>
      <c r="F442">
        <v>111452</v>
      </c>
      <c r="G442">
        <v>5019</v>
      </c>
      <c r="H442">
        <v>740317</v>
      </c>
      <c r="I442">
        <v>59785</v>
      </c>
      <c r="J442">
        <v>-58981</v>
      </c>
      <c r="K442">
        <v>449451</v>
      </c>
      <c r="L442">
        <v>-42143</v>
      </c>
      <c r="M442">
        <v>8.99</v>
      </c>
      <c r="N442">
        <v>3631644</v>
      </c>
      <c r="O442">
        <v>25192900</v>
      </c>
      <c r="P442" s="2">
        <v>14.415347181150244</v>
      </c>
      <c r="Q442" s="4">
        <v>22.6484171</v>
      </c>
    </row>
    <row r="443" spans="1:17" x14ac:dyDescent="0.4">
      <c r="A443">
        <v>20210812</v>
      </c>
      <c r="B443" s="1">
        <v>0.54166666666666663</v>
      </c>
      <c r="C443">
        <v>334057</v>
      </c>
      <c r="D443">
        <v>59242</v>
      </c>
      <c r="E443">
        <v>1792651</v>
      </c>
      <c r="F443">
        <v>38770</v>
      </c>
      <c r="G443">
        <v>-8181</v>
      </c>
      <c r="H443">
        <v>741101</v>
      </c>
      <c r="I443">
        <v>2968</v>
      </c>
      <c r="J443">
        <v>-40098</v>
      </c>
      <c r="K443">
        <v>453549</v>
      </c>
      <c r="L443">
        <v>-56088</v>
      </c>
      <c r="M443">
        <v>9.84</v>
      </c>
      <c r="N443">
        <v>3317971</v>
      </c>
      <c r="O443">
        <v>24663050</v>
      </c>
      <c r="P443" s="2">
        <v>13.453206314709657</v>
      </c>
      <c r="Q443" s="4">
        <v>24.268441200000002</v>
      </c>
    </row>
    <row r="444" spans="1:17" x14ac:dyDescent="0.4">
      <c r="A444">
        <v>20210812</v>
      </c>
      <c r="B444" s="1">
        <v>0.5625</v>
      </c>
      <c r="C444">
        <v>389084</v>
      </c>
      <c r="D444">
        <v>84207</v>
      </c>
      <c r="E444">
        <v>1405784</v>
      </c>
      <c r="F444">
        <v>173044</v>
      </c>
      <c r="G444">
        <v>8040</v>
      </c>
      <c r="H444">
        <v>883417</v>
      </c>
      <c r="I444">
        <v>-2599</v>
      </c>
      <c r="J444">
        <v>4079</v>
      </c>
      <c r="K444">
        <v>469793</v>
      </c>
      <c r="L444">
        <v>-52389</v>
      </c>
      <c r="M444">
        <v>9.9700000000000006</v>
      </c>
      <c r="N444">
        <v>3362460</v>
      </c>
      <c r="O444">
        <v>24545800</v>
      </c>
      <c r="P444" s="2">
        <v>13.698718314334835</v>
      </c>
      <c r="Q444" s="4">
        <v>24.472162600000004</v>
      </c>
    </row>
    <row r="445" spans="1:17" x14ac:dyDescent="0.4">
      <c r="A445">
        <v>20210812</v>
      </c>
      <c r="B445" s="1">
        <v>0.58333333333333337</v>
      </c>
      <c r="C445">
        <v>333090</v>
      </c>
      <c r="D445">
        <v>150007</v>
      </c>
      <c r="E445">
        <v>1581802</v>
      </c>
      <c r="F445">
        <v>35250</v>
      </c>
      <c r="G445">
        <v>29976</v>
      </c>
      <c r="H445">
        <v>791815</v>
      </c>
      <c r="I445">
        <v>-3136</v>
      </c>
      <c r="J445">
        <v>9615</v>
      </c>
      <c r="K445">
        <v>169894</v>
      </c>
      <c r="L445">
        <v>-51658</v>
      </c>
      <c r="M445">
        <v>10.27</v>
      </c>
      <c r="N445">
        <v>3046655</v>
      </c>
      <c r="O445">
        <v>24468550</v>
      </c>
      <c r="P445" s="2">
        <v>12.45130994685014</v>
      </c>
      <c r="Q445" s="4">
        <v>25.12920085</v>
      </c>
    </row>
    <row r="446" spans="1:17" x14ac:dyDescent="0.4">
      <c r="A446">
        <v>20210812</v>
      </c>
      <c r="B446" s="1">
        <v>0.60416666666666663</v>
      </c>
      <c r="C446">
        <v>342761</v>
      </c>
      <c r="D446">
        <v>171641</v>
      </c>
      <c r="E446">
        <v>1770602</v>
      </c>
      <c r="F446">
        <v>254625</v>
      </c>
      <c r="G446">
        <v>75313</v>
      </c>
      <c r="H446">
        <v>861902</v>
      </c>
      <c r="I446">
        <v>48396</v>
      </c>
      <c r="J446">
        <v>-6865</v>
      </c>
      <c r="K446">
        <v>140673</v>
      </c>
      <c r="L446">
        <v>-53189</v>
      </c>
      <c r="M446">
        <v>10.27</v>
      </c>
      <c r="N446">
        <v>3605859</v>
      </c>
      <c r="O446">
        <v>24255150</v>
      </c>
      <c r="P446" s="2">
        <v>14.866364462804807</v>
      </c>
      <c r="Q446" s="4">
        <v>24.910039050000002</v>
      </c>
    </row>
    <row r="447" spans="1:17" x14ac:dyDescent="0.4">
      <c r="A447">
        <v>20210812</v>
      </c>
      <c r="B447" s="1">
        <v>0.625</v>
      </c>
      <c r="C447">
        <v>281225</v>
      </c>
      <c r="D447">
        <v>207495</v>
      </c>
      <c r="E447">
        <v>1924921</v>
      </c>
      <c r="F447">
        <v>326654</v>
      </c>
      <c r="G447">
        <v>78506</v>
      </c>
      <c r="H447">
        <v>774407</v>
      </c>
      <c r="I447">
        <v>172617</v>
      </c>
      <c r="J447">
        <v>22821</v>
      </c>
      <c r="K447">
        <v>224374</v>
      </c>
      <c r="L447">
        <v>-33483</v>
      </c>
      <c r="M447">
        <v>10.27</v>
      </c>
      <c r="N447">
        <v>3979537</v>
      </c>
      <c r="O447">
        <v>24366800</v>
      </c>
      <c r="P447" s="2">
        <v>16.331799825992743</v>
      </c>
      <c r="Q447" s="4">
        <v>25.024703599999999</v>
      </c>
    </row>
    <row r="448" spans="1:17" x14ac:dyDescent="0.4">
      <c r="A448">
        <v>20210812</v>
      </c>
      <c r="B448" s="1">
        <v>0.64583333333333337</v>
      </c>
      <c r="C448">
        <v>330929</v>
      </c>
      <c r="D448">
        <v>191787</v>
      </c>
      <c r="E448">
        <v>2147485</v>
      </c>
      <c r="F448">
        <v>422557</v>
      </c>
      <c r="G448">
        <v>70917</v>
      </c>
      <c r="H448">
        <v>667671</v>
      </c>
      <c r="I448">
        <v>230247</v>
      </c>
      <c r="J448">
        <v>-7316</v>
      </c>
      <c r="K448">
        <v>207860</v>
      </c>
      <c r="L448">
        <v>-39339</v>
      </c>
      <c r="M448">
        <v>10.27</v>
      </c>
      <c r="N448">
        <v>4222798</v>
      </c>
      <c r="O448">
        <v>24117050</v>
      </c>
      <c r="P448" s="2">
        <v>17.509595908288951</v>
      </c>
      <c r="Q448" s="4">
        <v>24.76821035</v>
      </c>
    </row>
    <row r="449" spans="1:17" x14ac:dyDescent="0.4">
      <c r="A449">
        <v>20210812</v>
      </c>
      <c r="B449" s="1">
        <v>0.66666666666666663</v>
      </c>
      <c r="C449">
        <v>219073</v>
      </c>
      <c r="D449">
        <v>164559</v>
      </c>
      <c r="E449">
        <v>1804399</v>
      </c>
      <c r="F449">
        <v>163357</v>
      </c>
      <c r="G449">
        <v>60318</v>
      </c>
      <c r="H449">
        <v>719801</v>
      </c>
      <c r="I449">
        <v>243802</v>
      </c>
      <c r="J449">
        <v>12200</v>
      </c>
      <c r="K449">
        <v>259329</v>
      </c>
      <c r="L449">
        <v>-42762</v>
      </c>
      <c r="M449">
        <v>10.27</v>
      </c>
      <c r="N449">
        <v>3604076</v>
      </c>
      <c r="O449">
        <v>24955400</v>
      </c>
      <c r="P449" s="2">
        <v>14.442068650472443</v>
      </c>
      <c r="Q449" s="4">
        <v>25.629195800000002</v>
      </c>
    </row>
    <row r="450" spans="1:17" x14ac:dyDescent="0.4">
      <c r="A450">
        <v>20210812</v>
      </c>
      <c r="B450" s="1">
        <v>0.6875</v>
      </c>
      <c r="C450">
        <v>220969</v>
      </c>
      <c r="D450">
        <v>165423</v>
      </c>
      <c r="E450">
        <v>1796226</v>
      </c>
      <c r="F450">
        <v>276668</v>
      </c>
      <c r="G450">
        <v>63989</v>
      </c>
      <c r="H450">
        <v>525767</v>
      </c>
      <c r="I450">
        <v>530867</v>
      </c>
      <c r="J450">
        <v>39478</v>
      </c>
      <c r="K450">
        <v>308134</v>
      </c>
      <c r="L450">
        <v>-35104</v>
      </c>
      <c r="M450">
        <v>10.27</v>
      </c>
      <c r="N450">
        <v>3892417</v>
      </c>
      <c r="O450">
        <v>24769050</v>
      </c>
      <c r="P450" s="2">
        <v>15.714841707695692</v>
      </c>
      <c r="Q450" s="4">
        <v>25.43781435</v>
      </c>
    </row>
    <row r="451" spans="1:17" x14ac:dyDescent="0.4">
      <c r="A451">
        <v>20210812</v>
      </c>
      <c r="B451" s="1">
        <v>0.70833333333333337</v>
      </c>
      <c r="C451">
        <v>127621</v>
      </c>
      <c r="D451">
        <v>215726</v>
      </c>
      <c r="E451">
        <v>1824438</v>
      </c>
      <c r="F451">
        <v>477518</v>
      </c>
      <c r="G451">
        <v>54447</v>
      </c>
      <c r="H451">
        <v>758346</v>
      </c>
      <c r="I451">
        <v>459798</v>
      </c>
      <c r="J451">
        <v>78852</v>
      </c>
      <c r="K451">
        <v>241910</v>
      </c>
      <c r="L451">
        <v>-27755</v>
      </c>
      <c r="M451">
        <v>10.27</v>
      </c>
      <c r="N451">
        <v>4210901</v>
      </c>
      <c r="O451">
        <v>24499200</v>
      </c>
      <c r="P451" s="2">
        <v>17.187912258359457</v>
      </c>
      <c r="Q451" s="4">
        <v>25.160678399999998</v>
      </c>
    </row>
    <row r="452" spans="1:17" x14ac:dyDescent="0.4">
      <c r="A452">
        <v>20210812</v>
      </c>
      <c r="B452" s="1">
        <v>0.72916666666666663</v>
      </c>
      <c r="C452">
        <v>25001</v>
      </c>
      <c r="D452">
        <v>210396</v>
      </c>
      <c r="E452">
        <v>1975447</v>
      </c>
      <c r="F452">
        <v>419271</v>
      </c>
      <c r="G452">
        <v>63072</v>
      </c>
      <c r="H452">
        <v>737290</v>
      </c>
      <c r="I452">
        <v>129990</v>
      </c>
      <c r="J452">
        <v>109265</v>
      </c>
      <c r="K452">
        <v>138217</v>
      </c>
      <c r="L452">
        <v>-26728</v>
      </c>
      <c r="M452">
        <v>10.27</v>
      </c>
      <c r="N452">
        <v>3781221</v>
      </c>
      <c r="O452">
        <v>24182450</v>
      </c>
      <c r="P452" s="2">
        <v>15.636219655163146</v>
      </c>
      <c r="Q452" s="4">
        <v>24.835376149999998</v>
      </c>
    </row>
    <row r="453" spans="1:17" x14ac:dyDescent="0.4">
      <c r="A453">
        <v>20210812</v>
      </c>
      <c r="B453" s="1">
        <v>0.75</v>
      </c>
      <c r="C453">
        <v>33897</v>
      </c>
      <c r="D453">
        <v>223802</v>
      </c>
      <c r="E453">
        <v>1494656</v>
      </c>
      <c r="F453">
        <v>473893</v>
      </c>
      <c r="G453">
        <v>80157</v>
      </c>
      <c r="H453">
        <v>517743</v>
      </c>
      <c r="I453">
        <v>55341</v>
      </c>
      <c r="J453">
        <v>130330</v>
      </c>
      <c r="K453">
        <v>107068</v>
      </c>
      <c r="L453">
        <v>-21061</v>
      </c>
      <c r="M453">
        <v>10.130000000000001</v>
      </c>
      <c r="N453">
        <v>3095826</v>
      </c>
      <c r="O453">
        <v>23977650</v>
      </c>
      <c r="P453" s="2">
        <v>12.911298646864893</v>
      </c>
      <c r="Q453" s="4">
        <v>24.289359450000003</v>
      </c>
    </row>
    <row r="454" spans="1:17" x14ac:dyDescent="0.4">
      <c r="A454">
        <v>20210812</v>
      </c>
      <c r="B454" s="1">
        <v>0.77083333333333337</v>
      </c>
      <c r="C454">
        <v>-21933</v>
      </c>
      <c r="D454">
        <v>201086</v>
      </c>
      <c r="E454">
        <v>1438298</v>
      </c>
      <c r="F454">
        <v>467982</v>
      </c>
      <c r="G454">
        <v>81321</v>
      </c>
      <c r="H454">
        <v>533553</v>
      </c>
      <c r="I454">
        <v>42307</v>
      </c>
      <c r="J454">
        <v>98202</v>
      </c>
      <c r="K454">
        <v>66328</v>
      </c>
      <c r="L454">
        <v>-25248</v>
      </c>
      <c r="M454">
        <v>10.01</v>
      </c>
      <c r="N454">
        <v>2881896</v>
      </c>
      <c r="O454">
        <v>23900350</v>
      </c>
      <c r="P454" s="2">
        <v>12.057965678326886</v>
      </c>
      <c r="Q454" s="4">
        <v>23.924250350000001</v>
      </c>
    </row>
    <row r="455" spans="1:17" x14ac:dyDescent="0.4">
      <c r="A455">
        <v>20210812</v>
      </c>
      <c r="B455" s="1">
        <v>0.79166666666666663</v>
      </c>
      <c r="C455">
        <v>-13128</v>
      </c>
      <c r="D455">
        <v>310889</v>
      </c>
      <c r="E455">
        <v>1247563</v>
      </c>
      <c r="F455">
        <v>428257</v>
      </c>
      <c r="G455">
        <v>57613</v>
      </c>
      <c r="H455">
        <v>763721</v>
      </c>
      <c r="I455">
        <v>67668</v>
      </c>
      <c r="J455">
        <v>133569</v>
      </c>
      <c r="K455">
        <v>64075</v>
      </c>
      <c r="L455">
        <v>-23441</v>
      </c>
      <c r="M455">
        <v>9.74</v>
      </c>
      <c r="N455">
        <v>3036786</v>
      </c>
      <c r="O455">
        <v>23332700</v>
      </c>
      <c r="P455" s="2">
        <v>13.015150411225447</v>
      </c>
      <c r="Q455" s="4">
        <v>22.726049799999998</v>
      </c>
    </row>
    <row r="456" spans="1:17" x14ac:dyDescent="0.4">
      <c r="A456">
        <v>20210812</v>
      </c>
      <c r="B456" s="1">
        <v>0.8125</v>
      </c>
      <c r="C456">
        <v>37993</v>
      </c>
      <c r="D456">
        <v>302463</v>
      </c>
      <c r="E456">
        <v>1293344</v>
      </c>
      <c r="F456">
        <v>449381</v>
      </c>
      <c r="G456">
        <v>51110</v>
      </c>
      <c r="H456">
        <v>862957</v>
      </c>
      <c r="I456">
        <v>116393</v>
      </c>
      <c r="J456">
        <v>134070</v>
      </c>
      <c r="K456">
        <v>111904</v>
      </c>
      <c r="L456">
        <v>-22654</v>
      </c>
      <c r="M456">
        <v>9.57</v>
      </c>
      <c r="N456">
        <v>3336961</v>
      </c>
      <c r="O456">
        <v>23243100</v>
      </c>
      <c r="P456" s="2">
        <v>14.356781152255939</v>
      </c>
      <c r="Q456" s="4">
        <v>22.243646699999999</v>
      </c>
    </row>
    <row r="457" spans="1:17" x14ac:dyDescent="0.4">
      <c r="A457">
        <v>20210812</v>
      </c>
      <c r="B457" s="1">
        <v>0.83333333333333337</v>
      </c>
      <c r="C457">
        <v>-6240</v>
      </c>
      <c r="D457">
        <v>327468</v>
      </c>
      <c r="E457">
        <v>1281623</v>
      </c>
      <c r="F457">
        <v>576205</v>
      </c>
      <c r="G457">
        <v>33190</v>
      </c>
      <c r="H457">
        <v>985094</v>
      </c>
      <c r="I457">
        <v>110706</v>
      </c>
      <c r="J457">
        <v>121473</v>
      </c>
      <c r="K457">
        <v>63309</v>
      </c>
      <c r="L457">
        <v>-29656</v>
      </c>
      <c r="M457">
        <v>8.16</v>
      </c>
      <c r="N457">
        <v>3463172</v>
      </c>
      <c r="O457">
        <v>22358550</v>
      </c>
      <c r="P457" s="2">
        <v>15.489251315492284</v>
      </c>
      <c r="Q457" s="4">
        <v>18.244576800000001</v>
      </c>
    </row>
    <row r="458" spans="1:17" x14ac:dyDescent="0.4">
      <c r="A458">
        <v>20210812</v>
      </c>
      <c r="B458" s="1">
        <v>0.85416666666666663</v>
      </c>
      <c r="C458">
        <v>10074</v>
      </c>
      <c r="D458">
        <v>245853</v>
      </c>
      <c r="E458">
        <v>1468877</v>
      </c>
      <c r="F458">
        <v>422727</v>
      </c>
      <c r="G458">
        <v>39100</v>
      </c>
      <c r="H458">
        <v>950197</v>
      </c>
      <c r="I458">
        <v>154195</v>
      </c>
      <c r="J458">
        <v>77207</v>
      </c>
      <c r="K458">
        <v>64522</v>
      </c>
      <c r="L458">
        <v>-18916</v>
      </c>
      <c r="M458">
        <v>7.88</v>
      </c>
      <c r="N458">
        <v>3413836</v>
      </c>
      <c r="O458">
        <v>22352350</v>
      </c>
      <c r="P458" s="2">
        <v>15.272828136638877</v>
      </c>
      <c r="Q458" s="4">
        <v>17.6136518</v>
      </c>
    </row>
    <row r="459" spans="1:17" x14ac:dyDescent="0.4">
      <c r="A459">
        <v>20210812</v>
      </c>
      <c r="B459" s="1">
        <v>0.875</v>
      </c>
      <c r="C459">
        <v>-9558</v>
      </c>
      <c r="D459">
        <v>239375</v>
      </c>
      <c r="E459">
        <v>1173862</v>
      </c>
      <c r="F459">
        <v>479572</v>
      </c>
      <c r="G459">
        <v>41066</v>
      </c>
      <c r="H459">
        <v>828589</v>
      </c>
      <c r="I459">
        <v>124155</v>
      </c>
      <c r="J459">
        <v>75707</v>
      </c>
      <c r="K459">
        <v>65820</v>
      </c>
      <c r="L459">
        <v>-26269</v>
      </c>
      <c r="M459">
        <v>7.3</v>
      </c>
      <c r="N459">
        <v>2992319</v>
      </c>
      <c r="O459">
        <v>21912600</v>
      </c>
      <c r="P459" s="2">
        <v>13.655700373301206</v>
      </c>
      <c r="Q459" s="4">
        <v>15.996198</v>
      </c>
    </row>
    <row r="460" spans="1:17" x14ac:dyDescent="0.4">
      <c r="A460">
        <v>20210812</v>
      </c>
      <c r="B460" s="1">
        <v>0.89583333333333337</v>
      </c>
      <c r="C460">
        <v>-37899</v>
      </c>
      <c r="D460">
        <v>263786</v>
      </c>
      <c r="E460">
        <v>1141170</v>
      </c>
      <c r="F460">
        <v>430112</v>
      </c>
      <c r="G460">
        <v>13551</v>
      </c>
      <c r="H460">
        <v>765887</v>
      </c>
      <c r="I460">
        <v>84770</v>
      </c>
      <c r="J460">
        <v>66960</v>
      </c>
      <c r="K460">
        <v>54099</v>
      </c>
      <c r="L460">
        <v>-15291</v>
      </c>
      <c r="M460">
        <v>7.15</v>
      </c>
      <c r="N460">
        <v>2767145</v>
      </c>
      <c r="O460">
        <v>21825450</v>
      </c>
      <c r="P460" s="2">
        <v>12.678524383231503</v>
      </c>
      <c r="Q460" s="4">
        <v>15.605196749999999</v>
      </c>
    </row>
    <row r="461" spans="1:17" x14ac:dyDescent="0.4">
      <c r="A461">
        <v>20210812</v>
      </c>
      <c r="B461" s="1">
        <v>0.91666666666666663</v>
      </c>
      <c r="C461">
        <v>-11608</v>
      </c>
      <c r="D461">
        <v>259849</v>
      </c>
      <c r="E461">
        <v>1083523</v>
      </c>
      <c r="F461">
        <v>371684</v>
      </c>
      <c r="G461">
        <v>25740</v>
      </c>
      <c r="H461">
        <v>707940</v>
      </c>
      <c r="I461">
        <v>182352</v>
      </c>
      <c r="J461">
        <v>63705</v>
      </c>
      <c r="K461">
        <v>49757</v>
      </c>
      <c r="L461">
        <v>-14708</v>
      </c>
      <c r="M461">
        <v>7.04</v>
      </c>
      <c r="N461">
        <v>2718234</v>
      </c>
      <c r="O461">
        <v>21391550</v>
      </c>
      <c r="P461" s="2">
        <v>12.707045539009561</v>
      </c>
      <c r="Q461" s="4">
        <v>15.059651199999999</v>
      </c>
    </row>
    <row r="462" spans="1:17" x14ac:dyDescent="0.4">
      <c r="A462">
        <v>20210812</v>
      </c>
      <c r="B462" s="1">
        <v>0.9375</v>
      </c>
      <c r="C462">
        <v>-48481</v>
      </c>
      <c r="D462">
        <v>236677</v>
      </c>
      <c r="E462">
        <v>1132380</v>
      </c>
      <c r="F462">
        <v>364471</v>
      </c>
      <c r="G462">
        <v>-2409</v>
      </c>
      <c r="H462">
        <v>650259</v>
      </c>
      <c r="I462">
        <v>196587</v>
      </c>
      <c r="J462">
        <v>64775</v>
      </c>
      <c r="K462">
        <v>35548</v>
      </c>
      <c r="L462">
        <v>-2639</v>
      </c>
      <c r="M462">
        <v>6.88</v>
      </c>
      <c r="N462">
        <v>2627168</v>
      </c>
      <c r="O462">
        <v>21558700</v>
      </c>
      <c r="P462" s="2">
        <v>12.186115118258522</v>
      </c>
      <c r="Q462" s="4">
        <v>14.8323856</v>
      </c>
    </row>
    <row r="463" spans="1:17" x14ac:dyDescent="0.4">
      <c r="A463">
        <v>20210812</v>
      </c>
      <c r="B463" s="1">
        <v>0.95833333333333337</v>
      </c>
      <c r="C463">
        <v>-7364</v>
      </c>
      <c r="D463">
        <v>213072</v>
      </c>
      <c r="E463">
        <v>1092845</v>
      </c>
      <c r="F463">
        <v>398599</v>
      </c>
      <c r="G463">
        <v>-12809</v>
      </c>
      <c r="H463">
        <v>597018</v>
      </c>
      <c r="I463">
        <v>122907</v>
      </c>
      <c r="J463">
        <v>74714</v>
      </c>
      <c r="K463">
        <v>19639</v>
      </c>
      <c r="L463">
        <v>-16653</v>
      </c>
      <c r="M463">
        <v>6.91</v>
      </c>
      <c r="N463">
        <v>2481968</v>
      </c>
      <c r="O463">
        <v>20937400</v>
      </c>
      <c r="P463" s="2">
        <v>11.854232139616188</v>
      </c>
      <c r="Q463" s="4">
        <v>14.4677434</v>
      </c>
    </row>
    <row r="464" spans="1:17" x14ac:dyDescent="0.4">
      <c r="A464">
        <v>20210812</v>
      </c>
      <c r="B464" s="1">
        <v>0.97916666666666663</v>
      </c>
      <c r="C464">
        <v>-33749</v>
      </c>
      <c r="D464">
        <v>214452</v>
      </c>
      <c r="E464">
        <v>1003309</v>
      </c>
      <c r="F464">
        <v>336972</v>
      </c>
      <c r="G464">
        <v>-18387</v>
      </c>
      <c r="H464">
        <v>531877</v>
      </c>
      <c r="I464">
        <v>163557</v>
      </c>
      <c r="J464">
        <v>60674</v>
      </c>
      <c r="K464">
        <v>-3925</v>
      </c>
      <c r="L464">
        <v>-12044</v>
      </c>
      <c r="M464">
        <v>6.5</v>
      </c>
      <c r="N464">
        <v>2242736</v>
      </c>
      <c r="O464">
        <v>19892200</v>
      </c>
      <c r="P464" s="2">
        <v>11.274449281627975</v>
      </c>
      <c r="Q464" s="4">
        <v>12.929930000000001</v>
      </c>
    </row>
    <row r="465" spans="1:17" x14ac:dyDescent="0.4">
      <c r="A465">
        <v>20210813</v>
      </c>
      <c r="B465" s="1">
        <v>0</v>
      </c>
      <c r="C465">
        <v>28015</v>
      </c>
      <c r="D465">
        <v>300307</v>
      </c>
      <c r="E465">
        <v>594246</v>
      </c>
      <c r="F465">
        <v>312972</v>
      </c>
      <c r="G465">
        <v>58269</v>
      </c>
      <c r="H465">
        <v>290466</v>
      </c>
      <c r="I465">
        <v>104209</v>
      </c>
      <c r="J465">
        <v>118645</v>
      </c>
      <c r="K465">
        <v>239072</v>
      </c>
      <c r="L465">
        <v>-20232</v>
      </c>
      <c r="M465">
        <v>6.39</v>
      </c>
      <c r="N465">
        <v>2025969</v>
      </c>
      <c r="O465">
        <v>17729900</v>
      </c>
      <c r="P465" s="2">
        <v>11.426849559219173</v>
      </c>
      <c r="Q465" s="4">
        <v>11.3294061</v>
      </c>
    </row>
    <row r="466" spans="1:17" x14ac:dyDescent="0.4">
      <c r="A466">
        <v>20210813</v>
      </c>
      <c r="B466" s="1">
        <v>2.0833333333333332E-2</v>
      </c>
      <c r="C466">
        <v>-12603</v>
      </c>
      <c r="D466">
        <v>212509</v>
      </c>
      <c r="E466">
        <v>562544</v>
      </c>
      <c r="F466">
        <v>211291</v>
      </c>
      <c r="G466">
        <v>51067</v>
      </c>
      <c r="H466">
        <v>230888</v>
      </c>
      <c r="I466">
        <v>122261</v>
      </c>
      <c r="J466">
        <v>121211</v>
      </c>
      <c r="K466">
        <v>147448</v>
      </c>
      <c r="L466">
        <v>-14625</v>
      </c>
      <c r="M466">
        <v>6.3</v>
      </c>
      <c r="N466">
        <v>1631991</v>
      </c>
      <c r="O466">
        <v>18764050</v>
      </c>
      <c r="P466" s="2">
        <v>8.6974347222481292</v>
      </c>
      <c r="Q466" s="4">
        <v>11.8213515</v>
      </c>
    </row>
    <row r="467" spans="1:17" x14ac:dyDescent="0.4">
      <c r="A467">
        <v>20210813</v>
      </c>
      <c r="B467" s="1">
        <v>4.1666666666666664E-2</v>
      </c>
      <c r="C467">
        <v>2563</v>
      </c>
      <c r="D467">
        <v>301001</v>
      </c>
      <c r="E467">
        <v>530436</v>
      </c>
      <c r="F467">
        <v>268066</v>
      </c>
      <c r="G467">
        <v>60261</v>
      </c>
      <c r="H467">
        <v>239086</v>
      </c>
      <c r="I467">
        <v>63329</v>
      </c>
      <c r="J467">
        <v>128809</v>
      </c>
      <c r="K467">
        <v>114440</v>
      </c>
      <c r="L467">
        <v>-20174</v>
      </c>
      <c r="M467">
        <v>6.38</v>
      </c>
      <c r="N467">
        <v>1687817</v>
      </c>
      <c r="O467">
        <v>18657250</v>
      </c>
      <c r="P467" s="2">
        <v>9.0464403918047935</v>
      </c>
      <c r="Q467" s="4">
        <v>11.903325499999999</v>
      </c>
    </row>
    <row r="468" spans="1:17" x14ac:dyDescent="0.4">
      <c r="A468">
        <v>20210813</v>
      </c>
      <c r="B468" s="1">
        <v>6.25E-2</v>
      </c>
      <c r="C468">
        <v>-30280</v>
      </c>
      <c r="D468">
        <v>306536</v>
      </c>
      <c r="E468">
        <v>476251</v>
      </c>
      <c r="F468">
        <v>179040</v>
      </c>
      <c r="G468">
        <v>45593</v>
      </c>
      <c r="H468">
        <v>191401</v>
      </c>
      <c r="I468">
        <v>31464</v>
      </c>
      <c r="J468">
        <v>124084</v>
      </c>
      <c r="K468">
        <v>92701</v>
      </c>
      <c r="L468">
        <v>-17002</v>
      </c>
      <c r="M468">
        <v>6.38</v>
      </c>
      <c r="N468">
        <v>1399788</v>
      </c>
      <c r="O468">
        <v>18889800</v>
      </c>
      <c r="P468" s="2">
        <v>7.4102849156687736</v>
      </c>
      <c r="Q468" s="4">
        <v>12.0516924</v>
      </c>
    </row>
    <row r="469" spans="1:17" x14ac:dyDescent="0.4">
      <c r="A469">
        <v>20210813</v>
      </c>
      <c r="B469" s="1">
        <v>8.3333333333333329E-2</v>
      </c>
      <c r="C469">
        <v>-37941</v>
      </c>
      <c r="D469">
        <v>385110</v>
      </c>
      <c r="E469">
        <v>465173</v>
      </c>
      <c r="F469">
        <v>104182</v>
      </c>
      <c r="G469">
        <v>46349</v>
      </c>
      <c r="H469">
        <v>153245</v>
      </c>
      <c r="I469">
        <v>1575</v>
      </c>
      <c r="J469">
        <v>118016</v>
      </c>
      <c r="K469">
        <v>46114</v>
      </c>
      <c r="L469">
        <v>-11115</v>
      </c>
      <c r="M469">
        <v>6.49</v>
      </c>
      <c r="N469">
        <v>1270708</v>
      </c>
      <c r="O469">
        <v>19101300</v>
      </c>
      <c r="P469" s="2">
        <v>6.6524686801421895</v>
      </c>
      <c r="Q469" s="4">
        <v>12.3967437</v>
      </c>
    </row>
    <row r="470" spans="1:17" x14ac:dyDescent="0.4">
      <c r="A470">
        <v>20210813</v>
      </c>
      <c r="B470" s="1">
        <v>0.10416666666666667</v>
      </c>
      <c r="C470">
        <v>26202</v>
      </c>
      <c r="D470">
        <v>324234</v>
      </c>
      <c r="E470">
        <v>535135</v>
      </c>
      <c r="F470">
        <v>110486</v>
      </c>
      <c r="G470">
        <v>34852</v>
      </c>
      <c r="H470">
        <v>-2233</v>
      </c>
      <c r="I470">
        <v>-18106</v>
      </c>
      <c r="J470">
        <v>86226</v>
      </c>
      <c r="K470">
        <v>-3001</v>
      </c>
      <c r="L470">
        <v>-15197</v>
      </c>
      <c r="M470">
        <v>6.49</v>
      </c>
      <c r="N470">
        <v>1078598</v>
      </c>
      <c r="O470">
        <v>19109600</v>
      </c>
      <c r="P470" s="2">
        <v>5.6442730355423452</v>
      </c>
      <c r="Q470" s="4">
        <v>12.402130400000001</v>
      </c>
    </row>
    <row r="471" spans="1:17" x14ac:dyDescent="0.4">
      <c r="A471">
        <v>20210813</v>
      </c>
      <c r="B471" s="1">
        <v>0.125</v>
      </c>
      <c r="C471">
        <v>-22254</v>
      </c>
      <c r="D471">
        <v>332380</v>
      </c>
      <c r="E471">
        <v>504931</v>
      </c>
      <c r="F471">
        <v>89155</v>
      </c>
      <c r="G471">
        <v>55605</v>
      </c>
      <c r="H471">
        <v>-13345</v>
      </c>
      <c r="I471">
        <v>-40465</v>
      </c>
      <c r="J471">
        <v>94047</v>
      </c>
      <c r="K471">
        <v>12569</v>
      </c>
      <c r="L471">
        <v>-14081</v>
      </c>
      <c r="M471">
        <v>6.49</v>
      </c>
      <c r="N471">
        <v>998542</v>
      </c>
      <c r="O471">
        <v>19241000</v>
      </c>
      <c r="P471" s="2">
        <v>5.1896575022088252</v>
      </c>
      <c r="Q471" s="4">
        <v>12.487409</v>
      </c>
    </row>
    <row r="472" spans="1:17" x14ac:dyDescent="0.4">
      <c r="A472">
        <v>20210813</v>
      </c>
      <c r="B472" s="1">
        <v>0.14583333333333334</v>
      </c>
      <c r="C472">
        <v>-27400</v>
      </c>
      <c r="D472">
        <v>330038</v>
      </c>
      <c r="E472">
        <v>512610</v>
      </c>
      <c r="F472">
        <v>111473</v>
      </c>
      <c r="G472">
        <v>71463</v>
      </c>
      <c r="H472">
        <v>-27336</v>
      </c>
      <c r="I472">
        <v>-35649</v>
      </c>
      <c r="J472">
        <v>87145</v>
      </c>
      <c r="K472">
        <v>3076</v>
      </c>
      <c r="L472">
        <v>-12100</v>
      </c>
      <c r="M472">
        <v>6.49</v>
      </c>
      <c r="N472">
        <v>1013320</v>
      </c>
      <c r="O472">
        <v>19300800</v>
      </c>
      <c r="P472" s="2">
        <v>5.2501450717068723</v>
      </c>
      <c r="Q472" s="4">
        <v>12.5262192</v>
      </c>
    </row>
    <row r="473" spans="1:17" x14ac:dyDescent="0.4">
      <c r="A473">
        <v>20210813</v>
      </c>
      <c r="B473" s="1">
        <v>0.16666666666666666</v>
      </c>
      <c r="C473">
        <v>-21835</v>
      </c>
      <c r="D473">
        <v>308977</v>
      </c>
      <c r="E473">
        <v>513648</v>
      </c>
      <c r="F473">
        <v>73522</v>
      </c>
      <c r="G473">
        <v>52112</v>
      </c>
      <c r="H473">
        <v>-64419</v>
      </c>
      <c r="I473">
        <v>-54319</v>
      </c>
      <c r="J473">
        <v>72934</v>
      </c>
      <c r="K473">
        <v>-4709</v>
      </c>
      <c r="L473">
        <v>-12489</v>
      </c>
      <c r="M473">
        <v>6.49</v>
      </c>
      <c r="N473">
        <v>863422</v>
      </c>
      <c r="O473">
        <v>19276200</v>
      </c>
      <c r="P473" s="2">
        <v>4.4792127078988599</v>
      </c>
      <c r="Q473" s="4">
        <v>12.510253799999999</v>
      </c>
    </row>
    <row r="474" spans="1:17" x14ac:dyDescent="0.4">
      <c r="A474">
        <v>20210813</v>
      </c>
      <c r="B474" s="1">
        <v>0.1875</v>
      </c>
      <c r="C474">
        <v>2811</v>
      </c>
      <c r="D474">
        <v>295259</v>
      </c>
      <c r="E474">
        <v>598022</v>
      </c>
      <c r="F474">
        <v>-16278</v>
      </c>
      <c r="G474">
        <v>41431</v>
      </c>
      <c r="H474">
        <v>-115852</v>
      </c>
      <c r="I474">
        <v>11388</v>
      </c>
      <c r="J474">
        <v>62256</v>
      </c>
      <c r="K474">
        <v>-16490</v>
      </c>
      <c r="L474">
        <v>-15175</v>
      </c>
      <c r="M474">
        <v>6.56</v>
      </c>
      <c r="N474">
        <v>847372</v>
      </c>
      <c r="O474">
        <v>19220800</v>
      </c>
      <c r="P474" s="2">
        <v>4.4086198285191047</v>
      </c>
      <c r="Q474" s="4">
        <v>12.608844799999998</v>
      </c>
    </row>
    <row r="475" spans="1:17" x14ac:dyDescent="0.4">
      <c r="A475">
        <v>20210813</v>
      </c>
      <c r="B475" s="1">
        <v>0.20833333333333334</v>
      </c>
      <c r="C475">
        <v>11073</v>
      </c>
      <c r="D475">
        <v>358553</v>
      </c>
      <c r="E475">
        <v>484755</v>
      </c>
      <c r="F475">
        <v>-44500</v>
      </c>
      <c r="G475">
        <v>30090</v>
      </c>
      <c r="H475">
        <v>-120324</v>
      </c>
      <c r="I475">
        <v>-23008</v>
      </c>
      <c r="J475">
        <v>37133</v>
      </c>
      <c r="K475">
        <v>1052</v>
      </c>
      <c r="L475">
        <v>-17873</v>
      </c>
      <c r="M475">
        <v>6.57</v>
      </c>
      <c r="N475">
        <v>716951</v>
      </c>
      <c r="O475">
        <v>19305200</v>
      </c>
      <c r="P475" s="2">
        <v>3.7137714190995172</v>
      </c>
      <c r="Q475" s="4">
        <v>12.6835164</v>
      </c>
    </row>
    <row r="476" spans="1:17" x14ac:dyDescent="0.4">
      <c r="A476">
        <v>20210813</v>
      </c>
      <c r="B476" s="1">
        <v>0.22916666666666666</v>
      </c>
      <c r="C476">
        <v>56169</v>
      </c>
      <c r="D476">
        <v>417400</v>
      </c>
      <c r="E476">
        <v>564385</v>
      </c>
      <c r="F476">
        <v>-65668</v>
      </c>
      <c r="G476">
        <v>35934</v>
      </c>
      <c r="H476">
        <v>-64457</v>
      </c>
      <c r="I476">
        <v>62006</v>
      </c>
      <c r="J476">
        <v>48750</v>
      </c>
      <c r="K476">
        <v>40092</v>
      </c>
      <c r="L476">
        <v>-14474</v>
      </c>
      <c r="M476">
        <v>6.57</v>
      </c>
      <c r="N476">
        <v>1080137</v>
      </c>
      <c r="O476">
        <v>19391550</v>
      </c>
      <c r="P476" s="2">
        <v>5.5701426652330523</v>
      </c>
      <c r="Q476" s="4">
        <v>12.74024835</v>
      </c>
    </row>
    <row r="477" spans="1:17" x14ac:dyDescent="0.4">
      <c r="A477">
        <v>20210813</v>
      </c>
      <c r="B477" s="1">
        <v>0.25</v>
      </c>
      <c r="C477">
        <v>145500</v>
      </c>
      <c r="D477">
        <v>275472</v>
      </c>
      <c r="E477">
        <v>562608</v>
      </c>
      <c r="F477">
        <v>90229</v>
      </c>
      <c r="G477">
        <v>46134</v>
      </c>
      <c r="H477">
        <v>16302</v>
      </c>
      <c r="I477">
        <v>93786</v>
      </c>
      <c r="J477">
        <v>58181</v>
      </c>
      <c r="K477">
        <v>16819</v>
      </c>
      <c r="L477">
        <v>-4830</v>
      </c>
      <c r="M477">
        <v>6.48</v>
      </c>
      <c r="N477">
        <v>1300201</v>
      </c>
      <c r="O477">
        <v>19749750</v>
      </c>
      <c r="P477" s="2">
        <v>6.5833795364498284</v>
      </c>
      <c r="Q477" s="4">
        <v>12.797838000000002</v>
      </c>
    </row>
    <row r="478" spans="1:17" x14ac:dyDescent="0.4">
      <c r="A478">
        <v>20210813</v>
      </c>
      <c r="B478" s="1">
        <v>0.27083333333333331</v>
      </c>
      <c r="C478">
        <v>119717</v>
      </c>
      <c r="D478">
        <v>256167</v>
      </c>
      <c r="E478">
        <v>691041</v>
      </c>
      <c r="F478">
        <v>70436</v>
      </c>
      <c r="G478">
        <v>59556</v>
      </c>
      <c r="H478">
        <v>73020</v>
      </c>
      <c r="I478">
        <v>180249</v>
      </c>
      <c r="J478">
        <v>64915</v>
      </c>
      <c r="K478">
        <v>95304</v>
      </c>
      <c r="L478">
        <v>-2882</v>
      </c>
      <c r="M478">
        <v>6.56</v>
      </c>
      <c r="N478">
        <v>1607523</v>
      </c>
      <c r="O478">
        <v>19966150</v>
      </c>
      <c r="P478" s="2">
        <v>8.0512417266223082</v>
      </c>
      <c r="Q478" s="4">
        <v>13.097794399999998</v>
      </c>
    </row>
    <row r="479" spans="1:17" x14ac:dyDescent="0.4">
      <c r="A479">
        <v>20210813</v>
      </c>
      <c r="B479" s="1">
        <v>0.29166666666666669</v>
      </c>
      <c r="C479">
        <v>273119</v>
      </c>
      <c r="D479">
        <v>261572</v>
      </c>
      <c r="E479">
        <v>1071622</v>
      </c>
      <c r="F479">
        <v>131975</v>
      </c>
      <c r="G479">
        <v>91093</v>
      </c>
      <c r="H479">
        <v>5487</v>
      </c>
      <c r="I479">
        <v>170871</v>
      </c>
      <c r="J479">
        <v>40232</v>
      </c>
      <c r="K479">
        <v>223481</v>
      </c>
      <c r="L479">
        <v>8738</v>
      </c>
      <c r="M479">
        <v>6.96</v>
      </c>
      <c r="N479">
        <v>2278190</v>
      </c>
      <c r="O479">
        <v>20376550</v>
      </c>
      <c r="P479" s="2">
        <v>11.180450076190523</v>
      </c>
      <c r="Q479" s="4">
        <v>14.182078799999999</v>
      </c>
    </row>
    <row r="480" spans="1:17" x14ac:dyDescent="0.4">
      <c r="A480">
        <v>20210813</v>
      </c>
      <c r="B480" s="1">
        <v>0.3125</v>
      </c>
      <c r="C480">
        <v>284659</v>
      </c>
      <c r="D480">
        <v>227393</v>
      </c>
      <c r="E480">
        <v>1323089</v>
      </c>
      <c r="F480">
        <v>291020</v>
      </c>
      <c r="G480">
        <v>113185</v>
      </c>
      <c r="H480">
        <v>36318</v>
      </c>
      <c r="I480">
        <v>240204</v>
      </c>
      <c r="J480">
        <v>42785</v>
      </c>
      <c r="K480">
        <v>313946</v>
      </c>
      <c r="L480">
        <v>1330</v>
      </c>
      <c r="M480">
        <v>6.99</v>
      </c>
      <c r="N480">
        <v>2873929</v>
      </c>
      <c r="O480">
        <v>20435150</v>
      </c>
      <c r="P480" s="2">
        <v>14.063655025776665</v>
      </c>
      <c r="Q480" s="4">
        <v>14.28416985</v>
      </c>
    </row>
    <row r="481" spans="1:17" x14ac:dyDescent="0.4">
      <c r="A481">
        <v>20210813</v>
      </c>
      <c r="B481" s="1">
        <v>0.33333333333333331</v>
      </c>
      <c r="C481">
        <v>381891</v>
      </c>
      <c r="D481">
        <v>124631</v>
      </c>
      <c r="E481">
        <v>1812740</v>
      </c>
      <c r="F481">
        <v>184237</v>
      </c>
      <c r="G481">
        <v>125815</v>
      </c>
      <c r="H481">
        <v>31453</v>
      </c>
      <c r="I481">
        <v>274715</v>
      </c>
      <c r="J481">
        <v>97638</v>
      </c>
      <c r="K481">
        <v>332435</v>
      </c>
      <c r="L481">
        <v>11124</v>
      </c>
      <c r="M481">
        <v>7.08</v>
      </c>
      <c r="N481">
        <v>3376679</v>
      </c>
      <c r="O481">
        <v>21183500</v>
      </c>
      <c r="P481" s="2">
        <v>15.940137371067104</v>
      </c>
      <c r="Q481" s="4">
        <v>14.997918</v>
      </c>
    </row>
    <row r="482" spans="1:17" x14ac:dyDescent="0.4">
      <c r="A482">
        <v>20210813</v>
      </c>
      <c r="B482" s="1">
        <v>0.35416666666666669</v>
      </c>
      <c r="C482">
        <v>395824</v>
      </c>
      <c r="D482">
        <v>197956</v>
      </c>
      <c r="E482">
        <v>1838453</v>
      </c>
      <c r="F482">
        <v>263535</v>
      </c>
      <c r="G482">
        <v>158738</v>
      </c>
      <c r="H482">
        <v>11620</v>
      </c>
      <c r="I482">
        <v>299936</v>
      </c>
      <c r="J482">
        <v>84324</v>
      </c>
      <c r="K482">
        <v>567678</v>
      </c>
      <c r="L482">
        <v>-588</v>
      </c>
      <c r="M482">
        <v>7.23</v>
      </c>
      <c r="N482">
        <v>3817476</v>
      </c>
      <c r="O482">
        <v>21290950</v>
      </c>
      <c r="P482" s="2">
        <v>17.930040698043065</v>
      </c>
      <c r="Q482" s="4">
        <v>15.39335685</v>
      </c>
    </row>
    <row r="483" spans="1:17" x14ac:dyDescent="0.4">
      <c r="A483">
        <v>20210813</v>
      </c>
      <c r="B483" s="1">
        <v>0.375</v>
      </c>
      <c r="C483">
        <v>457260</v>
      </c>
      <c r="D483">
        <v>315953</v>
      </c>
      <c r="E483">
        <v>2433763</v>
      </c>
      <c r="F483">
        <v>300536</v>
      </c>
      <c r="G483">
        <v>166100</v>
      </c>
      <c r="H483">
        <v>70767</v>
      </c>
      <c r="I483">
        <v>361847</v>
      </c>
      <c r="J483">
        <v>80147</v>
      </c>
      <c r="K483">
        <v>610369</v>
      </c>
      <c r="L483">
        <v>8760</v>
      </c>
      <c r="M483">
        <v>7.42</v>
      </c>
      <c r="N483">
        <v>4805502</v>
      </c>
      <c r="O483">
        <v>21630150</v>
      </c>
      <c r="P483" s="2">
        <v>22.216683656840104</v>
      </c>
      <c r="Q483" s="4">
        <v>16.0495713</v>
      </c>
    </row>
    <row r="484" spans="1:17" x14ac:dyDescent="0.4">
      <c r="A484">
        <v>20210813</v>
      </c>
      <c r="B484" s="1">
        <v>0.39583333333333331</v>
      </c>
      <c r="C484">
        <v>380037</v>
      </c>
      <c r="D484">
        <v>333348</v>
      </c>
      <c r="E484">
        <v>1993038</v>
      </c>
      <c r="F484">
        <v>300660</v>
      </c>
      <c r="G484">
        <v>153195</v>
      </c>
      <c r="H484">
        <v>72938</v>
      </c>
      <c r="I484">
        <v>401644</v>
      </c>
      <c r="J484">
        <v>91526</v>
      </c>
      <c r="K484">
        <v>637514</v>
      </c>
      <c r="L484">
        <v>6562</v>
      </c>
      <c r="M484">
        <v>7.79</v>
      </c>
      <c r="N484">
        <v>4370462</v>
      </c>
      <c r="O484">
        <v>21726450</v>
      </c>
      <c r="P484" s="2">
        <v>20.115858780426624</v>
      </c>
      <c r="Q484" s="4">
        <v>16.924904550000001</v>
      </c>
    </row>
    <row r="485" spans="1:17" x14ac:dyDescent="0.4">
      <c r="A485">
        <v>20210813</v>
      </c>
      <c r="B485" s="1">
        <v>0.41666666666666669</v>
      </c>
      <c r="C485">
        <v>406481</v>
      </c>
      <c r="D485">
        <v>407248</v>
      </c>
      <c r="E485">
        <v>1886272</v>
      </c>
      <c r="F485">
        <v>294615</v>
      </c>
      <c r="G485">
        <v>105137</v>
      </c>
      <c r="H485">
        <v>69682</v>
      </c>
      <c r="I485">
        <v>318360</v>
      </c>
      <c r="J485">
        <v>75416</v>
      </c>
      <c r="K485">
        <v>507362</v>
      </c>
      <c r="L485">
        <v>-1358</v>
      </c>
      <c r="M485">
        <v>7.79</v>
      </c>
      <c r="N485">
        <v>4069215</v>
      </c>
      <c r="O485">
        <v>21822950</v>
      </c>
      <c r="P485" s="2">
        <v>18.646493714186214</v>
      </c>
      <c r="Q485" s="4">
        <v>17.000078049999999</v>
      </c>
    </row>
    <row r="486" spans="1:17" x14ac:dyDescent="0.4">
      <c r="A486">
        <v>20210813</v>
      </c>
      <c r="B486" s="1">
        <v>0.4375</v>
      </c>
      <c r="C486">
        <v>404534</v>
      </c>
      <c r="D486">
        <v>332471</v>
      </c>
      <c r="E486">
        <v>1819491</v>
      </c>
      <c r="F486">
        <v>257851</v>
      </c>
      <c r="G486">
        <v>133475</v>
      </c>
      <c r="H486">
        <v>54254</v>
      </c>
      <c r="I486">
        <v>238923</v>
      </c>
      <c r="J486">
        <v>6756</v>
      </c>
      <c r="K486">
        <v>322485</v>
      </c>
      <c r="L486">
        <v>-3171</v>
      </c>
      <c r="M486">
        <v>7.85</v>
      </c>
      <c r="N486">
        <v>3567069</v>
      </c>
      <c r="O486">
        <v>21992050</v>
      </c>
      <c r="P486" s="2">
        <v>16.219811249974423</v>
      </c>
      <c r="Q486" s="4">
        <v>17.26375925</v>
      </c>
    </row>
    <row r="487" spans="1:17" x14ac:dyDescent="0.4">
      <c r="A487">
        <v>20210813</v>
      </c>
      <c r="B487" s="1">
        <v>0.45833333333333331</v>
      </c>
      <c r="C487">
        <v>410075</v>
      </c>
      <c r="D487">
        <v>139384</v>
      </c>
      <c r="E487">
        <v>1858591</v>
      </c>
      <c r="F487">
        <v>183524</v>
      </c>
      <c r="G487">
        <v>117707</v>
      </c>
      <c r="H487">
        <v>36867</v>
      </c>
      <c r="I487">
        <v>203285</v>
      </c>
      <c r="J487">
        <v>-17063</v>
      </c>
      <c r="K487">
        <v>410896</v>
      </c>
      <c r="L487">
        <v>8531</v>
      </c>
      <c r="M487">
        <v>8.14</v>
      </c>
      <c r="N487">
        <v>3351797</v>
      </c>
      <c r="O487">
        <v>22223350</v>
      </c>
      <c r="P487" s="2">
        <v>15.082321072205586</v>
      </c>
      <c r="Q487" s="4">
        <v>18.089806899999999</v>
      </c>
    </row>
    <row r="488" spans="1:17" x14ac:dyDescent="0.4">
      <c r="A488">
        <v>20210813</v>
      </c>
      <c r="B488" s="1">
        <v>0.47916666666666669</v>
      </c>
      <c r="C488">
        <v>444833</v>
      </c>
      <c r="D488">
        <v>213415</v>
      </c>
      <c r="E488">
        <v>1386060</v>
      </c>
      <c r="F488">
        <v>263156</v>
      </c>
      <c r="G488">
        <v>139162</v>
      </c>
      <c r="H488">
        <v>62751</v>
      </c>
      <c r="I488">
        <v>143025</v>
      </c>
      <c r="J488">
        <v>-49016</v>
      </c>
      <c r="K488">
        <v>396852</v>
      </c>
      <c r="L488">
        <v>9337</v>
      </c>
      <c r="M488">
        <v>8.64</v>
      </c>
      <c r="N488">
        <v>3009575</v>
      </c>
      <c r="O488">
        <v>22347950</v>
      </c>
      <c r="P488" s="2">
        <v>13.466895173830261</v>
      </c>
      <c r="Q488" s="4">
        <v>19.308628800000001</v>
      </c>
    </row>
    <row r="489" spans="1:17" x14ac:dyDescent="0.4">
      <c r="A489">
        <v>20210813</v>
      </c>
      <c r="B489" s="1">
        <v>0.5</v>
      </c>
      <c r="C489">
        <v>413507</v>
      </c>
      <c r="D489">
        <v>219093</v>
      </c>
      <c r="E489">
        <v>1518984</v>
      </c>
      <c r="F489">
        <v>211250</v>
      </c>
      <c r="G489">
        <v>167483</v>
      </c>
      <c r="H489">
        <v>91797</v>
      </c>
      <c r="I489">
        <v>84742</v>
      </c>
      <c r="J489">
        <v>-8223</v>
      </c>
      <c r="K489">
        <v>379002</v>
      </c>
      <c r="L489">
        <v>24941</v>
      </c>
      <c r="M489">
        <v>8.67</v>
      </c>
      <c r="N489">
        <v>3102576</v>
      </c>
      <c r="O489">
        <v>22489250</v>
      </c>
      <c r="P489" s="2">
        <v>13.795818001934258</v>
      </c>
      <c r="Q489" s="4">
        <v>19.498179749999998</v>
      </c>
    </row>
    <row r="490" spans="1:17" x14ac:dyDescent="0.4">
      <c r="A490">
        <v>20210813</v>
      </c>
      <c r="B490" s="1">
        <v>0.52083333333333337</v>
      </c>
      <c r="C490">
        <v>401785</v>
      </c>
      <c r="D490">
        <v>324331</v>
      </c>
      <c r="E490">
        <v>1855143</v>
      </c>
      <c r="F490">
        <v>385438</v>
      </c>
      <c r="G490">
        <v>183929</v>
      </c>
      <c r="H490">
        <v>224346</v>
      </c>
      <c r="I490">
        <v>72159</v>
      </c>
      <c r="J490">
        <v>53420</v>
      </c>
      <c r="K490">
        <v>276894</v>
      </c>
      <c r="L490">
        <v>35780</v>
      </c>
      <c r="M490">
        <v>8.86</v>
      </c>
      <c r="N490">
        <v>3813225</v>
      </c>
      <c r="O490">
        <v>22476900</v>
      </c>
      <c r="P490" s="2">
        <v>16.965084153063813</v>
      </c>
      <c r="Q490" s="4">
        <v>19.9145334</v>
      </c>
    </row>
    <row r="491" spans="1:17" x14ac:dyDescent="0.4">
      <c r="A491">
        <v>20210813</v>
      </c>
      <c r="B491" s="1">
        <v>0.54166666666666663</v>
      </c>
      <c r="C491">
        <v>391370</v>
      </c>
      <c r="D491">
        <v>259524</v>
      </c>
      <c r="E491">
        <v>2003458</v>
      </c>
      <c r="F491">
        <v>396733</v>
      </c>
      <c r="G491">
        <v>119493</v>
      </c>
      <c r="H491">
        <v>401507</v>
      </c>
      <c r="I491">
        <v>29487</v>
      </c>
      <c r="J491">
        <v>12263</v>
      </c>
      <c r="K491">
        <v>394127</v>
      </c>
      <c r="L491">
        <v>41686</v>
      </c>
      <c r="M491">
        <v>8.5500000000000007</v>
      </c>
      <c r="N491">
        <v>4049648</v>
      </c>
      <c r="O491">
        <v>22395500</v>
      </c>
      <c r="P491" s="2">
        <v>18.082418342970687</v>
      </c>
      <c r="Q491" s="4">
        <v>19.148152500000002</v>
      </c>
    </row>
    <row r="492" spans="1:17" x14ac:dyDescent="0.4">
      <c r="A492">
        <v>20210813</v>
      </c>
      <c r="B492" s="1">
        <v>0.5625</v>
      </c>
      <c r="C492">
        <v>394814</v>
      </c>
      <c r="D492">
        <v>270131</v>
      </c>
      <c r="E492">
        <v>1987650</v>
      </c>
      <c r="F492">
        <v>472737</v>
      </c>
      <c r="G492">
        <v>131148</v>
      </c>
      <c r="H492">
        <v>565486</v>
      </c>
      <c r="I492">
        <v>-37531</v>
      </c>
      <c r="J492">
        <v>-11879</v>
      </c>
      <c r="K492">
        <v>423808</v>
      </c>
      <c r="L492">
        <v>35198</v>
      </c>
      <c r="M492">
        <v>8.6199999999999992</v>
      </c>
      <c r="N492">
        <v>4231562</v>
      </c>
      <c r="O492">
        <v>22484600</v>
      </c>
      <c r="P492" s="2">
        <v>18.81982334575665</v>
      </c>
      <c r="Q492" s="4">
        <v>19.381725199999998</v>
      </c>
    </row>
    <row r="493" spans="1:17" x14ac:dyDescent="0.4">
      <c r="A493">
        <v>20210813</v>
      </c>
      <c r="B493" s="1">
        <v>0.58333333333333337</v>
      </c>
      <c r="C493">
        <v>304109</v>
      </c>
      <c r="D493">
        <v>175946</v>
      </c>
      <c r="E493">
        <v>1887197</v>
      </c>
      <c r="F493">
        <v>135535</v>
      </c>
      <c r="G493">
        <v>138739</v>
      </c>
      <c r="H493">
        <v>529732</v>
      </c>
      <c r="I493">
        <v>-69978</v>
      </c>
      <c r="J493">
        <v>487</v>
      </c>
      <c r="K493">
        <v>433443</v>
      </c>
      <c r="L493">
        <v>29547</v>
      </c>
      <c r="M493">
        <v>8.86</v>
      </c>
      <c r="N493">
        <v>3564757</v>
      </c>
      <c r="O493">
        <v>22578900</v>
      </c>
      <c r="P493" s="2">
        <v>15.788001186948877</v>
      </c>
      <c r="Q493" s="4">
        <v>20.004905399999998</v>
      </c>
    </row>
    <row r="494" spans="1:17" x14ac:dyDescent="0.4">
      <c r="A494">
        <v>20210813</v>
      </c>
      <c r="B494" s="1">
        <v>0.60416666666666663</v>
      </c>
      <c r="C494">
        <v>321931</v>
      </c>
      <c r="D494">
        <v>252420</v>
      </c>
      <c r="E494">
        <v>1923299</v>
      </c>
      <c r="F494">
        <v>124997</v>
      </c>
      <c r="G494">
        <v>125987</v>
      </c>
      <c r="H494">
        <v>624225</v>
      </c>
      <c r="I494">
        <v>-152077</v>
      </c>
      <c r="J494">
        <v>18394</v>
      </c>
      <c r="K494">
        <v>376361</v>
      </c>
      <c r="L494">
        <v>24413</v>
      </c>
      <c r="M494">
        <v>8.86</v>
      </c>
      <c r="N494">
        <v>3639950</v>
      </c>
      <c r="O494">
        <v>22591850</v>
      </c>
      <c r="P494" s="2">
        <v>16.111783674201096</v>
      </c>
      <c r="Q494" s="4">
        <v>20.016379100000002</v>
      </c>
    </row>
    <row r="495" spans="1:17" x14ac:dyDescent="0.4">
      <c r="A495">
        <v>20210813</v>
      </c>
      <c r="B495" s="1">
        <v>0.625</v>
      </c>
      <c r="C495">
        <v>224352</v>
      </c>
      <c r="D495">
        <v>264942</v>
      </c>
      <c r="E495">
        <v>1860897</v>
      </c>
      <c r="F495">
        <v>259431</v>
      </c>
      <c r="G495">
        <v>141006</v>
      </c>
      <c r="H495">
        <v>616646</v>
      </c>
      <c r="I495">
        <v>-141514</v>
      </c>
      <c r="J495">
        <v>5496</v>
      </c>
      <c r="K495">
        <v>330961</v>
      </c>
      <c r="L495">
        <v>43876</v>
      </c>
      <c r="M495">
        <v>8.86</v>
      </c>
      <c r="N495">
        <v>3606093</v>
      </c>
      <c r="O495">
        <v>22531350</v>
      </c>
      <c r="P495" s="2">
        <v>16.004780006524243</v>
      </c>
      <c r="Q495" s="4">
        <v>19.962776099999999</v>
      </c>
    </row>
    <row r="496" spans="1:17" x14ac:dyDescent="0.4">
      <c r="A496">
        <v>20210813</v>
      </c>
      <c r="B496" s="1">
        <v>0.64583333333333337</v>
      </c>
      <c r="C496">
        <v>266956</v>
      </c>
      <c r="D496">
        <v>297486</v>
      </c>
      <c r="E496">
        <v>1869542</v>
      </c>
      <c r="F496">
        <v>246812</v>
      </c>
      <c r="G496">
        <v>156650</v>
      </c>
      <c r="H496">
        <v>641431</v>
      </c>
      <c r="I496">
        <v>-147341</v>
      </c>
      <c r="J496">
        <v>810</v>
      </c>
      <c r="K496">
        <v>256516</v>
      </c>
      <c r="L496">
        <v>38332</v>
      </c>
      <c r="M496">
        <v>8.86</v>
      </c>
      <c r="N496">
        <v>3627194</v>
      </c>
      <c r="O496">
        <v>22509450</v>
      </c>
      <c r="P496" s="2">
        <v>16.114094302615126</v>
      </c>
      <c r="Q496" s="4">
        <v>19.943372700000001</v>
      </c>
    </row>
    <row r="497" spans="1:17" x14ac:dyDescent="0.4">
      <c r="A497">
        <v>20210813</v>
      </c>
      <c r="B497" s="1">
        <v>0.66666666666666663</v>
      </c>
      <c r="C497">
        <v>176054</v>
      </c>
      <c r="D497">
        <v>399649</v>
      </c>
      <c r="E497">
        <v>1494038</v>
      </c>
      <c r="F497">
        <v>229489</v>
      </c>
      <c r="G497">
        <v>92510</v>
      </c>
      <c r="H497">
        <v>537139</v>
      </c>
      <c r="I497">
        <v>-116987</v>
      </c>
      <c r="J497">
        <v>-22232</v>
      </c>
      <c r="K497">
        <v>119559</v>
      </c>
      <c r="L497">
        <v>20980</v>
      </c>
      <c r="M497">
        <v>8.86</v>
      </c>
      <c r="N497">
        <v>2930199</v>
      </c>
      <c r="O497">
        <v>23018050</v>
      </c>
      <c r="P497" s="2">
        <v>12.730005365354581</v>
      </c>
      <c r="Q497" s="4">
        <v>20.393992300000001</v>
      </c>
    </row>
    <row r="498" spans="1:17" x14ac:dyDescent="0.4">
      <c r="A498">
        <v>20210813</v>
      </c>
      <c r="B498" s="1">
        <v>0.6875</v>
      </c>
      <c r="C498">
        <v>118420</v>
      </c>
      <c r="D498">
        <v>373783</v>
      </c>
      <c r="E498">
        <v>1376500</v>
      </c>
      <c r="F498">
        <v>145929</v>
      </c>
      <c r="G498">
        <v>62637</v>
      </c>
      <c r="H498">
        <v>377531</v>
      </c>
      <c r="I498">
        <v>-107632</v>
      </c>
      <c r="J498">
        <v>-40177</v>
      </c>
      <c r="K498">
        <v>91214</v>
      </c>
      <c r="L498">
        <v>8194</v>
      </c>
      <c r="M498">
        <v>8.86</v>
      </c>
      <c r="N498">
        <v>2406399</v>
      </c>
      <c r="O498">
        <v>23122100</v>
      </c>
      <c r="P498" s="2">
        <v>10.407354868286186</v>
      </c>
      <c r="Q498" s="4">
        <v>20.486180600000001</v>
      </c>
    </row>
    <row r="499" spans="1:17" x14ac:dyDescent="0.4">
      <c r="A499">
        <v>20210813</v>
      </c>
      <c r="B499" s="1">
        <v>0.70833333333333337</v>
      </c>
      <c r="C499">
        <v>135840</v>
      </c>
      <c r="D499">
        <v>408551</v>
      </c>
      <c r="E499">
        <v>1225249</v>
      </c>
      <c r="F499">
        <v>109656</v>
      </c>
      <c r="G499">
        <v>61047</v>
      </c>
      <c r="H499">
        <v>253490</v>
      </c>
      <c r="I499">
        <v>-39293</v>
      </c>
      <c r="J499">
        <v>-46845</v>
      </c>
      <c r="K499">
        <v>29892</v>
      </c>
      <c r="L499">
        <v>1817</v>
      </c>
      <c r="M499">
        <v>7.94</v>
      </c>
      <c r="N499">
        <v>2139404</v>
      </c>
      <c r="O499">
        <v>22875750</v>
      </c>
      <c r="P499" s="2">
        <v>9.3522791602461126</v>
      </c>
      <c r="Q499" s="4">
        <v>18.163345499999998</v>
      </c>
    </row>
    <row r="500" spans="1:17" x14ac:dyDescent="0.4">
      <c r="A500">
        <v>20210813</v>
      </c>
      <c r="B500" s="1">
        <v>0.72916666666666663</v>
      </c>
      <c r="C500">
        <v>158086</v>
      </c>
      <c r="D500">
        <v>349228</v>
      </c>
      <c r="E500">
        <v>1225511</v>
      </c>
      <c r="F500">
        <v>97692</v>
      </c>
      <c r="G500">
        <v>32432</v>
      </c>
      <c r="H500">
        <v>213319</v>
      </c>
      <c r="I500">
        <v>-81387</v>
      </c>
      <c r="J500">
        <v>-41618</v>
      </c>
      <c r="K500">
        <v>-102987</v>
      </c>
      <c r="L500">
        <v>-4970</v>
      </c>
      <c r="M500">
        <v>8.86</v>
      </c>
      <c r="N500">
        <v>1845306</v>
      </c>
      <c r="O500">
        <v>22698700</v>
      </c>
      <c r="P500" s="2">
        <v>8.1295668914959887</v>
      </c>
      <c r="Q500" s="4">
        <v>20.111048199999999</v>
      </c>
    </row>
    <row r="501" spans="1:17" x14ac:dyDescent="0.4">
      <c r="A501">
        <v>20210813</v>
      </c>
      <c r="B501" s="1">
        <v>0.75</v>
      </c>
      <c r="C501">
        <v>80430</v>
      </c>
      <c r="D501">
        <v>346817</v>
      </c>
      <c r="E501">
        <v>1067775</v>
      </c>
      <c r="F501">
        <v>9685</v>
      </c>
      <c r="G501">
        <v>47760</v>
      </c>
      <c r="H501">
        <v>216420</v>
      </c>
      <c r="I501">
        <v>-115167</v>
      </c>
      <c r="J501">
        <v>-31468</v>
      </c>
      <c r="K501">
        <v>-110683</v>
      </c>
      <c r="L501">
        <v>-3756</v>
      </c>
      <c r="M501">
        <v>8.14</v>
      </c>
      <c r="N501">
        <v>1507813</v>
      </c>
      <c r="O501">
        <v>22188150</v>
      </c>
      <c r="P501" s="2">
        <v>6.7955778196920429</v>
      </c>
      <c r="Q501" s="4">
        <v>18.0611541</v>
      </c>
    </row>
    <row r="502" spans="1:17" x14ac:dyDescent="0.4">
      <c r="A502">
        <v>20210813</v>
      </c>
      <c r="B502" s="1">
        <v>0.77083333333333337</v>
      </c>
      <c r="C502">
        <v>126985</v>
      </c>
      <c r="D502">
        <v>368741</v>
      </c>
      <c r="E502">
        <v>1126345</v>
      </c>
      <c r="F502">
        <v>28636</v>
      </c>
      <c r="G502">
        <v>37522</v>
      </c>
      <c r="H502">
        <v>83271</v>
      </c>
      <c r="I502">
        <v>-61304</v>
      </c>
      <c r="J502">
        <v>-20908</v>
      </c>
      <c r="K502">
        <v>-124730</v>
      </c>
      <c r="L502">
        <v>-4151</v>
      </c>
      <c r="M502">
        <v>8.11</v>
      </c>
      <c r="N502">
        <v>1560407</v>
      </c>
      <c r="O502">
        <v>21940500</v>
      </c>
      <c r="P502" s="2">
        <v>7.1119938014174702</v>
      </c>
      <c r="Q502" s="4">
        <v>17.7937455</v>
      </c>
    </row>
    <row r="503" spans="1:17" x14ac:dyDescent="0.4">
      <c r="A503">
        <v>20210813</v>
      </c>
      <c r="B503" s="1">
        <v>0.79166666666666663</v>
      </c>
      <c r="C503">
        <v>127123</v>
      </c>
      <c r="D503">
        <v>410861</v>
      </c>
      <c r="E503">
        <v>1207165</v>
      </c>
      <c r="F503">
        <v>73975</v>
      </c>
      <c r="G503">
        <v>39231</v>
      </c>
      <c r="H503">
        <v>153338</v>
      </c>
      <c r="I503">
        <v>-41969</v>
      </c>
      <c r="J503">
        <v>-17628</v>
      </c>
      <c r="K503">
        <v>-129560</v>
      </c>
      <c r="L503">
        <v>-7919</v>
      </c>
      <c r="M503">
        <v>7.93</v>
      </c>
      <c r="N503">
        <v>1814617</v>
      </c>
      <c r="O503">
        <v>21323550</v>
      </c>
      <c r="P503" s="2">
        <v>8.5099197835257261</v>
      </c>
      <c r="Q503" s="4">
        <v>16.909575149999998</v>
      </c>
    </row>
    <row r="504" spans="1:17" x14ac:dyDescent="0.4">
      <c r="A504">
        <v>20210813</v>
      </c>
      <c r="B504" s="1">
        <v>0.8125</v>
      </c>
      <c r="C504">
        <v>81746</v>
      </c>
      <c r="D504">
        <v>448614</v>
      </c>
      <c r="E504">
        <v>1104318</v>
      </c>
      <c r="F504">
        <v>25281</v>
      </c>
      <c r="G504">
        <v>36198</v>
      </c>
      <c r="H504">
        <v>73121</v>
      </c>
      <c r="I504">
        <v>-13374</v>
      </c>
      <c r="J504">
        <v>-107</v>
      </c>
      <c r="K504">
        <v>82471</v>
      </c>
      <c r="L504">
        <v>-9251</v>
      </c>
      <c r="M504">
        <v>7.59</v>
      </c>
      <c r="N504">
        <v>1829017</v>
      </c>
      <c r="O504">
        <v>21555400</v>
      </c>
      <c r="P504" s="2">
        <v>8.4851916457129075</v>
      </c>
      <c r="Q504" s="4">
        <v>16.360548600000001</v>
      </c>
    </row>
    <row r="505" spans="1:17" x14ac:dyDescent="0.4">
      <c r="A505">
        <v>20210813</v>
      </c>
      <c r="B505" s="1">
        <v>0.83333333333333337</v>
      </c>
      <c r="C505">
        <v>38827</v>
      </c>
      <c r="D505">
        <v>433021</v>
      </c>
      <c r="E505">
        <v>1012802</v>
      </c>
      <c r="F505">
        <v>-958</v>
      </c>
      <c r="G505">
        <v>40121</v>
      </c>
      <c r="H505">
        <v>172883</v>
      </c>
      <c r="I505">
        <v>-13750</v>
      </c>
      <c r="J505">
        <v>5435</v>
      </c>
      <c r="K505">
        <v>83076</v>
      </c>
      <c r="L505">
        <v>-18101</v>
      </c>
      <c r="M505">
        <v>7.35</v>
      </c>
      <c r="N505">
        <v>1753356</v>
      </c>
      <c r="O505">
        <v>20601550</v>
      </c>
      <c r="P505" s="2">
        <v>8.5107965177377434</v>
      </c>
      <c r="Q505" s="4">
        <v>15.14213925</v>
      </c>
    </row>
    <row r="506" spans="1:17" x14ac:dyDescent="0.4">
      <c r="A506">
        <v>20210813</v>
      </c>
      <c r="B506" s="1">
        <v>0.85416666666666663</v>
      </c>
      <c r="C506">
        <v>44840</v>
      </c>
      <c r="D506">
        <v>438699</v>
      </c>
      <c r="E506">
        <v>901494</v>
      </c>
      <c r="F506">
        <v>-51445</v>
      </c>
      <c r="G506">
        <v>29142</v>
      </c>
      <c r="H506">
        <v>49099</v>
      </c>
      <c r="I506">
        <v>-6005</v>
      </c>
      <c r="J506">
        <v>7380</v>
      </c>
      <c r="K506">
        <v>45682</v>
      </c>
      <c r="L506">
        <v>-10637</v>
      </c>
      <c r="M506">
        <v>7.16</v>
      </c>
      <c r="N506">
        <v>1448249</v>
      </c>
      <c r="O506">
        <v>20738600</v>
      </c>
      <c r="P506" s="2">
        <v>6.9833498886135033</v>
      </c>
      <c r="Q506" s="4">
        <v>14.8488376</v>
      </c>
    </row>
    <row r="507" spans="1:17" x14ac:dyDescent="0.4">
      <c r="A507">
        <v>20210813</v>
      </c>
      <c r="B507" s="1">
        <v>0.875</v>
      </c>
      <c r="C507">
        <v>38251</v>
      </c>
      <c r="D507">
        <v>413703</v>
      </c>
      <c r="E507">
        <v>820963</v>
      </c>
      <c r="F507">
        <v>-3308</v>
      </c>
      <c r="G507">
        <v>3673</v>
      </c>
      <c r="H507">
        <v>-10562</v>
      </c>
      <c r="I507">
        <v>-21195</v>
      </c>
      <c r="J507">
        <v>7033</v>
      </c>
      <c r="K507">
        <v>66972</v>
      </c>
      <c r="L507">
        <v>-17353</v>
      </c>
      <c r="M507">
        <v>7.03</v>
      </c>
      <c r="N507">
        <v>1298177</v>
      </c>
      <c r="O507">
        <v>20633450</v>
      </c>
      <c r="P507" s="2">
        <v>6.291613860018562</v>
      </c>
      <c r="Q507" s="4">
        <v>14.50531535</v>
      </c>
    </row>
    <row r="508" spans="1:17" x14ac:dyDescent="0.4">
      <c r="A508">
        <v>20210813</v>
      </c>
      <c r="B508" s="1">
        <v>0.89583333333333337</v>
      </c>
      <c r="C508">
        <v>62005</v>
      </c>
      <c r="D508">
        <v>414379</v>
      </c>
      <c r="E508">
        <v>758695</v>
      </c>
      <c r="F508">
        <v>-43496</v>
      </c>
      <c r="G508">
        <v>-13643</v>
      </c>
      <c r="H508">
        <v>-33687</v>
      </c>
      <c r="I508">
        <v>-14213</v>
      </c>
      <c r="J508">
        <v>5943</v>
      </c>
      <c r="K508">
        <v>59531</v>
      </c>
      <c r="L508">
        <v>-9693</v>
      </c>
      <c r="M508">
        <v>6.95</v>
      </c>
      <c r="N508">
        <v>1185821</v>
      </c>
      <c r="O508">
        <v>20469250</v>
      </c>
      <c r="P508" s="2">
        <v>5.7931824566117465</v>
      </c>
      <c r="Q508" s="4">
        <v>14.226128750000001</v>
      </c>
    </row>
    <row r="509" spans="1:17" x14ac:dyDescent="0.4">
      <c r="A509">
        <v>20210813</v>
      </c>
      <c r="B509" s="1">
        <v>0.91666666666666663</v>
      </c>
      <c r="C509">
        <v>63869</v>
      </c>
      <c r="D509">
        <v>442454</v>
      </c>
      <c r="E509">
        <v>525789</v>
      </c>
      <c r="F509">
        <v>-7183</v>
      </c>
      <c r="G509">
        <v>-14575</v>
      </c>
      <c r="H509">
        <v>-160826</v>
      </c>
      <c r="I509">
        <v>-36286</v>
      </c>
      <c r="J509">
        <v>11177</v>
      </c>
      <c r="K509">
        <v>55576</v>
      </c>
      <c r="L509">
        <v>-8461</v>
      </c>
      <c r="M509">
        <v>6.95</v>
      </c>
      <c r="N509">
        <v>871534</v>
      </c>
      <c r="O509">
        <v>20375250</v>
      </c>
      <c r="P509" s="2">
        <v>4.2774150010429324</v>
      </c>
      <c r="Q509" s="4">
        <v>14.16079875</v>
      </c>
    </row>
    <row r="510" spans="1:17" x14ac:dyDescent="0.4">
      <c r="A510">
        <v>20210813</v>
      </c>
      <c r="B510" s="1">
        <v>0.9375</v>
      </c>
      <c r="C510">
        <v>28537</v>
      </c>
      <c r="D510">
        <v>349916</v>
      </c>
      <c r="E510">
        <v>344586</v>
      </c>
      <c r="F510">
        <v>-53191</v>
      </c>
      <c r="G510">
        <v>-22391</v>
      </c>
      <c r="H510">
        <v>-197262</v>
      </c>
      <c r="I510">
        <v>-13581</v>
      </c>
      <c r="J510">
        <v>-9456</v>
      </c>
      <c r="K510">
        <v>70062</v>
      </c>
      <c r="L510">
        <v>365</v>
      </c>
      <c r="M510">
        <v>6.87</v>
      </c>
      <c r="N510">
        <v>497585</v>
      </c>
      <c r="O510">
        <v>20032600</v>
      </c>
      <c r="P510" s="2">
        <v>2.4838762816608928</v>
      </c>
      <c r="Q510" s="4">
        <v>13.7623962</v>
      </c>
    </row>
    <row r="511" spans="1:17" x14ac:dyDescent="0.4">
      <c r="A511">
        <v>20210813</v>
      </c>
      <c r="B511" s="1">
        <v>0.95833333333333337</v>
      </c>
      <c r="C511">
        <v>62054</v>
      </c>
      <c r="D511">
        <v>313773</v>
      </c>
      <c r="E511">
        <v>288221</v>
      </c>
      <c r="F511">
        <v>-98997</v>
      </c>
      <c r="G511">
        <v>-27844</v>
      </c>
      <c r="H511">
        <v>-208153</v>
      </c>
      <c r="I511">
        <v>-64533</v>
      </c>
      <c r="J511">
        <v>3571</v>
      </c>
      <c r="K511">
        <v>-40726</v>
      </c>
      <c r="L511">
        <v>-15617</v>
      </c>
      <c r="M511">
        <v>6.99</v>
      </c>
      <c r="N511">
        <v>211749</v>
      </c>
      <c r="O511">
        <v>19506900</v>
      </c>
      <c r="P511" s="2">
        <v>1.0855082047890747</v>
      </c>
      <c r="Q511" s="4">
        <v>13.635323100000001</v>
      </c>
    </row>
    <row r="512" spans="1:17" x14ac:dyDescent="0.4">
      <c r="A512">
        <v>20210813</v>
      </c>
      <c r="B512" s="1">
        <v>0.97916666666666663</v>
      </c>
      <c r="C512">
        <v>51943</v>
      </c>
      <c r="D512">
        <v>339705</v>
      </c>
      <c r="E512">
        <v>179664</v>
      </c>
      <c r="F512">
        <v>-158982</v>
      </c>
      <c r="G512">
        <v>-38211</v>
      </c>
      <c r="H512">
        <v>-155701</v>
      </c>
      <c r="I512">
        <v>-100792</v>
      </c>
      <c r="J512">
        <v>-12837</v>
      </c>
      <c r="K512">
        <v>-9453</v>
      </c>
      <c r="L512">
        <v>-9262</v>
      </c>
      <c r="M512">
        <v>6.55</v>
      </c>
      <c r="N512">
        <v>86074</v>
      </c>
      <c r="O512">
        <v>18651150</v>
      </c>
      <c r="P512" s="2">
        <v>0.46149433144873103</v>
      </c>
      <c r="Q512" s="4">
        <v>12.216503250000001</v>
      </c>
    </row>
    <row r="513" spans="1:17" x14ac:dyDescent="0.4">
      <c r="A513">
        <v>20210814</v>
      </c>
      <c r="B513" s="1">
        <v>0</v>
      </c>
      <c r="C513">
        <v>83170</v>
      </c>
      <c r="D513">
        <v>324654</v>
      </c>
      <c r="E513">
        <v>413804</v>
      </c>
      <c r="F513">
        <v>-177026</v>
      </c>
      <c r="G513">
        <v>22694</v>
      </c>
      <c r="H513">
        <v>-175898</v>
      </c>
      <c r="I513">
        <v>-77756</v>
      </c>
      <c r="J513">
        <v>28402</v>
      </c>
      <c r="K513">
        <v>58998</v>
      </c>
      <c r="L513">
        <v>-13022</v>
      </c>
      <c r="M513">
        <v>6.27</v>
      </c>
      <c r="N513">
        <v>488020</v>
      </c>
      <c r="O513">
        <v>17774450</v>
      </c>
      <c r="P513" s="2">
        <v>2.7456264469505385</v>
      </c>
      <c r="Q513" s="4">
        <v>11.144580149999998</v>
      </c>
    </row>
    <row r="514" spans="1:17" x14ac:dyDescent="0.4">
      <c r="A514">
        <v>20210814</v>
      </c>
      <c r="B514" s="1">
        <v>2.0833333333333332E-2</v>
      </c>
      <c r="C514">
        <v>92625</v>
      </c>
      <c r="D514">
        <v>271894</v>
      </c>
      <c r="E514">
        <v>462178</v>
      </c>
      <c r="F514">
        <v>-97176</v>
      </c>
      <c r="G514">
        <v>3632</v>
      </c>
      <c r="H514">
        <v>-250380</v>
      </c>
      <c r="I514">
        <v>-141706</v>
      </c>
      <c r="J514">
        <v>19502</v>
      </c>
      <c r="K514">
        <v>5644</v>
      </c>
      <c r="L514">
        <v>-2836</v>
      </c>
      <c r="M514">
        <v>6.15</v>
      </c>
      <c r="N514">
        <v>363377</v>
      </c>
      <c r="O514">
        <v>18497450</v>
      </c>
      <c r="P514" s="2">
        <v>1.9644707784045909</v>
      </c>
      <c r="Q514" s="4">
        <v>11.375931749999999</v>
      </c>
    </row>
    <row r="515" spans="1:17" x14ac:dyDescent="0.4">
      <c r="A515">
        <v>20210814</v>
      </c>
      <c r="B515" s="1">
        <v>4.1666666666666664E-2</v>
      </c>
      <c r="C515">
        <v>62711</v>
      </c>
      <c r="D515">
        <v>227622</v>
      </c>
      <c r="E515">
        <v>249280</v>
      </c>
      <c r="F515">
        <v>-106794</v>
      </c>
      <c r="G515">
        <v>2222</v>
      </c>
      <c r="H515">
        <v>-248615</v>
      </c>
      <c r="I515">
        <v>-63914</v>
      </c>
      <c r="J515">
        <v>17959</v>
      </c>
      <c r="K515">
        <v>-15697</v>
      </c>
      <c r="L515">
        <v>-10192</v>
      </c>
      <c r="M515">
        <v>6.19</v>
      </c>
      <c r="N515">
        <v>114582</v>
      </c>
      <c r="O515">
        <v>18712850</v>
      </c>
      <c r="P515" s="2">
        <v>0.61231720448782523</v>
      </c>
      <c r="Q515" s="4">
        <v>11.58325415</v>
      </c>
    </row>
    <row r="516" spans="1:17" x14ac:dyDescent="0.4">
      <c r="A516">
        <v>20210814</v>
      </c>
      <c r="B516" s="1">
        <v>6.25E-2</v>
      </c>
      <c r="C516">
        <v>80548</v>
      </c>
      <c r="D516">
        <v>239872</v>
      </c>
      <c r="E516">
        <v>282755</v>
      </c>
      <c r="F516">
        <v>-94412</v>
      </c>
      <c r="G516">
        <v>-2928</v>
      </c>
      <c r="H516">
        <v>-251424</v>
      </c>
      <c r="I516">
        <v>-98091</v>
      </c>
      <c r="J516">
        <v>15995</v>
      </c>
      <c r="K516">
        <v>25522</v>
      </c>
      <c r="L516">
        <v>-6428</v>
      </c>
      <c r="M516">
        <v>6.08</v>
      </c>
      <c r="N516">
        <v>191409</v>
      </c>
      <c r="O516">
        <v>18462700</v>
      </c>
      <c r="P516" s="2">
        <v>1.0367335221825627</v>
      </c>
      <c r="Q516" s="4">
        <v>11.225321599999999</v>
      </c>
    </row>
    <row r="517" spans="1:17" x14ac:dyDescent="0.4">
      <c r="A517">
        <v>20210814</v>
      </c>
      <c r="B517" s="1">
        <v>8.3333333333333329E-2</v>
      </c>
      <c r="C517">
        <v>69858</v>
      </c>
      <c r="D517">
        <v>270960</v>
      </c>
      <c r="E517">
        <v>92619</v>
      </c>
      <c r="F517">
        <v>-155651</v>
      </c>
      <c r="G517">
        <v>-9653</v>
      </c>
      <c r="H517">
        <v>-177122</v>
      </c>
      <c r="I517">
        <v>-77065</v>
      </c>
      <c r="J517">
        <v>25460</v>
      </c>
      <c r="K517">
        <v>-7030</v>
      </c>
      <c r="L517">
        <v>941</v>
      </c>
      <c r="M517">
        <v>6.08</v>
      </c>
      <c r="N517">
        <v>33317</v>
      </c>
      <c r="O517">
        <v>18807200</v>
      </c>
      <c r="P517" s="2">
        <v>0.17715024033348931</v>
      </c>
      <c r="Q517" s="4">
        <v>11.4347776</v>
      </c>
    </row>
    <row r="518" spans="1:17" x14ac:dyDescent="0.4">
      <c r="A518">
        <v>20210814</v>
      </c>
      <c r="B518" s="1">
        <v>0.20833333333333334</v>
      </c>
      <c r="C518">
        <v>58058</v>
      </c>
      <c r="D518">
        <v>325520</v>
      </c>
      <c r="E518">
        <v>127282</v>
      </c>
      <c r="F518">
        <v>-131146</v>
      </c>
      <c r="G518">
        <v>-42897</v>
      </c>
      <c r="H518">
        <v>-203040</v>
      </c>
      <c r="I518">
        <v>-68458</v>
      </c>
      <c r="J518">
        <v>47406</v>
      </c>
      <c r="K518">
        <v>-18544</v>
      </c>
      <c r="L518">
        <v>-9164</v>
      </c>
      <c r="M518">
        <v>6.35</v>
      </c>
      <c r="N518">
        <v>85017</v>
      </c>
      <c r="O518">
        <v>18978100</v>
      </c>
      <c r="P518" s="2">
        <v>0.44797424399702818</v>
      </c>
      <c r="Q518" s="4">
        <v>12.0510935</v>
      </c>
    </row>
    <row r="519" spans="1:17" x14ac:dyDescent="0.4">
      <c r="A519">
        <v>20210814</v>
      </c>
      <c r="B519" s="1">
        <v>0.22916666666666666</v>
      </c>
      <c r="C519">
        <v>82854</v>
      </c>
      <c r="D519">
        <v>362801</v>
      </c>
      <c r="E519">
        <v>179249</v>
      </c>
      <c r="F519">
        <v>-20775</v>
      </c>
      <c r="G519">
        <v>14331</v>
      </c>
      <c r="H519">
        <v>-151931</v>
      </c>
      <c r="I519">
        <v>-90131</v>
      </c>
      <c r="J519">
        <v>47381</v>
      </c>
      <c r="K519">
        <v>-69439</v>
      </c>
      <c r="L519">
        <v>-4879</v>
      </c>
      <c r="M519">
        <v>6.35</v>
      </c>
      <c r="N519">
        <v>349461</v>
      </c>
      <c r="O519">
        <v>19116250</v>
      </c>
      <c r="P519" s="2">
        <v>1.8280834368665402</v>
      </c>
      <c r="Q519" s="4">
        <v>12.13881875</v>
      </c>
    </row>
    <row r="520" spans="1:17" x14ac:dyDescent="0.4">
      <c r="A520">
        <v>20210814</v>
      </c>
      <c r="B520" s="1">
        <v>0.25</v>
      </c>
      <c r="C520">
        <v>139297</v>
      </c>
      <c r="D520">
        <v>359952</v>
      </c>
      <c r="E520">
        <v>274615</v>
      </c>
      <c r="F520">
        <v>-62833</v>
      </c>
      <c r="G520">
        <v>34062</v>
      </c>
      <c r="H520">
        <v>-167742</v>
      </c>
      <c r="I520">
        <v>8704</v>
      </c>
      <c r="J520">
        <v>51228</v>
      </c>
      <c r="K520">
        <v>-16962</v>
      </c>
      <c r="L520">
        <v>-1560</v>
      </c>
      <c r="M520">
        <v>6.28</v>
      </c>
      <c r="N520">
        <v>618761</v>
      </c>
      <c r="O520">
        <v>19291900</v>
      </c>
      <c r="P520" s="2">
        <v>3.207361638822511</v>
      </c>
      <c r="Q520" s="4">
        <v>12.115313199999999</v>
      </c>
    </row>
    <row r="521" spans="1:17" x14ac:dyDescent="0.4">
      <c r="A521">
        <v>20210814</v>
      </c>
      <c r="B521" s="1">
        <v>0.27083333333333331</v>
      </c>
      <c r="C521">
        <v>116669</v>
      </c>
      <c r="D521">
        <v>342684</v>
      </c>
      <c r="E521">
        <v>515936</v>
      </c>
      <c r="F521">
        <v>-13557</v>
      </c>
      <c r="G521">
        <v>62477</v>
      </c>
      <c r="H521">
        <v>-73217</v>
      </c>
      <c r="I521">
        <v>24685</v>
      </c>
      <c r="J521">
        <v>27133</v>
      </c>
      <c r="K521">
        <v>-35035</v>
      </c>
      <c r="L521">
        <v>-4940</v>
      </c>
      <c r="M521">
        <v>6.35</v>
      </c>
      <c r="N521">
        <v>962835</v>
      </c>
      <c r="O521">
        <v>19599750</v>
      </c>
      <c r="P521" s="2">
        <v>4.9124861286495998</v>
      </c>
      <c r="Q521" s="4">
        <v>12.445841250000001</v>
      </c>
    </row>
    <row r="522" spans="1:17" x14ac:dyDescent="0.4">
      <c r="A522">
        <v>20210814</v>
      </c>
      <c r="B522" s="1">
        <v>0.29166666666666669</v>
      </c>
      <c r="C522">
        <v>188772</v>
      </c>
      <c r="D522">
        <v>374549</v>
      </c>
      <c r="E522">
        <v>518093</v>
      </c>
      <c r="F522">
        <v>-84504</v>
      </c>
      <c r="G522">
        <v>92600</v>
      </c>
      <c r="H522">
        <v>-30746</v>
      </c>
      <c r="I522">
        <v>64431</v>
      </c>
      <c r="J522">
        <v>22792</v>
      </c>
      <c r="K522">
        <v>-127547</v>
      </c>
      <c r="L522">
        <v>3270</v>
      </c>
      <c r="M522">
        <v>6.48</v>
      </c>
      <c r="N522">
        <v>1021710</v>
      </c>
      <c r="O522">
        <v>19815700</v>
      </c>
      <c r="P522" s="2">
        <v>5.1560631216661532</v>
      </c>
      <c r="Q522" s="4">
        <v>12.840573600000001</v>
      </c>
    </row>
    <row r="523" spans="1:17" x14ac:dyDescent="0.4">
      <c r="A523">
        <v>20210814</v>
      </c>
      <c r="B523" s="1">
        <v>0.3125</v>
      </c>
      <c r="C523">
        <v>168281</v>
      </c>
      <c r="D523">
        <v>352040</v>
      </c>
      <c r="E523">
        <v>545223</v>
      </c>
      <c r="F523">
        <v>-172177</v>
      </c>
      <c r="G523">
        <v>98329</v>
      </c>
      <c r="H523">
        <v>110619</v>
      </c>
      <c r="I523">
        <v>41319</v>
      </c>
      <c r="J523">
        <v>-24889</v>
      </c>
      <c r="K523">
        <v>-46386</v>
      </c>
      <c r="L523">
        <v>-2611</v>
      </c>
      <c r="M523">
        <v>6.54</v>
      </c>
      <c r="N523">
        <v>1069748</v>
      </c>
      <c r="O523">
        <v>19794750</v>
      </c>
      <c r="P523" s="2">
        <v>5.4042006087472689</v>
      </c>
      <c r="Q523" s="4">
        <v>12.9457665</v>
      </c>
    </row>
    <row r="524" spans="1:17" x14ac:dyDescent="0.4">
      <c r="A524">
        <v>20210814</v>
      </c>
      <c r="B524" s="1">
        <v>0.33333333333333331</v>
      </c>
      <c r="C524">
        <v>179978</v>
      </c>
      <c r="D524">
        <v>450522</v>
      </c>
      <c r="E524">
        <v>719995</v>
      </c>
      <c r="F524">
        <v>590</v>
      </c>
      <c r="G524">
        <v>102624</v>
      </c>
      <c r="H524">
        <v>74291</v>
      </c>
      <c r="I524">
        <v>-83364</v>
      </c>
      <c r="J524">
        <v>-27256</v>
      </c>
      <c r="K524">
        <v>-29748</v>
      </c>
      <c r="L524">
        <v>5079</v>
      </c>
      <c r="M524">
        <v>7.36</v>
      </c>
      <c r="N524">
        <v>1392711</v>
      </c>
      <c r="O524">
        <v>20095250</v>
      </c>
      <c r="P524" s="2">
        <v>6.9305482638932085</v>
      </c>
      <c r="Q524" s="4">
        <v>14.790103999999999</v>
      </c>
    </row>
    <row r="525" spans="1:17" x14ac:dyDescent="0.4">
      <c r="A525">
        <v>20210814</v>
      </c>
      <c r="B525" s="1">
        <v>0.35416666666666669</v>
      </c>
      <c r="C525">
        <v>180937</v>
      </c>
      <c r="D525">
        <v>327223</v>
      </c>
      <c r="E525">
        <v>451000</v>
      </c>
      <c r="F525">
        <v>71969</v>
      </c>
      <c r="G525">
        <v>55082</v>
      </c>
      <c r="H525">
        <v>162788</v>
      </c>
      <c r="I525">
        <v>-88683</v>
      </c>
      <c r="J525">
        <v>-28513</v>
      </c>
      <c r="K525">
        <v>93715</v>
      </c>
      <c r="L525">
        <v>-468</v>
      </c>
      <c r="M525">
        <v>8.57</v>
      </c>
      <c r="N525">
        <v>1225050</v>
      </c>
      <c r="O525">
        <v>19995050</v>
      </c>
      <c r="P525" s="2">
        <v>6.1267663746777323</v>
      </c>
      <c r="Q525" s="4">
        <v>17.135757850000001</v>
      </c>
    </row>
    <row r="526" spans="1:17" x14ac:dyDescent="0.4">
      <c r="A526">
        <v>20210814</v>
      </c>
      <c r="B526" s="1">
        <v>0.375</v>
      </c>
      <c r="C526">
        <v>225465</v>
      </c>
      <c r="D526">
        <v>244330</v>
      </c>
      <c r="E526">
        <v>761129</v>
      </c>
      <c r="F526">
        <v>207931</v>
      </c>
      <c r="G526">
        <v>-38806</v>
      </c>
      <c r="H526">
        <v>180725</v>
      </c>
      <c r="I526">
        <v>-48047</v>
      </c>
      <c r="J526">
        <v>-11351</v>
      </c>
      <c r="K526">
        <v>16553</v>
      </c>
      <c r="L526">
        <v>10411</v>
      </c>
      <c r="M526">
        <v>7.23</v>
      </c>
      <c r="N526">
        <v>1548340</v>
      </c>
      <c r="O526">
        <v>20122100</v>
      </c>
      <c r="P526" s="2">
        <v>7.6947237117398286</v>
      </c>
      <c r="Q526" s="4">
        <v>14.5482783</v>
      </c>
    </row>
    <row r="527" spans="1:17" x14ac:dyDescent="0.4">
      <c r="A527">
        <v>20210814</v>
      </c>
      <c r="B527" s="1">
        <v>0.39583333333333331</v>
      </c>
      <c r="C527">
        <v>210893</v>
      </c>
      <c r="D527">
        <v>251257</v>
      </c>
      <c r="E527">
        <v>834686</v>
      </c>
      <c r="F527">
        <v>266958</v>
      </c>
      <c r="G527">
        <v>-38287</v>
      </c>
      <c r="H527">
        <v>66213</v>
      </c>
      <c r="I527">
        <v>-27339</v>
      </c>
      <c r="J527">
        <v>4923</v>
      </c>
      <c r="K527">
        <v>-37024</v>
      </c>
      <c r="L527">
        <v>12876</v>
      </c>
      <c r="M527">
        <v>7.37</v>
      </c>
      <c r="N527">
        <v>1545156</v>
      </c>
      <c r="O527">
        <v>20122800</v>
      </c>
      <c r="P527" s="2">
        <v>7.6786331921998929</v>
      </c>
      <c r="Q527" s="4">
        <v>14.8305036</v>
      </c>
    </row>
    <row r="528" spans="1:17" x14ac:dyDescent="0.4">
      <c r="A528">
        <v>20210814</v>
      </c>
      <c r="B528" s="1">
        <v>0.41666666666666669</v>
      </c>
      <c r="C528">
        <v>261725</v>
      </c>
      <c r="D528">
        <v>198527</v>
      </c>
      <c r="E528">
        <v>668876</v>
      </c>
      <c r="F528">
        <v>333331</v>
      </c>
      <c r="G528">
        <v>-28600</v>
      </c>
      <c r="H528">
        <v>149834</v>
      </c>
      <c r="I528">
        <v>-52901</v>
      </c>
      <c r="J528">
        <v>30307</v>
      </c>
      <c r="K528">
        <v>124608</v>
      </c>
      <c r="L528">
        <v>12231</v>
      </c>
      <c r="M528">
        <v>8.14</v>
      </c>
      <c r="N528">
        <v>1697938</v>
      </c>
      <c r="O528">
        <v>20332500</v>
      </c>
      <c r="P528" s="2">
        <v>8.350857002336161</v>
      </c>
      <c r="Q528" s="4">
        <v>16.550654999999999</v>
      </c>
    </row>
    <row r="529" spans="1:17" x14ac:dyDescent="0.4">
      <c r="A529">
        <v>20210814</v>
      </c>
      <c r="B529" s="1">
        <v>0.4375</v>
      </c>
      <c r="C529">
        <v>267697</v>
      </c>
      <c r="D529">
        <v>215316</v>
      </c>
      <c r="E529">
        <v>793185</v>
      </c>
      <c r="F529">
        <v>399064</v>
      </c>
      <c r="G529">
        <v>-18236</v>
      </c>
      <c r="H529">
        <v>96332</v>
      </c>
      <c r="I529">
        <v>-20795</v>
      </c>
      <c r="J529">
        <v>75312</v>
      </c>
      <c r="K529">
        <v>136474</v>
      </c>
      <c r="L529">
        <v>10672</v>
      </c>
      <c r="M529">
        <v>7.92</v>
      </c>
      <c r="N529">
        <v>1955021</v>
      </c>
      <c r="O529">
        <v>20500550</v>
      </c>
      <c r="P529" s="2">
        <v>9.5364319493867242</v>
      </c>
      <c r="Q529" s="4">
        <v>16.2364356</v>
      </c>
    </row>
    <row r="530" spans="1:17" x14ac:dyDescent="0.4">
      <c r="A530">
        <v>20210814</v>
      </c>
      <c r="B530" s="1">
        <v>0.45833333333333331</v>
      </c>
      <c r="C530">
        <v>299000</v>
      </c>
      <c r="D530">
        <v>156495</v>
      </c>
      <c r="E530">
        <v>177319</v>
      </c>
      <c r="F530">
        <v>332191</v>
      </c>
      <c r="G530">
        <v>-41620</v>
      </c>
      <c r="H530">
        <v>-56005</v>
      </c>
      <c r="I530">
        <v>40439</v>
      </c>
      <c r="J530">
        <v>151831</v>
      </c>
      <c r="K530">
        <v>315531</v>
      </c>
      <c r="L530">
        <v>9588</v>
      </c>
      <c r="M530">
        <v>8.14</v>
      </c>
      <c r="N530">
        <v>1384769</v>
      </c>
      <c r="O530">
        <v>20689300</v>
      </c>
      <c r="P530" s="2">
        <v>6.6931650660002999</v>
      </c>
      <c r="Q530" s="4">
        <v>16.8410902</v>
      </c>
    </row>
    <row r="531" spans="1:17" x14ac:dyDescent="0.4">
      <c r="A531">
        <v>20210814</v>
      </c>
      <c r="B531" s="1">
        <v>0.47916666666666669</v>
      </c>
      <c r="C531">
        <v>297510</v>
      </c>
      <c r="D531">
        <v>135760</v>
      </c>
      <c r="E531">
        <v>-90651</v>
      </c>
      <c r="F531">
        <v>346339</v>
      </c>
      <c r="G531">
        <v>-48169</v>
      </c>
      <c r="H531">
        <v>53338</v>
      </c>
      <c r="I531">
        <v>25319</v>
      </c>
      <c r="J531">
        <v>145308</v>
      </c>
      <c r="K531">
        <v>306021</v>
      </c>
      <c r="L531">
        <v>6212</v>
      </c>
      <c r="M531">
        <v>8.65</v>
      </c>
      <c r="N531">
        <v>1176987</v>
      </c>
      <c r="O531">
        <v>20791500</v>
      </c>
      <c r="P531" s="2">
        <v>5.6609046966308343</v>
      </c>
      <c r="Q531" s="4">
        <v>17.984647500000001</v>
      </c>
    </row>
    <row r="532" spans="1:17" x14ac:dyDescent="0.4">
      <c r="A532">
        <v>20210814</v>
      </c>
      <c r="B532" s="1">
        <v>0.5</v>
      </c>
      <c r="C532">
        <v>288485</v>
      </c>
      <c r="D532">
        <v>137237</v>
      </c>
      <c r="E532">
        <v>-288470</v>
      </c>
      <c r="F532">
        <v>86476</v>
      </c>
      <c r="G532">
        <v>-40181</v>
      </c>
      <c r="H532">
        <v>47824</v>
      </c>
      <c r="I532">
        <v>112702</v>
      </c>
      <c r="J532">
        <v>137996</v>
      </c>
      <c r="K532">
        <v>133194</v>
      </c>
      <c r="L532">
        <v>17764</v>
      </c>
      <c r="M532">
        <v>8.1199999999999992</v>
      </c>
      <c r="N532">
        <v>633027</v>
      </c>
      <c r="O532">
        <v>20885800</v>
      </c>
      <c r="P532" s="2">
        <v>3.0308965900276741</v>
      </c>
      <c r="Q532" s="4">
        <v>16.959269599999995</v>
      </c>
    </row>
    <row r="533" spans="1:17" x14ac:dyDescent="0.4">
      <c r="A533">
        <v>20210814</v>
      </c>
      <c r="B533" s="1">
        <v>0.52083333333333337</v>
      </c>
      <c r="C533">
        <v>296647</v>
      </c>
      <c r="D533">
        <v>131740</v>
      </c>
      <c r="E533">
        <v>-221956</v>
      </c>
      <c r="F533">
        <v>93093</v>
      </c>
      <c r="G533">
        <v>-70549</v>
      </c>
      <c r="H533">
        <v>203413</v>
      </c>
      <c r="I533">
        <v>120134</v>
      </c>
      <c r="J533">
        <v>126096</v>
      </c>
      <c r="K533">
        <v>212240</v>
      </c>
      <c r="L533">
        <v>20571</v>
      </c>
      <c r="M533">
        <v>8.1199999999999992</v>
      </c>
      <c r="N533">
        <v>911429</v>
      </c>
      <c r="O533">
        <v>20920700</v>
      </c>
      <c r="P533" s="2">
        <v>4.356589406664213</v>
      </c>
      <c r="Q533" s="4">
        <v>16.987608399999996</v>
      </c>
    </row>
    <row r="534" spans="1:17" x14ac:dyDescent="0.4">
      <c r="A534">
        <v>20210814</v>
      </c>
      <c r="B534" s="1">
        <v>0.54166666666666663</v>
      </c>
      <c r="C534">
        <v>261417</v>
      </c>
      <c r="D534">
        <v>234918</v>
      </c>
      <c r="E534">
        <v>247455</v>
      </c>
      <c r="F534">
        <v>305546</v>
      </c>
      <c r="G534">
        <v>-65741</v>
      </c>
      <c r="H534">
        <v>256343</v>
      </c>
      <c r="I534">
        <v>-453</v>
      </c>
      <c r="J534">
        <v>-49078</v>
      </c>
      <c r="K534">
        <v>148729</v>
      </c>
      <c r="L534">
        <v>35289</v>
      </c>
      <c r="M534">
        <v>8.14</v>
      </c>
      <c r="N534">
        <v>1374425</v>
      </c>
      <c r="O534">
        <v>21268050</v>
      </c>
      <c r="P534" s="2">
        <v>6.4623931201967268</v>
      </c>
      <c r="Q534" s="4">
        <v>17.312192700000001</v>
      </c>
    </row>
    <row r="535" spans="1:17" x14ac:dyDescent="0.4">
      <c r="A535">
        <v>20210814</v>
      </c>
      <c r="B535" s="1">
        <v>0.5625</v>
      </c>
      <c r="C535">
        <v>285020</v>
      </c>
      <c r="D535">
        <v>298437</v>
      </c>
      <c r="E535">
        <v>591431</v>
      </c>
      <c r="F535">
        <v>176413</v>
      </c>
      <c r="G535">
        <v>-59337</v>
      </c>
      <c r="H535">
        <v>123436</v>
      </c>
      <c r="I535">
        <v>-40310</v>
      </c>
      <c r="J535">
        <v>-57967</v>
      </c>
      <c r="K535">
        <v>198545</v>
      </c>
      <c r="L535">
        <v>35258</v>
      </c>
      <c r="M535">
        <v>8.1199999999999992</v>
      </c>
      <c r="N535">
        <v>1550926</v>
      </c>
      <c r="O535">
        <v>21559450</v>
      </c>
      <c r="P535" s="2">
        <v>7.1937178360301397</v>
      </c>
      <c r="Q535" s="4">
        <v>17.506273399999998</v>
      </c>
    </row>
    <row r="536" spans="1:17" x14ac:dyDescent="0.4">
      <c r="A536">
        <v>20210814</v>
      </c>
      <c r="B536" s="1">
        <v>0.58333333333333337</v>
      </c>
      <c r="C536">
        <v>216282</v>
      </c>
      <c r="D536">
        <v>367109</v>
      </c>
      <c r="E536">
        <v>915744</v>
      </c>
      <c r="F536">
        <v>125625</v>
      </c>
      <c r="G536">
        <v>-53406</v>
      </c>
      <c r="H536">
        <v>113340</v>
      </c>
      <c r="I536">
        <v>15735</v>
      </c>
      <c r="J536">
        <v>-63640</v>
      </c>
      <c r="K536">
        <v>266337</v>
      </c>
      <c r="L536">
        <v>35160</v>
      </c>
      <c r="M536">
        <v>7.7</v>
      </c>
      <c r="N536">
        <v>1938286</v>
      </c>
      <c r="O536">
        <v>21459450</v>
      </c>
      <c r="P536" s="2">
        <v>9.0323190948509868</v>
      </c>
      <c r="Q536" s="4">
        <v>16.5237765</v>
      </c>
    </row>
    <row r="537" spans="1:17" x14ac:dyDescent="0.4">
      <c r="A537">
        <v>20210814</v>
      </c>
      <c r="B537" s="1">
        <v>0.60416666666666663</v>
      </c>
      <c r="C537">
        <v>236432</v>
      </c>
      <c r="D537">
        <v>365502</v>
      </c>
      <c r="E537">
        <v>941865</v>
      </c>
      <c r="F537">
        <v>183430</v>
      </c>
      <c r="G537">
        <v>-76241</v>
      </c>
      <c r="H537">
        <v>27480</v>
      </c>
      <c r="I537">
        <v>22112</v>
      </c>
      <c r="J537">
        <v>-60863</v>
      </c>
      <c r="K537">
        <v>242048</v>
      </c>
      <c r="L537">
        <v>28855</v>
      </c>
      <c r="M537">
        <v>7.59</v>
      </c>
      <c r="N537">
        <v>1910620</v>
      </c>
      <c r="O537">
        <v>21334500</v>
      </c>
      <c r="P537" s="2">
        <v>8.9555414938245566</v>
      </c>
      <c r="Q537" s="4">
        <v>16.192885499999999</v>
      </c>
    </row>
    <row r="538" spans="1:17" x14ac:dyDescent="0.4">
      <c r="A538">
        <v>20210814</v>
      </c>
      <c r="B538" s="1">
        <v>0.625</v>
      </c>
      <c r="C538">
        <v>146703</v>
      </c>
      <c r="D538">
        <v>354701</v>
      </c>
      <c r="E538">
        <v>1021838</v>
      </c>
      <c r="F538">
        <v>139669</v>
      </c>
      <c r="G538">
        <v>-78478</v>
      </c>
      <c r="H538">
        <v>-66862</v>
      </c>
      <c r="I538">
        <v>-8065</v>
      </c>
      <c r="J538">
        <v>-31540</v>
      </c>
      <c r="K538">
        <v>231490</v>
      </c>
      <c r="L538">
        <v>25307</v>
      </c>
      <c r="M538">
        <v>7.75</v>
      </c>
      <c r="N538">
        <v>1734763</v>
      </c>
      <c r="O538">
        <v>21073200</v>
      </c>
      <c r="P538" s="2">
        <v>8.232081506368278</v>
      </c>
      <c r="Q538" s="4">
        <v>16.33173</v>
      </c>
    </row>
    <row r="539" spans="1:17" x14ac:dyDescent="0.4">
      <c r="A539">
        <v>20210814</v>
      </c>
      <c r="B539" s="1">
        <v>0.64583333333333337</v>
      </c>
      <c r="C539">
        <v>183594</v>
      </c>
      <c r="D539">
        <v>388370</v>
      </c>
      <c r="E539">
        <v>1376396</v>
      </c>
      <c r="F539">
        <v>150429</v>
      </c>
      <c r="G539">
        <v>-71113</v>
      </c>
      <c r="H539">
        <v>48924</v>
      </c>
      <c r="I539">
        <v>19651</v>
      </c>
      <c r="J539">
        <v>-29355</v>
      </c>
      <c r="K539">
        <v>242973</v>
      </c>
      <c r="L539">
        <v>12820</v>
      </c>
      <c r="M539">
        <v>7.79</v>
      </c>
      <c r="N539">
        <v>2322689</v>
      </c>
      <c r="O539">
        <v>20906100</v>
      </c>
      <c r="P539" s="2">
        <v>11.11010183630615</v>
      </c>
      <c r="Q539" s="4">
        <v>16.285851900000001</v>
      </c>
    </row>
    <row r="540" spans="1:17" x14ac:dyDescent="0.4">
      <c r="A540">
        <v>20210814</v>
      </c>
      <c r="B540" s="1">
        <v>0.66666666666666663</v>
      </c>
      <c r="C540">
        <v>125457</v>
      </c>
      <c r="D540">
        <v>373777</v>
      </c>
      <c r="E540">
        <v>1076077</v>
      </c>
      <c r="F540">
        <v>172791</v>
      </c>
      <c r="G540">
        <v>-65141</v>
      </c>
      <c r="H540">
        <v>36500</v>
      </c>
      <c r="I540">
        <v>222884</v>
      </c>
      <c r="J540">
        <v>-23890</v>
      </c>
      <c r="K540">
        <v>272625</v>
      </c>
      <c r="L540">
        <v>11620</v>
      </c>
      <c r="M540">
        <v>8.1199999999999992</v>
      </c>
      <c r="N540">
        <v>2202700</v>
      </c>
      <c r="O540">
        <v>21507850</v>
      </c>
      <c r="P540" s="2">
        <v>10.241376985612231</v>
      </c>
      <c r="Q540" s="4">
        <v>17.464374199999998</v>
      </c>
    </row>
    <row r="541" spans="1:17" x14ac:dyDescent="0.4">
      <c r="A541">
        <v>20210814</v>
      </c>
      <c r="B541" s="1">
        <v>0.6875</v>
      </c>
      <c r="C541">
        <v>154788</v>
      </c>
      <c r="D541">
        <v>357126</v>
      </c>
      <c r="E541">
        <v>1164202</v>
      </c>
      <c r="F541">
        <v>46656</v>
      </c>
      <c r="G541">
        <v>-45739</v>
      </c>
      <c r="H541">
        <v>-57515</v>
      </c>
      <c r="I541">
        <v>71083</v>
      </c>
      <c r="J541">
        <v>-22695</v>
      </c>
      <c r="K541">
        <v>203914</v>
      </c>
      <c r="L541">
        <v>-1046</v>
      </c>
      <c r="M541">
        <v>8.14</v>
      </c>
      <c r="N541">
        <v>1870774</v>
      </c>
      <c r="O541">
        <v>21618850</v>
      </c>
      <c r="P541" s="2">
        <v>8.6534390127134415</v>
      </c>
      <c r="Q541" s="4">
        <v>17.597743900000001</v>
      </c>
    </row>
    <row r="542" spans="1:17" x14ac:dyDescent="0.4">
      <c r="A542">
        <v>20210814</v>
      </c>
      <c r="B542" s="1">
        <v>0.70833333333333337</v>
      </c>
      <c r="C542">
        <v>98364</v>
      </c>
      <c r="D542">
        <v>278484</v>
      </c>
      <c r="E542">
        <v>1380253</v>
      </c>
      <c r="F542">
        <v>-16980</v>
      </c>
      <c r="G542">
        <v>-36831</v>
      </c>
      <c r="H542">
        <v>-199305</v>
      </c>
      <c r="I542">
        <v>58140</v>
      </c>
      <c r="J542">
        <v>-38380</v>
      </c>
      <c r="K542">
        <v>216688</v>
      </c>
      <c r="L542">
        <v>-4078</v>
      </c>
      <c r="M542">
        <v>7.92</v>
      </c>
      <c r="N542">
        <v>1736355</v>
      </c>
      <c r="O542">
        <v>21857100</v>
      </c>
      <c r="P542" s="2">
        <v>7.9441234198498432</v>
      </c>
      <c r="Q542" s="4">
        <v>17.310823200000002</v>
      </c>
    </row>
    <row r="543" spans="1:17" x14ac:dyDescent="0.4">
      <c r="A543">
        <v>20210814</v>
      </c>
      <c r="B543" s="1">
        <v>0.72916666666666663</v>
      </c>
      <c r="C543">
        <v>92466</v>
      </c>
      <c r="D543">
        <v>235257</v>
      </c>
      <c r="E543">
        <v>1550453</v>
      </c>
      <c r="F543">
        <v>17084</v>
      </c>
      <c r="G543">
        <v>-47403</v>
      </c>
      <c r="H543">
        <v>-283371</v>
      </c>
      <c r="I543">
        <v>1104</v>
      </c>
      <c r="J543">
        <v>-27928</v>
      </c>
      <c r="K543">
        <v>229748</v>
      </c>
      <c r="L543">
        <v>-14520</v>
      </c>
      <c r="M543">
        <v>8.14</v>
      </c>
      <c r="N543">
        <v>1752890</v>
      </c>
      <c r="O543">
        <v>21484900</v>
      </c>
      <c r="P543" s="2">
        <v>8.1587068126917046</v>
      </c>
      <c r="Q543" s="4">
        <v>17.488708599999999</v>
      </c>
    </row>
    <row r="544" spans="1:17" x14ac:dyDescent="0.4">
      <c r="A544">
        <v>20210814</v>
      </c>
      <c r="B544" s="1">
        <v>0.75</v>
      </c>
      <c r="C544">
        <v>89741</v>
      </c>
      <c r="D544">
        <v>219808</v>
      </c>
      <c r="E544">
        <v>1687417</v>
      </c>
      <c r="F544">
        <v>-8235</v>
      </c>
      <c r="G544">
        <v>-56517</v>
      </c>
      <c r="H544">
        <v>-259807</v>
      </c>
      <c r="I544">
        <v>-9937</v>
      </c>
      <c r="J544">
        <v>-3993</v>
      </c>
      <c r="K544">
        <v>268889</v>
      </c>
      <c r="L544">
        <v>-12467</v>
      </c>
      <c r="M544">
        <v>8.73</v>
      </c>
      <c r="N544">
        <v>1914899</v>
      </c>
      <c r="O544">
        <v>21112000</v>
      </c>
      <c r="P544" s="2">
        <v>9.0701923076923077</v>
      </c>
      <c r="Q544" s="4">
        <v>18.430776000000002</v>
      </c>
    </row>
    <row r="545" spans="1:17" x14ac:dyDescent="0.4">
      <c r="A545">
        <v>20210814</v>
      </c>
      <c r="B545" s="1">
        <v>0.77083333333333337</v>
      </c>
      <c r="C545">
        <v>82277</v>
      </c>
      <c r="D545">
        <v>249428</v>
      </c>
      <c r="E545">
        <v>1175757</v>
      </c>
      <c r="F545">
        <v>-7835</v>
      </c>
      <c r="G545">
        <v>-25495</v>
      </c>
      <c r="H545">
        <v>-390009</v>
      </c>
      <c r="I545">
        <v>-50068</v>
      </c>
      <c r="J545">
        <v>8542</v>
      </c>
      <c r="K545">
        <v>221047</v>
      </c>
      <c r="L545">
        <v>-13292</v>
      </c>
      <c r="M545">
        <v>8.86</v>
      </c>
      <c r="N545">
        <v>1250352</v>
      </c>
      <c r="O545">
        <v>20966350</v>
      </c>
      <c r="P545" s="2">
        <v>5.9636131229326992</v>
      </c>
      <c r="Q545" s="4">
        <v>18.576186100000001</v>
      </c>
    </row>
    <row r="546" spans="1:17" x14ac:dyDescent="0.4">
      <c r="A546">
        <v>20210814</v>
      </c>
      <c r="B546" s="1">
        <v>0.79166666666666663</v>
      </c>
      <c r="C546">
        <v>52100</v>
      </c>
      <c r="D546">
        <v>228251</v>
      </c>
      <c r="E546">
        <v>1176984</v>
      </c>
      <c r="F546">
        <v>-20751</v>
      </c>
      <c r="G546">
        <v>-2179</v>
      </c>
      <c r="H546">
        <v>-351392</v>
      </c>
      <c r="I546">
        <v>1202</v>
      </c>
      <c r="J546">
        <v>37625</v>
      </c>
      <c r="K546">
        <v>186797</v>
      </c>
      <c r="L546">
        <v>-12628</v>
      </c>
      <c r="M546">
        <v>8.86</v>
      </c>
      <c r="N546">
        <v>1296009</v>
      </c>
      <c r="O546">
        <v>20883100</v>
      </c>
      <c r="P546" s="2">
        <v>6.2060182635719796</v>
      </c>
      <c r="Q546" s="4">
        <v>18.5024266</v>
      </c>
    </row>
    <row r="547" spans="1:17" x14ac:dyDescent="0.4">
      <c r="A547">
        <v>20210814</v>
      </c>
      <c r="B547" s="1">
        <v>0.8125</v>
      </c>
      <c r="C547">
        <v>54624</v>
      </c>
      <c r="D547">
        <v>241894</v>
      </c>
      <c r="E547">
        <v>1241390</v>
      </c>
      <c r="F547">
        <v>-3073</v>
      </c>
      <c r="G547">
        <v>-12535</v>
      </c>
      <c r="H547">
        <v>-217035</v>
      </c>
      <c r="I547">
        <v>77216</v>
      </c>
      <c r="J547">
        <v>38031</v>
      </c>
      <c r="K547">
        <v>226407</v>
      </c>
      <c r="L547">
        <v>-14302</v>
      </c>
      <c r="M547">
        <v>8.8000000000000007</v>
      </c>
      <c r="N547">
        <v>1632617</v>
      </c>
      <c r="O547">
        <v>20677400</v>
      </c>
      <c r="P547" s="2">
        <v>7.8956590286979988</v>
      </c>
      <c r="Q547" s="4">
        <v>18.196111999999999</v>
      </c>
    </row>
    <row r="548" spans="1:17" x14ac:dyDescent="0.4">
      <c r="A548">
        <v>20210814</v>
      </c>
      <c r="B548" s="1">
        <v>0.83333333333333337</v>
      </c>
      <c r="C548">
        <v>87962</v>
      </c>
      <c r="D548">
        <v>249089</v>
      </c>
      <c r="E548">
        <v>1282524</v>
      </c>
      <c r="F548">
        <v>53653</v>
      </c>
      <c r="G548">
        <v>23065</v>
      </c>
      <c r="H548">
        <v>-156475</v>
      </c>
      <c r="I548">
        <v>137454</v>
      </c>
      <c r="J548">
        <v>64855</v>
      </c>
      <c r="K548">
        <v>242235</v>
      </c>
      <c r="L548">
        <v>-24669</v>
      </c>
      <c r="M548">
        <v>7.91</v>
      </c>
      <c r="N548">
        <v>1959693</v>
      </c>
      <c r="O548">
        <v>20399050</v>
      </c>
      <c r="P548" s="2">
        <v>9.606785610114196</v>
      </c>
      <c r="Q548" s="4">
        <v>16.135648549999999</v>
      </c>
    </row>
    <row r="549" spans="1:17" x14ac:dyDescent="0.4">
      <c r="A549">
        <v>20210814</v>
      </c>
      <c r="B549" s="1">
        <v>0.85416666666666663</v>
      </c>
      <c r="C549">
        <v>136674</v>
      </c>
      <c r="D549">
        <v>197965</v>
      </c>
      <c r="E549">
        <v>1125045</v>
      </c>
      <c r="F549">
        <v>36683</v>
      </c>
      <c r="G549">
        <v>13497</v>
      </c>
      <c r="H549">
        <v>-152084</v>
      </c>
      <c r="I549">
        <v>127168</v>
      </c>
      <c r="J549">
        <v>33466</v>
      </c>
      <c r="K549">
        <v>160182</v>
      </c>
      <c r="L549">
        <v>-18693</v>
      </c>
      <c r="M549">
        <v>7.41</v>
      </c>
      <c r="N549">
        <v>1659903</v>
      </c>
      <c r="O549">
        <v>20395550</v>
      </c>
      <c r="P549" s="2">
        <v>8.138554733753196</v>
      </c>
      <c r="Q549" s="4">
        <v>15.113102550000001</v>
      </c>
    </row>
    <row r="550" spans="1:17" x14ac:dyDescent="0.4">
      <c r="A550">
        <v>20210814</v>
      </c>
      <c r="B550" s="1">
        <v>0.875</v>
      </c>
      <c r="C550">
        <v>111146</v>
      </c>
      <c r="D550">
        <v>210104</v>
      </c>
      <c r="E550">
        <v>838964</v>
      </c>
      <c r="F550">
        <v>-9341</v>
      </c>
      <c r="G550">
        <v>36018</v>
      </c>
      <c r="H550">
        <v>-20785</v>
      </c>
      <c r="I550">
        <v>93063</v>
      </c>
      <c r="J550">
        <v>38152</v>
      </c>
      <c r="K550">
        <v>84449</v>
      </c>
      <c r="L550">
        <v>-20357</v>
      </c>
      <c r="M550">
        <v>7.06</v>
      </c>
      <c r="N550">
        <v>1361413</v>
      </c>
      <c r="O550">
        <v>20013300</v>
      </c>
      <c r="P550" s="2">
        <v>6.8025413100288308</v>
      </c>
      <c r="Q550" s="4">
        <v>14.1293898</v>
      </c>
    </row>
    <row r="551" spans="1:17" x14ac:dyDescent="0.4">
      <c r="A551">
        <v>20210814</v>
      </c>
      <c r="B551" s="1">
        <v>0.89583333333333337</v>
      </c>
      <c r="C551">
        <v>128944</v>
      </c>
      <c r="D551">
        <v>190394</v>
      </c>
      <c r="E551">
        <v>817317</v>
      </c>
      <c r="F551">
        <v>-36667</v>
      </c>
      <c r="G551">
        <v>55375</v>
      </c>
      <c r="H551">
        <v>70807</v>
      </c>
      <c r="I551">
        <v>22820</v>
      </c>
      <c r="J551">
        <v>26790</v>
      </c>
      <c r="K551">
        <v>120401</v>
      </c>
      <c r="L551">
        <v>-13586</v>
      </c>
      <c r="M551">
        <v>6.99</v>
      </c>
      <c r="N551">
        <v>1382595</v>
      </c>
      <c r="O551">
        <v>20205950</v>
      </c>
      <c r="P551" s="2">
        <v>6.8425142099233147</v>
      </c>
      <c r="Q551" s="4">
        <v>14.12395905</v>
      </c>
    </row>
    <row r="552" spans="1:17" x14ac:dyDescent="0.4">
      <c r="A552">
        <v>20210814</v>
      </c>
      <c r="B552" s="1">
        <v>0.91666666666666663</v>
      </c>
      <c r="C552">
        <v>126020</v>
      </c>
      <c r="D552">
        <v>231545</v>
      </c>
      <c r="E552">
        <v>760116</v>
      </c>
      <c r="F552">
        <v>-79698</v>
      </c>
      <c r="G552">
        <v>46644</v>
      </c>
      <c r="H552">
        <v>87950</v>
      </c>
      <c r="I552">
        <v>-41262</v>
      </c>
      <c r="J552">
        <v>32598</v>
      </c>
      <c r="K552">
        <v>42578</v>
      </c>
      <c r="L552">
        <v>-21819</v>
      </c>
      <c r="M552">
        <v>6.81</v>
      </c>
      <c r="N552">
        <v>1184672</v>
      </c>
      <c r="O552">
        <v>19579900</v>
      </c>
      <c r="P552" s="2">
        <v>6.0504496958615723</v>
      </c>
      <c r="Q552" s="4">
        <v>13.333911899999999</v>
      </c>
    </row>
    <row r="553" spans="1:17" x14ac:dyDescent="0.4">
      <c r="A553">
        <v>20210814</v>
      </c>
      <c r="B553" s="1">
        <v>0.9375</v>
      </c>
      <c r="C553">
        <v>77862</v>
      </c>
      <c r="D553">
        <v>99834</v>
      </c>
      <c r="E553">
        <v>704282</v>
      </c>
      <c r="F553">
        <v>-55939</v>
      </c>
      <c r="G553">
        <v>43403</v>
      </c>
      <c r="H553">
        <v>106339</v>
      </c>
      <c r="I553">
        <v>19617</v>
      </c>
      <c r="J553">
        <v>14464</v>
      </c>
      <c r="K553">
        <v>62249</v>
      </c>
      <c r="L553">
        <v>-19571</v>
      </c>
      <c r="M553">
        <v>6.71</v>
      </c>
      <c r="N553">
        <v>1052540</v>
      </c>
      <c r="O553">
        <v>19424250</v>
      </c>
      <c r="P553" s="2">
        <v>5.4186905543328567</v>
      </c>
      <c r="Q553" s="4">
        <v>13.03367175</v>
      </c>
    </row>
    <row r="554" spans="1:17" x14ac:dyDescent="0.4">
      <c r="A554">
        <v>20210814</v>
      </c>
      <c r="B554" s="1">
        <v>0.95833333333333337</v>
      </c>
      <c r="C554">
        <v>141621</v>
      </c>
      <c r="D554">
        <v>84427</v>
      </c>
      <c r="E554">
        <v>647713</v>
      </c>
      <c r="F554">
        <v>-76006</v>
      </c>
      <c r="G554">
        <v>28141</v>
      </c>
      <c r="H554">
        <v>91845</v>
      </c>
      <c r="I554">
        <v>-818</v>
      </c>
      <c r="J554">
        <v>30765</v>
      </c>
      <c r="K554">
        <v>44414</v>
      </c>
      <c r="L554">
        <v>-11680</v>
      </c>
      <c r="M554">
        <v>6.89</v>
      </c>
      <c r="N554">
        <v>980422</v>
      </c>
      <c r="O554">
        <v>18895800</v>
      </c>
      <c r="P554" s="2">
        <v>5.1885710051969225</v>
      </c>
      <c r="Q554" s="4">
        <v>13.019206199999999</v>
      </c>
    </row>
    <row r="555" spans="1:17" x14ac:dyDescent="0.4">
      <c r="A555">
        <v>20210814</v>
      </c>
      <c r="B555" s="1">
        <v>0.97916666666666663</v>
      </c>
      <c r="C555">
        <v>88560</v>
      </c>
      <c r="D555">
        <v>143281</v>
      </c>
      <c r="E555">
        <v>665012</v>
      </c>
      <c r="F555">
        <v>-181048</v>
      </c>
      <c r="G555">
        <v>37939</v>
      </c>
      <c r="H555">
        <v>65443</v>
      </c>
      <c r="I555">
        <v>41549</v>
      </c>
      <c r="J555">
        <v>34106</v>
      </c>
      <c r="K555">
        <v>39876</v>
      </c>
      <c r="L555">
        <v>-9597</v>
      </c>
      <c r="M555">
        <v>6.28</v>
      </c>
      <c r="N555">
        <v>925121</v>
      </c>
      <c r="O555">
        <v>18198800</v>
      </c>
      <c r="P555" s="2">
        <v>5.0834175879728329</v>
      </c>
      <c r="Q555" s="4">
        <v>11.428846399999999</v>
      </c>
    </row>
    <row r="556" spans="1:17" x14ac:dyDescent="0.4">
      <c r="A556">
        <v>20210815</v>
      </c>
      <c r="B556" s="1">
        <v>0</v>
      </c>
      <c r="C556">
        <v>112257</v>
      </c>
      <c r="D556">
        <v>281028</v>
      </c>
      <c r="E556">
        <v>711394</v>
      </c>
      <c r="F556">
        <v>-92652</v>
      </c>
      <c r="G556">
        <v>45004</v>
      </c>
      <c r="H556">
        <v>161895</v>
      </c>
      <c r="I556">
        <v>-39834</v>
      </c>
      <c r="J556">
        <v>-6844</v>
      </c>
      <c r="K556">
        <v>34397</v>
      </c>
      <c r="L556">
        <v>-20911</v>
      </c>
      <c r="M556">
        <v>6.48</v>
      </c>
      <c r="N556">
        <v>1185734</v>
      </c>
      <c r="O556">
        <v>17748900</v>
      </c>
      <c r="P556" s="2">
        <v>6.6806055586543396</v>
      </c>
      <c r="Q556" s="4">
        <v>11.501287200000002</v>
      </c>
    </row>
    <row r="557" spans="1:17" x14ac:dyDescent="0.4">
      <c r="A557">
        <v>20210815</v>
      </c>
      <c r="B557" s="1">
        <v>2.0833333333333332E-2</v>
      </c>
      <c r="C557">
        <v>129501</v>
      </c>
      <c r="D557">
        <v>283945</v>
      </c>
      <c r="E557">
        <v>875695</v>
      </c>
      <c r="F557">
        <v>-92741</v>
      </c>
      <c r="G557">
        <v>35195</v>
      </c>
      <c r="H557">
        <v>122381</v>
      </c>
      <c r="I557">
        <v>-55121</v>
      </c>
      <c r="J557">
        <v>8379</v>
      </c>
      <c r="K557">
        <v>81749</v>
      </c>
      <c r="L557">
        <v>-17399</v>
      </c>
      <c r="M557">
        <v>6.43</v>
      </c>
      <c r="N557">
        <v>1371584</v>
      </c>
      <c r="O557">
        <v>18536800</v>
      </c>
      <c r="P557" s="2">
        <v>7.3992490613266586</v>
      </c>
      <c r="Q557" s="4">
        <v>11.919162399999999</v>
      </c>
    </row>
    <row r="558" spans="1:17" x14ac:dyDescent="0.4">
      <c r="A558">
        <v>20210815</v>
      </c>
      <c r="B558" s="1">
        <v>4.1666666666666664E-2</v>
      </c>
      <c r="C558">
        <v>102990</v>
      </c>
      <c r="D558">
        <v>289960</v>
      </c>
      <c r="E558">
        <v>636534</v>
      </c>
      <c r="F558">
        <v>-149986</v>
      </c>
      <c r="G558">
        <v>-25111</v>
      </c>
      <c r="H558">
        <v>95259</v>
      </c>
      <c r="I558">
        <v>-28698</v>
      </c>
      <c r="J558">
        <v>-2834</v>
      </c>
      <c r="K558">
        <v>90210</v>
      </c>
      <c r="L558">
        <v>-10265</v>
      </c>
      <c r="M558">
        <v>6.26</v>
      </c>
      <c r="N558">
        <v>998059</v>
      </c>
      <c r="O558">
        <v>18830550</v>
      </c>
      <c r="P558" s="2">
        <v>5.3002116241957884</v>
      </c>
      <c r="Q558" s="4">
        <v>11.7879243</v>
      </c>
    </row>
    <row r="559" spans="1:17" x14ac:dyDescent="0.4">
      <c r="A559">
        <v>20210815</v>
      </c>
      <c r="B559" s="1">
        <v>6.25E-2</v>
      </c>
      <c r="C559">
        <v>138946</v>
      </c>
      <c r="D559">
        <v>282370</v>
      </c>
      <c r="E559">
        <v>591954</v>
      </c>
      <c r="F559">
        <v>-131085</v>
      </c>
      <c r="G559">
        <v>-15173</v>
      </c>
      <c r="H559">
        <v>45926</v>
      </c>
      <c r="I559">
        <v>1977</v>
      </c>
      <c r="J559">
        <v>-171</v>
      </c>
      <c r="K559">
        <v>121698</v>
      </c>
      <c r="L559">
        <v>-13770</v>
      </c>
      <c r="M559">
        <v>6</v>
      </c>
      <c r="N559">
        <v>1022672</v>
      </c>
      <c r="O559">
        <v>18764800</v>
      </c>
      <c r="P559" s="2">
        <v>5.4499488403819916</v>
      </c>
      <c r="Q559" s="4">
        <v>11.25888</v>
      </c>
    </row>
    <row r="560" spans="1:17" x14ac:dyDescent="0.4">
      <c r="A560">
        <v>20210815</v>
      </c>
      <c r="B560" s="1">
        <v>8.3333333333333329E-2</v>
      </c>
      <c r="C560">
        <v>90166</v>
      </c>
      <c r="D560">
        <v>250286</v>
      </c>
      <c r="E560">
        <v>635176</v>
      </c>
      <c r="F560">
        <v>-166703</v>
      </c>
      <c r="G560">
        <v>-10429</v>
      </c>
      <c r="H560">
        <v>7384</v>
      </c>
      <c r="I560">
        <v>-56555</v>
      </c>
      <c r="J560">
        <v>11076</v>
      </c>
      <c r="K560">
        <v>94313</v>
      </c>
      <c r="L560">
        <v>-3930</v>
      </c>
      <c r="M560">
        <v>6</v>
      </c>
      <c r="N560">
        <v>850784</v>
      </c>
      <c r="O560">
        <v>19021600</v>
      </c>
      <c r="P560" s="2">
        <v>4.4727257433654373</v>
      </c>
      <c r="Q560" s="4">
        <v>11.41296</v>
      </c>
    </row>
    <row r="561" spans="1:17" x14ac:dyDescent="0.4">
      <c r="A561">
        <v>20210815</v>
      </c>
      <c r="B561" s="1">
        <v>0.10416666666666667</v>
      </c>
      <c r="C561">
        <v>105215</v>
      </c>
      <c r="D561">
        <v>263387</v>
      </c>
      <c r="E561">
        <v>510379</v>
      </c>
      <c r="F561">
        <v>-94688</v>
      </c>
      <c r="G561">
        <v>-35200</v>
      </c>
      <c r="H561">
        <v>54322</v>
      </c>
      <c r="I561">
        <v>-6674</v>
      </c>
      <c r="J561">
        <v>18573</v>
      </c>
      <c r="K561">
        <v>118840</v>
      </c>
      <c r="L561">
        <v>-15559</v>
      </c>
      <c r="M561">
        <v>5.96</v>
      </c>
      <c r="N561">
        <v>918595</v>
      </c>
      <c r="O561">
        <v>18924650</v>
      </c>
      <c r="P561" s="2">
        <v>4.8539603110229255</v>
      </c>
      <c r="Q561" s="4">
        <v>11.2790914</v>
      </c>
    </row>
    <row r="562" spans="1:17" x14ac:dyDescent="0.4">
      <c r="A562">
        <v>20210815</v>
      </c>
      <c r="B562" s="1">
        <v>0.125</v>
      </c>
      <c r="C562">
        <v>103478</v>
      </c>
      <c r="D562">
        <v>236748</v>
      </c>
      <c r="E562">
        <v>485382</v>
      </c>
      <c r="F562">
        <v>-222446</v>
      </c>
      <c r="G562">
        <v>-42533</v>
      </c>
      <c r="H562">
        <v>53729</v>
      </c>
      <c r="I562">
        <v>82975</v>
      </c>
      <c r="J562">
        <v>27000</v>
      </c>
      <c r="K562">
        <v>116474</v>
      </c>
      <c r="L562">
        <v>-7697</v>
      </c>
      <c r="M562">
        <v>5.96</v>
      </c>
      <c r="N562">
        <v>833110</v>
      </c>
      <c r="O562">
        <v>18781100</v>
      </c>
      <c r="P562" s="2">
        <v>4.4358956610635163</v>
      </c>
      <c r="Q562" s="4">
        <v>11.193535600000001</v>
      </c>
    </row>
    <row r="563" spans="1:17" x14ac:dyDescent="0.4">
      <c r="A563">
        <v>20210815</v>
      </c>
      <c r="B563" s="1">
        <v>0.14583333333333334</v>
      </c>
      <c r="C563">
        <v>70780</v>
      </c>
      <c r="D563">
        <v>228384</v>
      </c>
      <c r="E563">
        <v>485666</v>
      </c>
      <c r="F563">
        <v>-6185</v>
      </c>
      <c r="G563">
        <v>-30761</v>
      </c>
      <c r="H563">
        <v>57215</v>
      </c>
      <c r="I563">
        <v>-55158</v>
      </c>
      <c r="J563">
        <v>19161</v>
      </c>
      <c r="K563">
        <v>103050</v>
      </c>
      <c r="L563">
        <v>-9005</v>
      </c>
      <c r="M563">
        <v>5.96</v>
      </c>
      <c r="N563">
        <v>863147</v>
      </c>
      <c r="O563">
        <v>18723700</v>
      </c>
      <c r="P563" s="2">
        <v>4.6099168433589517</v>
      </c>
      <c r="Q563" s="4">
        <v>11.1593252</v>
      </c>
    </row>
    <row r="564" spans="1:17" x14ac:dyDescent="0.4">
      <c r="A564">
        <v>20210815</v>
      </c>
      <c r="B564" s="1">
        <v>0.16666666666666666</v>
      </c>
      <c r="C564">
        <v>97181</v>
      </c>
      <c r="D564">
        <v>255207</v>
      </c>
      <c r="E564">
        <v>386496</v>
      </c>
      <c r="F564">
        <v>-11023</v>
      </c>
      <c r="G564">
        <v>-57213</v>
      </c>
      <c r="H564">
        <v>167618</v>
      </c>
      <c r="I564">
        <v>-63679</v>
      </c>
      <c r="J564">
        <v>19367</v>
      </c>
      <c r="K564">
        <v>142767</v>
      </c>
      <c r="L564">
        <v>-4629</v>
      </c>
      <c r="M564">
        <v>6.22</v>
      </c>
      <c r="N564">
        <v>932092</v>
      </c>
      <c r="O564">
        <v>18627800</v>
      </c>
      <c r="P564" s="2">
        <v>5.0037685609680151</v>
      </c>
      <c r="Q564" s="4">
        <v>11.5864916</v>
      </c>
    </row>
    <row r="565" spans="1:17" x14ac:dyDescent="0.4">
      <c r="A565">
        <v>20210815</v>
      </c>
      <c r="B565" s="1">
        <v>0.1875</v>
      </c>
      <c r="C565">
        <v>103184</v>
      </c>
      <c r="D565">
        <v>222077</v>
      </c>
      <c r="E565">
        <v>308394</v>
      </c>
      <c r="F565">
        <v>6085</v>
      </c>
      <c r="G565">
        <v>-90515</v>
      </c>
      <c r="H565">
        <v>173228</v>
      </c>
      <c r="I565">
        <v>-89967</v>
      </c>
      <c r="J565">
        <v>18997</v>
      </c>
      <c r="K565">
        <v>104260</v>
      </c>
      <c r="L565">
        <v>-9920</v>
      </c>
      <c r="M565">
        <v>6.26</v>
      </c>
      <c r="N565">
        <v>745823</v>
      </c>
      <c r="O565">
        <v>18617350</v>
      </c>
      <c r="P565" s="2">
        <v>4.0060642357800651</v>
      </c>
      <c r="Q565" s="4">
        <v>11.654461100000001</v>
      </c>
    </row>
    <row r="566" spans="1:17" x14ac:dyDescent="0.4">
      <c r="A566">
        <v>20210815</v>
      </c>
      <c r="B566" s="1">
        <v>0.20833333333333334</v>
      </c>
      <c r="C566">
        <v>99519</v>
      </c>
      <c r="D566">
        <v>267268</v>
      </c>
      <c r="E566">
        <v>271078</v>
      </c>
      <c r="F566">
        <v>-58153</v>
      </c>
      <c r="G566">
        <v>-83775</v>
      </c>
      <c r="H566">
        <v>215156</v>
      </c>
      <c r="I566">
        <v>-130381</v>
      </c>
      <c r="J566">
        <v>20649</v>
      </c>
      <c r="K566">
        <v>167550</v>
      </c>
      <c r="L566">
        <v>-6310</v>
      </c>
      <c r="M566">
        <v>6</v>
      </c>
      <c r="N566">
        <v>762601</v>
      </c>
      <c r="O566">
        <v>18747750</v>
      </c>
      <c r="P566" s="2">
        <v>4.0676934565481195</v>
      </c>
      <c r="Q566" s="4">
        <v>11.24865</v>
      </c>
    </row>
    <row r="567" spans="1:17" x14ac:dyDescent="0.4">
      <c r="A567">
        <v>20210815</v>
      </c>
      <c r="B567" s="1">
        <v>0.22916666666666666</v>
      </c>
      <c r="C567">
        <v>40015</v>
      </c>
      <c r="D567">
        <v>321626</v>
      </c>
      <c r="E567">
        <v>613054</v>
      </c>
      <c r="F567">
        <v>-609</v>
      </c>
      <c r="G567">
        <v>-101385</v>
      </c>
      <c r="H567">
        <v>278723</v>
      </c>
      <c r="I567">
        <v>26293</v>
      </c>
      <c r="J567">
        <v>36044</v>
      </c>
      <c r="K567">
        <v>186034</v>
      </c>
      <c r="L567">
        <v>-3099</v>
      </c>
      <c r="M567">
        <v>6</v>
      </c>
      <c r="N567">
        <v>1396696</v>
      </c>
      <c r="O567">
        <v>18818150</v>
      </c>
      <c r="P567" s="2">
        <v>7.4220685880386759</v>
      </c>
      <c r="Q567" s="4">
        <v>11.290889999999999</v>
      </c>
    </row>
    <row r="568" spans="1:17" x14ac:dyDescent="0.4">
      <c r="A568">
        <v>20210815</v>
      </c>
      <c r="B568" s="1">
        <v>0.25</v>
      </c>
      <c r="C568">
        <v>117825</v>
      </c>
      <c r="D568">
        <v>295077</v>
      </c>
      <c r="E568">
        <v>289518</v>
      </c>
      <c r="F568">
        <v>69877</v>
      </c>
      <c r="G568">
        <v>-96995</v>
      </c>
      <c r="H568">
        <v>222480</v>
      </c>
      <c r="I568">
        <v>97303</v>
      </c>
      <c r="J568">
        <v>44169</v>
      </c>
      <c r="K568">
        <v>230151</v>
      </c>
      <c r="L568">
        <v>-1926</v>
      </c>
      <c r="M568">
        <v>5.96</v>
      </c>
      <c r="N568">
        <v>1267479</v>
      </c>
      <c r="O568">
        <v>18593550</v>
      </c>
      <c r="P568" s="2">
        <v>6.8167671047217988</v>
      </c>
      <c r="Q568" s="4">
        <v>11.0817558</v>
      </c>
    </row>
    <row r="569" spans="1:17" x14ac:dyDescent="0.4">
      <c r="A569">
        <v>20210815</v>
      </c>
      <c r="B569" s="1">
        <v>0.27083333333333331</v>
      </c>
      <c r="C569">
        <v>54795</v>
      </c>
      <c r="D569">
        <v>330450</v>
      </c>
      <c r="E569">
        <v>244909</v>
      </c>
      <c r="F569">
        <v>-3624</v>
      </c>
      <c r="G569">
        <v>-83893</v>
      </c>
      <c r="H569">
        <v>381067</v>
      </c>
      <c r="I569">
        <v>196708</v>
      </c>
      <c r="J569">
        <v>36861</v>
      </c>
      <c r="K569">
        <v>368157</v>
      </c>
      <c r="L569">
        <v>-573</v>
      </c>
      <c r="M569">
        <v>5.96</v>
      </c>
      <c r="N569">
        <v>1524857</v>
      </c>
      <c r="O569">
        <v>19088850</v>
      </c>
      <c r="P569" s="2">
        <v>7.9882077757434313</v>
      </c>
      <c r="Q569" s="4">
        <v>11.376954599999999</v>
      </c>
    </row>
    <row r="570" spans="1:17" x14ac:dyDescent="0.4">
      <c r="A570">
        <v>20210815</v>
      </c>
      <c r="B570" s="1">
        <v>0.29166666666666669</v>
      </c>
      <c r="C570">
        <v>101352</v>
      </c>
      <c r="D570">
        <v>303049</v>
      </c>
      <c r="E570">
        <v>341674</v>
      </c>
      <c r="F570">
        <v>28919</v>
      </c>
      <c r="G570">
        <v>-51481</v>
      </c>
      <c r="H570">
        <v>496237</v>
      </c>
      <c r="I570">
        <v>354301</v>
      </c>
      <c r="J570">
        <v>46407</v>
      </c>
      <c r="K570">
        <v>463732</v>
      </c>
      <c r="L570">
        <v>9008</v>
      </c>
      <c r="M570">
        <v>5.99</v>
      </c>
      <c r="N570">
        <v>2093198</v>
      </c>
      <c r="O570">
        <v>19251700</v>
      </c>
      <c r="P570" s="2">
        <v>10.872795649215394</v>
      </c>
      <c r="Q570" s="4">
        <v>11.5317683</v>
      </c>
    </row>
    <row r="571" spans="1:17" x14ac:dyDescent="0.4">
      <c r="A571">
        <v>20210815</v>
      </c>
      <c r="B571" s="1">
        <v>0.3125</v>
      </c>
      <c r="C571">
        <v>44059</v>
      </c>
      <c r="D571">
        <v>388653</v>
      </c>
      <c r="E571">
        <v>334963</v>
      </c>
      <c r="F571">
        <v>-78105</v>
      </c>
      <c r="G571">
        <v>-29729</v>
      </c>
      <c r="H571">
        <v>584377</v>
      </c>
      <c r="I571">
        <v>467486</v>
      </c>
      <c r="J571">
        <v>66606</v>
      </c>
      <c r="K571">
        <v>519356</v>
      </c>
      <c r="L571">
        <v>-667</v>
      </c>
      <c r="M571">
        <v>6.08</v>
      </c>
      <c r="N571">
        <v>2296999</v>
      </c>
      <c r="O571">
        <v>19469400</v>
      </c>
      <c r="P571" s="2">
        <v>11.797995829352727</v>
      </c>
      <c r="Q571" s="4">
        <v>11.8373952</v>
      </c>
    </row>
    <row r="572" spans="1:17" x14ac:dyDescent="0.4">
      <c r="A572">
        <v>20210815</v>
      </c>
      <c r="B572" s="1">
        <v>0.33333333333333331</v>
      </c>
      <c r="C572">
        <v>41875</v>
      </c>
      <c r="D572">
        <v>377813</v>
      </c>
      <c r="E572">
        <v>241416</v>
      </c>
      <c r="F572">
        <v>-73575</v>
      </c>
      <c r="G572">
        <v>504</v>
      </c>
      <c r="H572">
        <v>701541</v>
      </c>
      <c r="I572">
        <v>235143</v>
      </c>
      <c r="J572">
        <v>80228</v>
      </c>
      <c r="K572">
        <v>653581</v>
      </c>
      <c r="L572">
        <v>14029</v>
      </c>
      <c r="M572">
        <v>6</v>
      </c>
      <c r="N572">
        <v>2272555</v>
      </c>
      <c r="O572">
        <v>19871750</v>
      </c>
      <c r="P572" s="2">
        <v>11.436109049278498</v>
      </c>
      <c r="Q572" s="4">
        <v>11.92305</v>
      </c>
    </row>
    <row r="573" spans="1:17" x14ac:dyDescent="0.4">
      <c r="A573">
        <v>20210815</v>
      </c>
      <c r="B573" s="1">
        <v>0.35416666666666669</v>
      </c>
      <c r="C573">
        <v>3584</v>
      </c>
      <c r="D573">
        <v>347597</v>
      </c>
      <c r="E573">
        <v>240708</v>
      </c>
      <c r="F573">
        <v>59045</v>
      </c>
      <c r="G573">
        <v>49239</v>
      </c>
      <c r="H573">
        <v>809729</v>
      </c>
      <c r="I573">
        <v>291766</v>
      </c>
      <c r="J573">
        <v>77791</v>
      </c>
      <c r="K573">
        <v>860741</v>
      </c>
      <c r="L573">
        <v>6371</v>
      </c>
      <c r="M573">
        <v>6.06</v>
      </c>
      <c r="N573">
        <v>2746571</v>
      </c>
      <c r="O573">
        <v>20231000</v>
      </c>
      <c r="P573" s="2">
        <v>13.576051603974099</v>
      </c>
      <c r="Q573" s="4">
        <v>12.259985999999998</v>
      </c>
    </row>
    <row r="574" spans="1:17" x14ac:dyDescent="0.4">
      <c r="A574">
        <v>20210815</v>
      </c>
      <c r="B574" s="1">
        <v>0.375</v>
      </c>
      <c r="C574">
        <v>-21944</v>
      </c>
      <c r="D574">
        <v>377469</v>
      </c>
      <c r="E574">
        <v>633771</v>
      </c>
      <c r="F574">
        <v>135064</v>
      </c>
      <c r="G574">
        <v>97077</v>
      </c>
      <c r="H574">
        <v>953836</v>
      </c>
      <c r="I574">
        <v>492078</v>
      </c>
      <c r="J574">
        <v>98835</v>
      </c>
      <c r="K574">
        <v>1088926</v>
      </c>
      <c r="L574">
        <v>14081</v>
      </c>
      <c r="M574">
        <v>6.31</v>
      </c>
      <c r="N574">
        <v>3869193</v>
      </c>
      <c r="O574">
        <v>21528100</v>
      </c>
      <c r="P574" s="2">
        <v>17.972756536805385</v>
      </c>
      <c r="Q574" s="4">
        <v>13.5842311</v>
      </c>
    </row>
    <row r="575" spans="1:17" x14ac:dyDescent="0.4">
      <c r="A575">
        <v>20210815</v>
      </c>
      <c r="B575" s="1">
        <v>0.39583333333333331</v>
      </c>
      <c r="C575">
        <v>-50962</v>
      </c>
      <c r="D575">
        <v>350328</v>
      </c>
      <c r="E575">
        <v>592264</v>
      </c>
      <c r="F575">
        <v>321722</v>
      </c>
      <c r="G575">
        <v>148847</v>
      </c>
      <c r="H575">
        <v>1156575</v>
      </c>
      <c r="I575">
        <v>477279</v>
      </c>
      <c r="J575">
        <v>153244</v>
      </c>
      <c r="K575">
        <v>1194788</v>
      </c>
      <c r="L575">
        <v>21874</v>
      </c>
      <c r="M575">
        <v>6.33</v>
      </c>
      <c r="N575">
        <v>4365959</v>
      </c>
      <c r="O575">
        <v>21684600</v>
      </c>
      <c r="P575" s="2">
        <v>20.13391531317156</v>
      </c>
      <c r="Q575" s="4">
        <v>13.7263518</v>
      </c>
    </row>
    <row r="576" spans="1:17" x14ac:dyDescent="0.4">
      <c r="A576">
        <v>20210815</v>
      </c>
      <c r="B576" s="1">
        <v>0.41666666666666669</v>
      </c>
      <c r="C576">
        <v>-29242</v>
      </c>
      <c r="D576">
        <v>375007</v>
      </c>
      <c r="E576">
        <v>478005</v>
      </c>
      <c r="F576">
        <v>534085</v>
      </c>
      <c r="G576">
        <v>151517</v>
      </c>
      <c r="H576">
        <v>1182617</v>
      </c>
      <c r="I576">
        <v>441426</v>
      </c>
      <c r="J576">
        <v>175998</v>
      </c>
      <c r="K576">
        <v>994828</v>
      </c>
      <c r="L576">
        <v>20035</v>
      </c>
      <c r="M576">
        <v>6.47</v>
      </c>
      <c r="N576">
        <v>4324276</v>
      </c>
      <c r="O576">
        <v>21961400</v>
      </c>
      <c r="P576" s="2">
        <v>19.690347609897366</v>
      </c>
      <c r="Q576" s="4">
        <v>14.209025799999999</v>
      </c>
    </row>
    <row r="577" spans="1:17" x14ac:dyDescent="0.4">
      <c r="A577">
        <v>20210815</v>
      </c>
      <c r="B577" s="1">
        <v>0.4375</v>
      </c>
      <c r="C577">
        <v>-35452</v>
      </c>
      <c r="D577">
        <v>322606</v>
      </c>
      <c r="E577">
        <v>163978</v>
      </c>
      <c r="F577">
        <v>882404</v>
      </c>
      <c r="G577">
        <v>167250</v>
      </c>
      <c r="H577">
        <v>1153079</v>
      </c>
      <c r="I577">
        <v>411522</v>
      </c>
      <c r="J577">
        <v>169080</v>
      </c>
      <c r="K577">
        <v>969972</v>
      </c>
      <c r="L577">
        <v>18724</v>
      </c>
      <c r="M577">
        <v>6.57</v>
      </c>
      <c r="N577">
        <v>4223163</v>
      </c>
      <c r="O577">
        <v>22035850</v>
      </c>
      <c r="P577" s="2">
        <v>19.164965272499131</v>
      </c>
      <c r="Q577" s="4">
        <v>14.47755345</v>
      </c>
    </row>
    <row r="578" spans="1:17" x14ac:dyDescent="0.4">
      <c r="A578">
        <v>20210815</v>
      </c>
      <c r="B578" s="1">
        <v>0.45833333333333331</v>
      </c>
      <c r="C578">
        <v>25279</v>
      </c>
      <c r="D578">
        <v>300787</v>
      </c>
      <c r="E578">
        <v>12588</v>
      </c>
      <c r="F578">
        <v>1033581</v>
      </c>
      <c r="G578">
        <v>199880</v>
      </c>
      <c r="H578">
        <v>1081331</v>
      </c>
      <c r="I578">
        <v>338966</v>
      </c>
      <c r="J578">
        <v>237275</v>
      </c>
      <c r="K578">
        <v>811425</v>
      </c>
      <c r="L578">
        <v>23041</v>
      </c>
      <c r="M578">
        <v>6.55</v>
      </c>
      <c r="N578">
        <v>4064153</v>
      </c>
      <c r="O578">
        <v>22206000</v>
      </c>
      <c r="P578" s="2">
        <v>18.30204899576691</v>
      </c>
      <c r="Q578" s="4">
        <v>14.544930000000001</v>
      </c>
    </row>
    <row r="579" spans="1:17" x14ac:dyDescent="0.4">
      <c r="A579">
        <v>20210815</v>
      </c>
      <c r="B579" s="1">
        <v>0.47916666666666669</v>
      </c>
      <c r="C579">
        <v>-8351</v>
      </c>
      <c r="D579">
        <v>317341</v>
      </c>
      <c r="E579">
        <v>12213</v>
      </c>
      <c r="F579">
        <v>1005006</v>
      </c>
      <c r="G579">
        <v>171968</v>
      </c>
      <c r="H579">
        <v>993857</v>
      </c>
      <c r="I579">
        <v>357220</v>
      </c>
      <c r="J579">
        <v>322655</v>
      </c>
      <c r="K579">
        <v>525139</v>
      </c>
      <c r="L579">
        <v>24750</v>
      </c>
      <c r="M579">
        <v>6.55</v>
      </c>
      <c r="N579">
        <v>3721798</v>
      </c>
      <c r="O579">
        <v>22258100</v>
      </c>
      <c r="P579" s="2">
        <v>16.721094792457578</v>
      </c>
      <c r="Q579" s="4">
        <v>14.579055500000001</v>
      </c>
    </row>
    <row r="580" spans="1:17" x14ac:dyDescent="0.4">
      <c r="A580">
        <v>20210815</v>
      </c>
      <c r="B580" s="1">
        <v>0.5</v>
      </c>
      <c r="C580">
        <v>-65134</v>
      </c>
      <c r="D580">
        <v>358904</v>
      </c>
      <c r="E580">
        <v>-2197</v>
      </c>
      <c r="F580">
        <v>952899</v>
      </c>
      <c r="G580">
        <v>153699</v>
      </c>
      <c r="H580">
        <v>1048043</v>
      </c>
      <c r="I580">
        <v>225902</v>
      </c>
      <c r="J580">
        <v>365191</v>
      </c>
      <c r="K580">
        <v>329482</v>
      </c>
      <c r="L580">
        <v>38172</v>
      </c>
      <c r="M580">
        <v>6.63</v>
      </c>
      <c r="N580">
        <v>3404961</v>
      </c>
      <c r="O580">
        <v>22339950</v>
      </c>
      <c r="P580" s="2">
        <v>15.241578427883679</v>
      </c>
      <c r="Q580" s="4">
        <v>14.81138685</v>
      </c>
    </row>
    <row r="581" spans="1:17" x14ac:dyDescent="0.4">
      <c r="A581">
        <v>20210815</v>
      </c>
      <c r="B581" s="1">
        <v>0.52083333333333337</v>
      </c>
      <c r="C581">
        <v>4448</v>
      </c>
      <c r="D581">
        <v>323789</v>
      </c>
      <c r="E581">
        <v>105014</v>
      </c>
      <c r="F581">
        <v>963184</v>
      </c>
      <c r="G581">
        <v>143943</v>
      </c>
      <c r="H581">
        <v>1152117</v>
      </c>
      <c r="I581">
        <v>164887</v>
      </c>
      <c r="J581">
        <v>363112</v>
      </c>
      <c r="K581">
        <v>214287</v>
      </c>
      <c r="L581">
        <v>41074</v>
      </c>
      <c r="M581">
        <v>6.63</v>
      </c>
      <c r="N581">
        <v>3475855</v>
      </c>
      <c r="O581">
        <v>22331400</v>
      </c>
      <c r="P581" s="2">
        <v>15.564877258031292</v>
      </c>
      <c r="Q581" s="4">
        <v>14.805718199999999</v>
      </c>
    </row>
    <row r="582" spans="1:17" x14ac:dyDescent="0.4">
      <c r="A582">
        <v>20210815</v>
      </c>
      <c r="B582" s="1">
        <v>0.54166666666666663</v>
      </c>
      <c r="C582">
        <v>-70945</v>
      </c>
      <c r="D582">
        <v>379666</v>
      </c>
      <c r="E582">
        <v>176108</v>
      </c>
      <c r="F582">
        <v>744465</v>
      </c>
      <c r="G582">
        <v>131457</v>
      </c>
      <c r="H582">
        <v>1092410</v>
      </c>
      <c r="I582">
        <v>227359</v>
      </c>
      <c r="J582">
        <v>302653</v>
      </c>
      <c r="K582">
        <v>295538</v>
      </c>
      <c r="L582">
        <v>47044</v>
      </c>
      <c r="M582">
        <v>6.63</v>
      </c>
      <c r="N582">
        <v>3325755</v>
      </c>
      <c r="O582">
        <v>21870500</v>
      </c>
      <c r="P582" s="2">
        <v>15.206579639240072</v>
      </c>
      <c r="Q582" s="4">
        <v>14.5001415</v>
      </c>
    </row>
    <row r="583" spans="1:17" x14ac:dyDescent="0.4">
      <c r="A583">
        <v>20210815</v>
      </c>
      <c r="B583" s="1">
        <v>0.5625</v>
      </c>
      <c r="C583">
        <v>-55846</v>
      </c>
      <c r="D583">
        <v>360353</v>
      </c>
      <c r="E583">
        <v>310751</v>
      </c>
      <c r="F583">
        <v>773481</v>
      </c>
      <c r="G583">
        <v>118254</v>
      </c>
      <c r="H583">
        <v>1068267</v>
      </c>
      <c r="I583">
        <v>225935</v>
      </c>
      <c r="J583">
        <v>242815</v>
      </c>
      <c r="K583">
        <v>338336</v>
      </c>
      <c r="L583">
        <v>44207</v>
      </c>
      <c r="M583">
        <v>6.63</v>
      </c>
      <c r="N583">
        <v>3426553</v>
      </c>
      <c r="O583">
        <v>21871250</v>
      </c>
      <c r="P583" s="2">
        <v>15.666928044807682</v>
      </c>
      <c r="Q583" s="4">
        <v>14.50063875</v>
      </c>
    </row>
    <row r="584" spans="1:17" x14ac:dyDescent="0.4">
      <c r="A584">
        <v>20210815</v>
      </c>
      <c r="B584" s="1">
        <v>0.58333333333333337</v>
      </c>
      <c r="C584">
        <v>-52005</v>
      </c>
      <c r="D584">
        <v>361378</v>
      </c>
      <c r="E584">
        <v>1056967</v>
      </c>
      <c r="F584">
        <v>653562</v>
      </c>
      <c r="G584">
        <v>113409</v>
      </c>
      <c r="H584">
        <v>1021124</v>
      </c>
      <c r="I584">
        <v>178454</v>
      </c>
      <c r="J584">
        <v>169652</v>
      </c>
      <c r="K584">
        <v>323556</v>
      </c>
      <c r="L584">
        <v>38318</v>
      </c>
      <c r="M584">
        <v>6.72</v>
      </c>
      <c r="N584">
        <v>3864415</v>
      </c>
      <c r="O584">
        <v>21793750</v>
      </c>
      <c r="P584" s="2">
        <v>17.731757958130199</v>
      </c>
      <c r="Q584" s="4">
        <v>14.6454</v>
      </c>
    </row>
    <row r="585" spans="1:17" x14ac:dyDescent="0.4">
      <c r="A585">
        <v>20210815</v>
      </c>
      <c r="B585" s="1">
        <v>0.60416666666666663</v>
      </c>
      <c r="C585">
        <v>-44983</v>
      </c>
      <c r="D585">
        <v>343632</v>
      </c>
      <c r="E585">
        <v>1575073</v>
      </c>
      <c r="F585">
        <v>787197</v>
      </c>
      <c r="G585">
        <v>82866</v>
      </c>
      <c r="H585">
        <v>1012842</v>
      </c>
      <c r="I585">
        <v>-39809</v>
      </c>
      <c r="J585">
        <v>118492</v>
      </c>
      <c r="K585">
        <v>273198</v>
      </c>
      <c r="L585">
        <v>35247</v>
      </c>
      <c r="M585">
        <v>6.74</v>
      </c>
      <c r="N585">
        <v>4143755</v>
      </c>
      <c r="O585">
        <v>21671500</v>
      </c>
      <c r="P585" s="2">
        <v>19.120757677133561</v>
      </c>
      <c r="Q585" s="4">
        <v>14.606591</v>
      </c>
    </row>
    <row r="586" spans="1:17" x14ac:dyDescent="0.4">
      <c r="A586">
        <v>20210815</v>
      </c>
      <c r="B586" s="1">
        <v>0.625</v>
      </c>
      <c r="C586">
        <v>-84081</v>
      </c>
      <c r="D586">
        <v>362747</v>
      </c>
      <c r="E586">
        <v>1651918</v>
      </c>
      <c r="F586">
        <v>687597</v>
      </c>
      <c r="G586">
        <v>69997</v>
      </c>
      <c r="H586">
        <v>894378</v>
      </c>
      <c r="I586">
        <v>-96720</v>
      </c>
      <c r="J586">
        <v>48743</v>
      </c>
      <c r="K586">
        <v>372905</v>
      </c>
      <c r="L586">
        <v>44973</v>
      </c>
      <c r="M586">
        <v>7.23</v>
      </c>
      <c r="N586">
        <v>3952457</v>
      </c>
      <c r="O586">
        <v>21505150</v>
      </c>
      <c r="P586" s="2">
        <v>18.379118490222108</v>
      </c>
      <c r="Q586" s="4">
        <v>15.54822345</v>
      </c>
    </row>
    <row r="587" spans="1:17" x14ac:dyDescent="0.4">
      <c r="A587">
        <v>20210815</v>
      </c>
      <c r="B587" s="1">
        <v>0.64583333333333337</v>
      </c>
      <c r="C587">
        <v>-29828</v>
      </c>
      <c r="D587">
        <v>344316</v>
      </c>
      <c r="E587">
        <v>1652531</v>
      </c>
      <c r="F587">
        <v>642018</v>
      </c>
      <c r="G587">
        <v>41136</v>
      </c>
      <c r="H587">
        <v>533101</v>
      </c>
      <c r="I587">
        <v>-70541</v>
      </c>
      <c r="J587">
        <v>39395</v>
      </c>
      <c r="K587">
        <v>320494</v>
      </c>
      <c r="L587">
        <v>34851</v>
      </c>
      <c r="M587">
        <v>7.79</v>
      </c>
      <c r="N587">
        <v>3507473</v>
      </c>
      <c r="O587">
        <v>21025650</v>
      </c>
      <c r="P587" s="2">
        <v>16.681876660174595</v>
      </c>
      <c r="Q587" s="4">
        <v>16.37898135</v>
      </c>
    </row>
    <row r="588" spans="1:17" x14ac:dyDescent="0.4">
      <c r="A588">
        <v>20210815</v>
      </c>
      <c r="B588" s="1">
        <v>0.66666666666666663</v>
      </c>
      <c r="C588">
        <v>-51088</v>
      </c>
      <c r="D588">
        <v>344770</v>
      </c>
      <c r="E588">
        <v>1603165</v>
      </c>
      <c r="F588">
        <v>474412</v>
      </c>
      <c r="G588">
        <v>-19471</v>
      </c>
      <c r="H588">
        <v>551404</v>
      </c>
      <c r="I588">
        <v>-23226</v>
      </c>
      <c r="J588">
        <v>23885</v>
      </c>
      <c r="K588">
        <v>297194</v>
      </c>
      <c r="L588">
        <v>24563</v>
      </c>
      <c r="M588">
        <v>6.91</v>
      </c>
      <c r="N588">
        <v>3225608</v>
      </c>
      <c r="O588">
        <v>21300900</v>
      </c>
      <c r="P588" s="2">
        <v>15.143059682924196</v>
      </c>
      <c r="Q588" s="4">
        <v>14.7189219</v>
      </c>
    </row>
    <row r="589" spans="1:17" x14ac:dyDescent="0.4">
      <c r="A589">
        <v>20210815</v>
      </c>
      <c r="B589" s="1">
        <v>0.6875</v>
      </c>
      <c r="C589">
        <v>-13081</v>
      </c>
      <c r="D589">
        <v>292668</v>
      </c>
      <c r="E589">
        <v>1580255</v>
      </c>
      <c r="F589">
        <v>379746</v>
      </c>
      <c r="G589">
        <v>-16540</v>
      </c>
      <c r="H589">
        <v>493842</v>
      </c>
      <c r="I589">
        <v>-78584</v>
      </c>
      <c r="J589">
        <v>13423</v>
      </c>
      <c r="K589">
        <v>306232</v>
      </c>
      <c r="L589">
        <v>11077</v>
      </c>
      <c r="M589">
        <v>7</v>
      </c>
      <c r="N589">
        <v>2969038</v>
      </c>
      <c r="O589">
        <v>21200650</v>
      </c>
      <c r="P589" s="2">
        <v>14.004466844176948</v>
      </c>
      <c r="Q589" s="4">
        <v>14.840455</v>
      </c>
    </row>
    <row r="590" spans="1:17" x14ac:dyDescent="0.4">
      <c r="A590">
        <v>20210815</v>
      </c>
      <c r="B590" s="1">
        <v>0.70833333333333337</v>
      </c>
      <c r="C590">
        <v>-15071</v>
      </c>
      <c r="D590">
        <v>238695</v>
      </c>
      <c r="E590">
        <v>1503535</v>
      </c>
      <c r="F590">
        <v>256086</v>
      </c>
      <c r="G590">
        <v>-65530</v>
      </c>
      <c r="H590">
        <v>420537</v>
      </c>
      <c r="I590">
        <v>-43573</v>
      </c>
      <c r="J590">
        <v>38191</v>
      </c>
      <c r="K590">
        <v>197238</v>
      </c>
      <c r="L590">
        <v>8630</v>
      </c>
      <c r="M590">
        <v>7.08</v>
      </c>
      <c r="N590">
        <v>2538738</v>
      </c>
      <c r="O590">
        <v>21169950</v>
      </c>
      <c r="P590" s="2">
        <v>11.992177591350003</v>
      </c>
      <c r="Q590" s="4">
        <v>14.9883246</v>
      </c>
    </row>
    <row r="591" spans="1:17" x14ac:dyDescent="0.4">
      <c r="A591">
        <v>20210815</v>
      </c>
      <c r="B591" s="1">
        <v>0.72916666666666663</v>
      </c>
      <c r="C591">
        <v>-9099</v>
      </c>
      <c r="D591">
        <v>204350</v>
      </c>
      <c r="E591">
        <v>1618334</v>
      </c>
      <c r="F591">
        <v>251317</v>
      </c>
      <c r="G591">
        <v>-94654</v>
      </c>
      <c r="H591">
        <v>377968</v>
      </c>
      <c r="I591">
        <v>-123532</v>
      </c>
      <c r="J591">
        <v>36002</v>
      </c>
      <c r="K591">
        <v>175808</v>
      </c>
      <c r="L591">
        <v>-2558</v>
      </c>
      <c r="M591">
        <v>7.09</v>
      </c>
      <c r="N591">
        <v>2433936</v>
      </c>
      <c r="O591">
        <v>20890250</v>
      </c>
      <c r="P591" s="2">
        <v>11.651062098347316</v>
      </c>
      <c r="Q591" s="4">
        <v>14.81118725</v>
      </c>
    </row>
    <row r="592" spans="1:17" x14ac:dyDescent="0.4">
      <c r="A592">
        <v>20210815</v>
      </c>
      <c r="B592" s="1">
        <v>0.75</v>
      </c>
      <c r="C592">
        <v>-13858</v>
      </c>
      <c r="D592">
        <v>101205</v>
      </c>
      <c r="E592">
        <v>1551869</v>
      </c>
      <c r="F592">
        <v>296530</v>
      </c>
      <c r="G592">
        <v>-51218</v>
      </c>
      <c r="H592">
        <v>285385</v>
      </c>
      <c r="I592">
        <v>-31407</v>
      </c>
      <c r="J592">
        <v>47856</v>
      </c>
      <c r="K592">
        <v>132271</v>
      </c>
      <c r="L592">
        <v>53</v>
      </c>
      <c r="M592">
        <v>7.54</v>
      </c>
      <c r="N592">
        <v>2318686</v>
      </c>
      <c r="O592">
        <v>20725550</v>
      </c>
      <c r="P592" s="2">
        <v>11.187572826776611</v>
      </c>
      <c r="Q592" s="4">
        <v>15.6270647</v>
      </c>
    </row>
    <row r="593" spans="1:17" x14ac:dyDescent="0.4">
      <c r="A593">
        <v>20210815</v>
      </c>
      <c r="B593" s="1">
        <v>0.77083333333333337</v>
      </c>
      <c r="C593">
        <v>25451</v>
      </c>
      <c r="D593">
        <v>125165</v>
      </c>
      <c r="E593">
        <v>1485698</v>
      </c>
      <c r="F593">
        <v>184356</v>
      </c>
      <c r="G593">
        <v>-70540</v>
      </c>
      <c r="H593">
        <v>237081</v>
      </c>
      <c r="I593">
        <v>-135296</v>
      </c>
      <c r="J593">
        <v>54279</v>
      </c>
      <c r="K593">
        <v>98422</v>
      </c>
      <c r="L593">
        <v>-5717</v>
      </c>
      <c r="M593">
        <v>7.54</v>
      </c>
      <c r="N593">
        <v>1998899</v>
      </c>
      <c r="O593">
        <v>20674800</v>
      </c>
      <c r="P593" s="2">
        <v>9.6682869967303198</v>
      </c>
      <c r="Q593" s="4">
        <v>15.5887992</v>
      </c>
    </row>
    <row r="594" spans="1:17" x14ac:dyDescent="0.4">
      <c r="A594">
        <v>20210815</v>
      </c>
      <c r="B594" s="1">
        <v>0.79166666666666663</v>
      </c>
      <c r="C594">
        <v>21498</v>
      </c>
      <c r="D594">
        <v>120112</v>
      </c>
      <c r="E594">
        <v>1519209</v>
      </c>
      <c r="F594">
        <v>212359</v>
      </c>
      <c r="G594">
        <v>-66390</v>
      </c>
      <c r="H594">
        <v>138065</v>
      </c>
      <c r="I594">
        <v>-105108</v>
      </c>
      <c r="J594">
        <v>63652</v>
      </c>
      <c r="K594">
        <v>185258</v>
      </c>
      <c r="L594">
        <v>-4972</v>
      </c>
      <c r="M594">
        <v>7.44</v>
      </c>
      <c r="N594">
        <v>2083683</v>
      </c>
      <c r="O594">
        <v>20557400</v>
      </c>
      <c r="P594" s="2">
        <v>10.135926722250868</v>
      </c>
      <c r="Q594" s="4">
        <v>15.2947056</v>
      </c>
    </row>
    <row r="595" spans="1:17" x14ac:dyDescent="0.4">
      <c r="A595">
        <v>20210815</v>
      </c>
      <c r="B595" s="1">
        <v>0.8125</v>
      </c>
      <c r="C595">
        <v>-6826</v>
      </c>
      <c r="D595">
        <v>91550</v>
      </c>
      <c r="E595">
        <v>1578400</v>
      </c>
      <c r="F595">
        <v>195843</v>
      </c>
      <c r="G595">
        <v>-50298</v>
      </c>
      <c r="H595">
        <v>46845</v>
      </c>
      <c r="I595">
        <v>-151475</v>
      </c>
      <c r="J595">
        <v>60890</v>
      </c>
      <c r="K595">
        <v>170960</v>
      </c>
      <c r="L595">
        <v>-8003</v>
      </c>
      <c r="M595">
        <v>7.44</v>
      </c>
      <c r="N595">
        <v>1927886</v>
      </c>
      <c r="O595">
        <v>20432050</v>
      </c>
      <c r="P595" s="2">
        <v>9.4355975049003895</v>
      </c>
      <c r="Q595" s="4">
        <v>15.2014452</v>
      </c>
    </row>
    <row r="596" spans="1:17" x14ac:dyDescent="0.4">
      <c r="A596">
        <v>20210815</v>
      </c>
      <c r="B596" s="1">
        <v>0.83333333333333337</v>
      </c>
      <c r="C596">
        <v>62098</v>
      </c>
      <c r="D596">
        <v>102360</v>
      </c>
      <c r="E596">
        <v>985900</v>
      </c>
      <c r="F596">
        <v>254180</v>
      </c>
      <c r="G596">
        <v>-7870</v>
      </c>
      <c r="H596">
        <v>237454</v>
      </c>
      <c r="I596">
        <v>-226530</v>
      </c>
      <c r="J596">
        <v>64566</v>
      </c>
      <c r="K596">
        <v>167138</v>
      </c>
      <c r="L596">
        <v>-14262</v>
      </c>
      <c r="M596">
        <v>7.1</v>
      </c>
      <c r="N596">
        <v>1625034</v>
      </c>
      <c r="O596">
        <v>20267050</v>
      </c>
      <c r="P596" s="2">
        <v>8.018108210124316</v>
      </c>
      <c r="Q596" s="4">
        <v>14.3896055</v>
      </c>
    </row>
    <row r="597" spans="1:17" x14ac:dyDescent="0.4">
      <c r="A597">
        <v>20210815</v>
      </c>
      <c r="B597" s="1">
        <v>0.85416666666666663</v>
      </c>
      <c r="C597">
        <v>34136</v>
      </c>
      <c r="D597">
        <v>76913</v>
      </c>
      <c r="E597">
        <v>1003823</v>
      </c>
      <c r="F597">
        <v>187017</v>
      </c>
      <c r="G597">
        <v>6329</v>
      </c>
      <c r="H597">
        <v>124085</v>
      </c>
      <c r="I597">
        <v>-197962</v>
      </c>
      <c r="J597">
        <v>63097</v>
      </c>
      <c r="K597">
        <v>196378</v>
      </c>
      <c r="L597">
        <v>-9731</v>
      </c>
      <c r="M597">
        <v>7.09</v>
      </c>
      <c r="N597">
        <v>1484085</v>
      </c>
      <c r="O597">
        <v>20381150</v>
      </c>
      <c r="P597" s="2">
        <v>7.2816548624586934</v>
      </c>
      <c r="Q597" s="4">
        <v>14.45023535</v>
      </c>
    </row>
    <row r="598" spans="1:17" x14ac:dyDescent="0.4">
      <c r="A598">
        <v>20210815</v>
      </c>
      <c r="B598" s="1">
        <v>0.875</v>
      </c>
      <c r="C598">
        <v>35277</v>
      </c>
      <c r="D598">
        <v>109230</v>
      </c>
      <c r="E598">
        <v>756007</v>
      </c>
      <c r="F598">
        <v>228343</v>
      </c>
      <c r="G598">
        <v>7623</v>
      </c>
      <c r="H598">
        <v>155429</v>
      </c>
      <c r="I598">
        <v>-221400</v>
      </c>
      <c r="J598">
        <v>53767</v>
      </c>
      <c r="K598">
        <v>118417</v>
      </c>
      <c r="L598">
        <v>-23536</v>
      </c>
      <c r="M598">
        <v>7.06</v>
      </c>
      <c r="N598">
        <v>1219157</v>
      </c>
      <c r="O598">
        <v>20315900</v>
      </c>
      <c r="P598" s="2">
        <v>6.0009992173617706</v>
      </c>
      <c r="Q598" s="4">
        <v>14.3430254</v>
      </c>
    </row>
    <row r="599" spans="1:17" x14ac:dyDescent="0.4">
      <c r="A599">
        <v>20210815</v>
      </c>
      <c r="B599" s="1">
        <v>0.89583333333333337</v>
      </c>
      <c r="C599">
        <v>56889</v>
      </c>
      <c r="D599">
        <v>48641</v>
      </c>
      <c r="E599">
        <v>960001</v>
      </c>
      <c r="F599">
        <v>165524</v>
      </c>
      <c r="G599">
        <v>26128</v>
      </c>
      <c r="H599">
        <v>218706</v>
      </c>
      <c r="I599">
        <v>-147912</v>
      </c>
      <c r="J599">
        <v>54408</v>
      </c>
      <c r="K599">
        <v>124443</v>
      </c>
      <c r="L599">
        <v>-22591</v>
      </c>
      <c r="M599">
        <v>6.99</v>
      </c>
      <c r="N599">
        <v>1484237</v>
      </c>
      <c r="O599">
        <v>20164300</v>
      </c>
      <c r="P599" s="2">
        <v>7.360716712209201</v>
      </c>
      <c r="Q599" s="4">
        <v>14.0948457</v>
      </c>
    </row>
    <row r="600" spans="1:17" x14ac:dyDescent="0.4">
      <c r="A600">
        <v>20210815</v>
      </c>
      <c r="B600" s="1">
        <v>0.91666666666666663</v>
      </c>
      <c r="C600">
        <v>56615</v>
      </c>
      <c r="D600">
        <v>151668</v>
      </c>
      <c r="E600">
        <v>773103</v>
      </c>
      <c r="F600">
        <v>220191</v>
      </c>
      <c r="G600">
        <v>47587</v>
      </c>
      <c r="H600">
        <v>217642</v>
      </c>
      <c r="I600">
        <v>-124851</v>
      </c>
      <c r="J600">
        <v>64609</v>
      </c>
      <c r="K600">
        <v>185678</v>
      </c>
      <c r="L600">
        <v>-33574</v>
      </c>
      <c r="M600">
        <v>7.38</v>
      </c>
      <c r="N600">
        <v>1558668</v>
      </c>
      <c r="O600">
        <v>19790900</v>
      </c>
      <c r="P600" s="2">
        <v>7.8756802368765442</v>
      </c>
      <c r="Q600" s="4">
        <v>14.605684200000001</v>
      </c>
    </row>
    <row r="601" spans="1:17" x14ac:dyDescent="0.4">
      <c r="A601">
        <v>20210815</v>
      </c>
      <c r="B601" s="1">
        <v>0.9375</v>
      </c>
      <c r="C601">
        <v>54242</v>
      </c>
      <c r="D601">
        <v>141267</v>
      </c>
      <c r="E601">
        <v>633345</v>
      </c>
      <c r="F601">
        <v>184912</v>
      </c>
      <c r="G601">
        <v>47820</v>
      </c>
      <c r="H601">
        <v>241236</v>
      </c>
      <c r="I601">
        <v>-68127</v>
      </c>
      <c r="J601">
        <v>65968</v>
      </c>
      <c r="K601">
        <v>189088</v>
      </c>
      <c r="L601">
        <v>-19851</v>
      </c>
      <c r="M601">
        <v>6.99</v>
      </c>
      <c r="N601">
        <v>1469900</v>
      </c>
      <c r="O601">
        <v>19670800</v>
      </c>
      <c r="P601" s="2">
        <v>7.4724973056510153</v>
      </c>
      <c r="Q601" s="4">
        <v>13.7498892</v>
      </c>
    </row>
    <row r="602" spans="1:17" x14ac:dyDescent="0.4">
      <c r="A602">
        <v>20210815</v>
      </c>
      <c r="B602" s="1">
        <v>0.95833333333333337</v>
      </c>
      <c r="C602">
        <v>81896</v>
      </c>
      <c r="D602">
        <v>174881</v>
      </c>
      <c r="E602">
        <v>514680</v>
      </c>
      <c r="F602">
        <v>223243</v>
      </c>
      <c r="G602">
        <v>68027</v>
      </c>
      <c r="H602">
        <v>189458</v>
      </c>
      <c r="I602">
        <v>-10698</v>
      </c>
      <c r="J602">
        <v>65185</v>
      </c>
      <c r="K602">
        <v>115702</v>
      </c>
      <c r="L602">
        <v>-22082</v>
      </c>
      <c r="M602">
        <v>6.52</v>
      </c>
      <c r="N602">
        <v>1400292</v>
      </c>
      <c r="O602">
        <v>18965450</v>
      </c>
      <c r="P602" s="2">
        <v>7.3833839956341665</v>
      </c>
      <c r="Q602" s="4">
        <v>12.365473399999999</v>
      </c>
    </row>
    <row r="603" spans="1:17" x14ac:dyDescent="0.4">
      <c r="A603">
        <v>20210815</v>
      </c>
      <c r="B603" s="1">
        <v>0.97916666666666663</v>
      </c>
      <c r="C603">
        <v>77783</v>
      </c>
      <c r="D603">
        <v>190166</v>
      </c>
      <c r="E603">
        <v>604493</v>
      </c>
      <c r="F603">
        <v>205188</v>
      </c>
      <c r="G603">
        <v>69309</v>
      </c>
      <c r="H603">
        <v>267988</v>
      </c>
      <c r="I603">
        <v>59356</v>
      </c>
      <c r="J603">
        <v>53411</v>
      </c>
      <c r="K603">
        <v>133313</v>
      </c>
      <c r="L603">
        <v>-10867</v>
      </c>
      <c r="M603">
        <v>6.18</v>
      </c>
      <c r="N603">
        <v>1650140</v>
      </c>
      <c r="O603">
        <v>18519850</v>
      </c>
      <c r="P603" s="2">
        <v>8.9101153627054206</v>
      </c>
      <c r="Q603" s="4">
        <v>11.445267299999999</v>
      </c>
    </row>
    <row r="604" spans="1:17" x14ac:dyDescent="0.4">
      <c r="A604">
        <v>20210816</v>
      </c>
      <c r="B604" s="1">
        <v>0</v>
      </c>
      <c r="C604">
        <v>66823</v>
      </c>
      <c r="D604">
        <v>226825</v>
      </c>
      <c r="E604">
        <v>510618</v>
      </c>
      <c r="F604">
        <v>154640</v>
      </c>
      <c r="G604">
        <v>181542</v>
      </c>
      <c r="H604">
        <v>454188</v>
      </c>
      <c r="I604">
        <v>-51857</v>
      </c>
      <c r="J604">
        <v>69691</v>
      </c>
      <c r="K604">
        <v>193863</v>
      </c>
      <c r="L604">
        <v>-23086</v>
      </c>
      <c r="M604">
        <v>6.15</v>
      </c>
      <c r="N604">
        <v>1783247</v>
      </c>
      <c r="O604">
        <v>18199450</v>
      </c>
      <c r="P604" s="2">
        <v>9.7983565437417059</v>
      </c>
      <c r="Q604" s="4">
        <v>11.192661749999999</v>
      </c>
    </row>
    <row r="605" spans="1:17" x14ac:dyDescent="0.4">
      <c r="A605">
        <v>20210816</v>
      </c>
      <c r="B605" s="1">
        <v>2.0833333333333332E-2</v>
      </c>
      <c r="C605">
        <v>47274</v>
      </c>
      <c r="D605">
        <v>100523</v>
      </c>
      <c r="E605">
        <v>533976</v>
      </c>
      <c r="F605">
        <v>110704</v>
      </c>
      <c r="G605">
        <v>185494</v>
      </c>
      <c r="H605">
        <v>464978</v>
      </c>
      <c r="I605">
        <v>-47627</v>
      </c>
      <c r="J605">
        <v>78738</v>
      </c>
      <c r="K605">
        <v>186646</v>
      </c>
      <c r="L605">
        <v>-9050</v>
      </c>
      <c r="M605">
        <v>5.9</v>
      </c>
      <c r="N605">
        <v>1651656</v>
      </c>
      <c r="O605">
        <v>19075350</v>
      </c>
      <c r="P605" s="2">
        <v>8.658588177936446</v>
      </c>
      <c r="Q605" s="4">
        <v>11.2544565</v>
      </c>
    </row>
    <row r="606" spans="1:17" x14ac:dyDescent="0.4">
      <c r="A606">
        <v>20210816</v>
      </c>
      <c r="B606" s="1">
        <v>4.1666666666666664E-2</v>
      </c>
      <c r="C606">
        <v>81880</v>
      </c>
      <c r="D606">
        <v>158172</v>
      </c>
      <c r="E606">
        <v>496092</v>
      </c>
      <c r="F606">
        <v>226751</v>
      </c>
      <c r="G606">
        <v>155681</v>
      </c>
      <c r="H606">
        <v>396246</v>
      </c>
      <c r="I606">
        <v>-33326</v>
      </c>
      <c r="J606">
        <v>73823</v>
      </c>
      <c r="K606">
        <v>155155</v>
      </c>
      <c r="L606">
        <v>-17664</v>
      </c>
      <c r="M606">
        <v>5.87</v>
      </c>
      <c r="N606">
        <v>1692810</v>
      </c>
      <c r="O606">
        <v>19260050</v>
      </c>
      <c r="P606" s="2">
        <v>8.7892295191341656</v>
      </c>
      <c r="Q606" s="4">
        <v>11.305649349999999</v>
      </c>
    </row>
    <row r="607" spans="1:17" x14ac:dyDescent="0.4">
      <c r="A607">
        <v>20210816</v>
      </c>
      <c r="B607" s="1">
        <v>6.25E-2</v>
      </c>
      <c r="C607">
        <v>41110</v>
      </c>
      <c r="D607">
        <v>188174</v>
      </c>
      <c r="E607">
        <v>441103</v>
      </c>
      <c r="F607">
        <v>248050</v>
      </c>
      <c r="G607">
        <v>178055</v>
      </c>
      <c r="H607">
        <v>228048</v>
      </c>
      <c r="I607">
        <v>-27806</v>
      </c>
      <c r="J607">
        <v>62321</v>
      </c>
      <c r="K607">
        <v>172007</v>
      </c>
      <c r="L607">
        <v>-6041</v>
      </c>
      <c r="M607">
        <v>5.76</v>
      </c>
      <c r="N607">
        <v>1525021</v>
      </c>
      <c r="O607">
        <v>19381700</v>
      </c>
      <c r="P607" s="2">
        <v>7.8683552010401563</v>
      </c>
      <c r="Q607" s="4">
        <v>11.163859199999999</v>
      </c>
    </row>
    <row r="608" spans="1:17" x14ac:dyDescent="0.4">
      <c r="A608">
        <v>20210816</v>
      </c>
      <c r="B608" s="1">
        <v>8.3333333333333329E-2</v>
      </c>
      <c r="C608">
        <v>49402</v>
      </c>
      <c r="D608">
        <v>154194</v>
      </c>
      <c r="E608">
        <v>468651</v>
      </c>
      <c r="F608">
        <v>309703</v>
      </c>
      <c r="G608">
        <v>176768</v>
      </c>
      <c r="H608">
        <v>261437</v>
      </c>
      <c r="I608">
        <v>2733</v>
      </c>
      <c r="J608">
        <v>61859</v>
      </c>
      <c r="K608">
        <v>178352</v>
      </c>
      <c r="L608">
        <v>-6703</v>
      </c>
      <c r="M608">
        <v>5.64</v>
      </c>
      <c r="N608">
        <v>1656396</v>
      </c>
      <c r="O608">
        <v>19518550</v>
      </c>
      <c r="P608" s="2">
        <v>8.4862656293628369</v>
      </c>
      <c r="Q608" s="4">
        <v>11.0084622</v>
      </c>
    </row>
    <row r="609" spans="1:17" x14ac:dyDescent="0.4">
      <c r="A609">
        <v>20210816</v>
      </c>
      <c r="B609" s="1">
        <v>0.10416666666666667</v>
      </c>
      <c r="C609">
        <v>7645</v>
      </c>
      <c r="D609">
        <v>143383</v>
      </c>
      <c r="E609">
        <v>499297</v>
      </c>
      <c r="F609">
        <v>220940</v>
      </c>
      <c r="G609">
        <v>176204</v>
      </c>
      <c r="H609">
        <v>201776</v>
      </c>
      <c r="I609">
        <v>-23174</v>
      </c>
      <c r="J609">
        <v>60975</v>
      </c>
      <c r="K609">
        <v>160515</v>
      </c>
      <c r="L609">
        <v>-432</v>
      </c>
      <c r="M609">
        <v>5.69</v>
      </c>
      <c r="N609">
        <v>1447129</v>
      </c>
      <c r="O609">
        <v>19464300</v>
      </c>
      <c r="P609" s="2">
        <v>7.4347857359370746</v>
      </c>
      <c r="Q609" s="4">
        <v>11.075186700000001</v>
      </c>
    </row>
    <row r="610" spans="1:17" x14ac:dyDescent="0.4">
      <c r="A610">
        <v>20210816</v>
      </c>
      <c r="B610" s="1">
        <v>0.125</v>
      </c>
      <c r="C610">
        <v>17391</v>
      </c>
      <c r="D610">
        <v>103094</v>
      </c>
      <c r="E610">
        <v>414079</v>
      </c>
      <c r="F610">
        <v>320052</v>
      </c>
      <c r="G610">
        <v>107791</v>
      </c>
      <c r="H610">
        <v>188088</v>
      </c>
      <c r="I610">
        <v>22877</v>
      </c>
      <c r="J610">
        <v>42988</v>
      </c>
      <c r="K610">
        <v>146318</v>
      </c>
      <c r="L610">
        <v>-7767</v>
      </c>
      <c r="M610">
        <v>5.82</v>
      </c>
      <c r="N610">
        <v>1354911</v>
      </c>
      <c r="O610">
        <v>19595550</v>
      </c>
      <c r="P610" s="2">
        <v>6.9143810712125964</v>
      </c>
      <c r="Q610" s="4">
        <v>11.404610099999999</v>
      </c>
    </row>
    <row r="611" spans="1:17" x14ac:dyDescent="0.4">
      <c r="A611">
        <v>20210816</v>
      </c>
      <c r="B611" s="1">
        <v>0.14583333333333334</v>
      </c>
      <c r="C611">
        <v>20503</v>
      </c>
      <c r="D611">
        <v>99905</v>
      </c>
      <c r="E611">
        <v>536374</v>
      </c>
      <c r="F611">
        <v>272867</v>
      </c>
      <c r="G611">
        <v>110813</v>
      </c>
      <c r="H611">
        <v>169153</v>
      </c>
      <c r="I611">
        <v>-66283</v>
      </c>
      <c r="J611">
        <v>29208</v>
      </c>
      <c r="K611">
        <v>183219</v>
      </c>
      <c r="L611">
        <v>3960</v>
      </c>
      <c r="M611">
        <v>5.8</v>
      </c>
      <c r="N611">
        <v>1359719</v>
      </c>
      <c r="O611">
        <v>19812150</v>
      </c>
      <c r="P611" s="2">
        <v>6.863056255883385</v>
      </c>
      <c r="Q611" s="4">
        <v>11.491047</v>
      </c>
    </row>
    <row r="612" spans="1:17" x14ac:dyDescent="0.4">
      <c r="A612">
        <v>20210816</v>
      </c>
      <c r="B612" s="1">
        <v>0.16666666666666666</v>
      </c>
      <c r="C612">
        <v>43504</v>
      </c>
      <c r="D612">
        <v>100653</v>
      </c>
      <c r="E612">
        <v>532781</v>
      </c>
      <c r="F612">
        <v>325193</v>
      </c>
      <c r="G612">
        <v>97428</v>
      </c>
      <c r="H612">
        <v>205857</v>
      </c>
      <c r="I612">
        <v>28085</v>
      </c>
      <c r="J612">
        <v>24316</v>
      </c>
      <c r="K612">
        <v>185870</v>
      </c>
      <c r="L612">
        <v>-3104</v>
      </c>
      <c r="M612">
        <v>5.93</v>
      </c>
      <c r="N612">
        <v>1540583</v>
      </c>
      <c r="O612">
        <v>19886200</v>
      </c>
      <c r="P612" s="2">
        <v>7.7469954038478948</v>
      </c>
      <c r="Q612" s="4">
        <v>11.792516600000001</v>
      </c>
    </row>
    <row r="613" spans="1:17" x14ac:dyDescent="0.4">
      <c r="A613">
        <v>20210816</v>
      </c>
      <c r="B613" s="1">
        <v>0.1875</v>
      </c>
      <c r="C613">
        <v>-137</v>
      </c>
      <c r="D613">
        <v>134845</v>
      </c>
      <c r="E613">
        <v>647253</v>
      </c>
      <c r="F613">
        <v>309123</v>
      </c>
      <c r="G613">
        <v>102639</v>
      </c>
      <c r="H613">
        <v>205017</v>
      </c>
      <c r="I613">
        <v>95777</v>
      </c>
      <c r="J613">
        <v>22034</v>
      </c>
      <c r="K613">
        <v>196233</v>
      </c>
      <c r="L613">
        <v>-218</v>
      </c>
      <c r="M613">
        <v>5.98</v>
      </c>
      <c r="N613">
        <v>1712566</v>
      </c>
      <c r="O613">
        <v>19885700</v>
      </c>
      <c r="P613" s="2">
        <v>8.6120478534826539</v>
      </c>
      <c r="Q613" s="4">
        <v>11.891648600000002</v>
      </c>
    </row>
    <row r="614" spans="1:17" x14ac:dyDescent="0.4">
      <c r="A614">
        <v>20210816</v>
      </c>
      <c r="B614" s="1">
        <v>0.20833333333333334</v>
      </c>
      <c r="C614">
        <v>-20856</v>
      </c>
      <c r="D614">
        <v>139166</v>
      </c>
      <c r="E614">
        <v>648732</v>
      </c>
      <c r="F614">
        <v>203485</v>
      </c>
      <c r="G614">
        <v>42164</v>
      </c>
      <c r="H614">
        <v>178800</v>
      </c>
      <c r="I614">
        <v>18774</v>
      </c>
      <c r="J614">
        <v>7558</v>
      </c>
      <c r="K614">
        <v>195445</v>
      </c>
      <c r="L614">
        <v>-4141</v>
      </c>
      <c r="M614">
        <v>5.96</v>
      </c>
      <c r="N614">
        <v>1409127</v>
      </c>
      <c r="O614">
        <v>20109700</v>
      </c>
      <c r="P614" s="2">
        <v>7.0072005052288198</v>
      </c>
      <c r="Q614" s="4">
        <v>11.985381200000001</v>
      </c>
    </row>
    <row r="615" spans="1:17" x14ac:dyDescent="0.4">
      <c r="A615">
        <v>20210816</v>
      </c>
      <c r="B615" s="1">
        <v>0.22916666666666666</v>
      </c>
      <c r="C615">
        <v>47661</v>
      </c>
      <c r="D615">
        <v>177269</v>
      </c>
      <c r="E615">
        <v>787524</v>
      </c>
      <c r="F615">
        <v>225360</v>
      </c>
      <c r="G615">
        <v>62092</v>
      </c>
      <c r="H615">
        <v>202636</v>
      </c>
      <c r="I615">
        <v>50054</v>
      </c>
      <c r="J615">
        <v>23878</v>
      </c>
      <c r="K615">
        <v>265050</v>
      </c>
      <c r="L615">
        <v>-1862</v>
      </c>
      <c r="M615">
        <v>5.95</v>
      </c>
      <c r="N615">
        <v>1839662</v>
      </c>
      <c r="O615">
        <v>20179100</v>
      </c>
      <c r="P615" s="2">
        <v>9.1166702181960542</v>
      </c>
      <c r="Q615" s="4">
        <v>12.0065645</v>
      </c>
    </row>
    <row r="616" spans="1:17" x14ac:dyDescent="0.4">
      <c r="A616">
        <v>20210816</v>
      </c>
      <c r="B616" s="1">
        <v>0.25</v>
      </c>
      <c r="C616">
        <v>11652</v>
      </c>
      <c r="D616">
        <v>193486</v>
      </c>
      <c r="E616">
        <v>961873</v>
      </c>
      <c r="F616">
        <v>362007</v>
      </c>
      <c r="G616">
        <v>91339</v>
      </c>
      <c r="H616">
        <v>245796</v>
      </c>
      <c r="I616">
        <v>34516</v>
      </c>
      <c r="J616">
        <v>32905</v>
      </c>
      <c r="K616">
        <v>198747</v>
      </c>
      <c r="L616">
        <v>3800</v>
      </c>
      <c r="M616">
        <v>5.95</v>
      </c>
      <c r="N616">
        <v>2136121</v>
      </c>
      <c r="O616">
        <v>20963400</v>
      </c>
      <c r="P616" s="2">
        <v>10.189764064989458</v>
      </c>
      <c r="Q616" s="4">
        <v>12.473223000000001</v>
      </c>
    </row>
    <row r="617" spans="1:17" x14ac:dyDescent="0.4">
      <c r="A617">
        <v>20210816</v>
      </c>
      <c r="B617" s="1">
        <v>0.27083333333333331</v>
      </c>
      <c r="C617">
        <v>-51171</v>
      </c>
      <c r="D617">
        <v>191205</v>
      </c>
      <c r="E617">
        <v>1130664</v>
      </c>
      <c r="F617">
        <v>438394</v>
      </c>
      <c r="G617">
        <v>140569</v>
      </c>
      <c r="H617">
        <v>306973</v>
      </c>
      <c r="I617">
        <v>127336</v>
      </c>
      <c r="J617">
        <v>-1760</v>
      </c>
      <c r="K617">
        <v>232090</v>
      </c>
      <c r="L617">
        <v>-3430</v>
      </c>
      <c r="M617">
        <v>5.99</v>
      </c>
      <c r="N617">
        <v>2510870</v>
      </c>
      <c r="O617">
        <v>21270850</v>
      </c>
      <c r="P617" s="2">
        <v>11.80427674493497</v>
      </c>
      <c r="Q617" s="4">
        <v>12.74123915</v>
      </c>
    </row>
    <row r="618" spans="1:17" x14ac:dyDescent="0.4">
      <c r="A618">
        <v>20210816</v>
      </c>
      <c r="B618" s="1">
        <v>0.29166666666666669</v>
      </c>
      <c r="C618">
        <v>-70277</v>
      </c>
      <c r="D618">
        <v>247956</v>
      </c>
      <c r="E618">
        <v>1346433</v>
      </c>
      <c r="F618">
        <v>640588</v>
      </c>
      <c r="G618">
        <v>206650</v>
      </c>
      <c r="H618">
        <v>246235</v>
      </c>
      <c r="I618">
        <v>-11295</v>
      </c>
      <c r="J618">
        <v>-35540</v>
      </c>
      <c r="K618">
        <v>272118</v>
      </c>
      <c r="L618">
        <v>3548</v>
      </c>
      <c r="M618">
        <v>6.1</v>
      </c>
      <c r="N618">
        <v>2846416</v>
      </c>
      <c r="O618">
        <v>21869650</v>
      </c>
      <c r="P618" s="2">
        <v>13.015370616356458</v>
      </c>
      <c r="Q618" s="4">
        <v>13.340486499999999</v>
      </c>
    </row>
    <row r="619" spans="1:17" x14ac:dyDescent="0.4">
      <c r="A619">
        <v>20210816</v>
      </c>
      <c r="B619" s="1">
        <v>0.3125</v>
      </c>
      <c r="C619">
        <v>-102200</v>
      </c>
      <c r="D619">
        <v>236568</v>
      </c>
      <c r="E619">
        <v>1602289</v>
      </c>
      <c r="F619">
        <v>757308</v>
      </c>
      <c r="G619">
        <v>246776</v>
      </c>
      <c r="H619">
        <v>215283</v>
      </c>
      <c r="I619">
        <v>76787</v>
      </c>
      <c r="J619">
        <v>24791</v>
      </c>
      <c r="K619">
        <v>352368</v>
      </c>
      <c r="L619">
        <v>8170</v>
      </c>
      <c r="M619">
        <v>6.54</v>
      </c>
      <c r="N619">
        <v>3418140</v>
      </c>
      <c r="O619">
        <v>22075400</v>
      </c>
      <c r="P619" s="2">
        <v>15.483932340976834</v>
      </c>
      <c r="Q619" s="4">
        <v>14.437311599999999</v>
      </c>
    </row>
    <row r="620" spans="1:17" x14ac:dyDescent="0.4">
      <c r="A620">
        <v>20210816</v>
      </c>
      <c r="B620" s="1">
        <v>0.33333333333333331</v>
      </c>
      <c r="C620">
        <v>-146571</v>
      </c>
      <c r="D620">
        <v>52543</v>
      </c>
      <c r="E620">
        <v>1788625</v>
      </c>
      <c r="F620">
        <v>1055595</v>
      </c>
      <c r="G620">
        <v>277217</v>
      </c>
      <c r="H620">
        <v>139636</v>
      </c>
      <c r="I620">
        <v>6533</v>
      </c>
      <c r="J620">
        <v>37134</v>
      </c>
      <c r="K620">
        <v>535502</v>
      </c>
      <c r="L620">
        <v>22373</v>
      </c>
      <c r="M620">
        <v>6.78</v>
      </c>
      <c r="N620">
        <v>3768587</v>
      </c>
      <c r="O620">
        <v>22931200</v>
      </c>
      <c r="P620" s="2">
        <v>16.434320925202343</v>
      </c>
      <c r="Q620" s="4">
        <v>15.547353599999999</v>
      </c>
    </row>
    <row r="621" spans="1:17" x14ac:dyDescent="0.4">
      <c r="A621">
        <v>20210816</v>
      </c>
      <c r="B621" s="1">
        <v>0.35416666666666669</v>
      </c>
      <c r="C621">
        <v>-124603</v>
      </c>
      <c r="D621">
        <v>8418</v>
      </c>
      <c r="E621">
        <v>1690068</v>
      </c>
      <c r="F621">
        <v>1108199</v>
      </c>
      <c r="G621">
        <v>262131</v>
      </c>
      <c r="H621">
        <v>48990</v>
      </c>
      <c r="I621">
        <v>-6733</v>
      </c>
      <c r="J621">
        <v>47132</v>
      </c>
      <c r="K621">
        <v>688802</v>
      </c>
      <c r="L621">
        <v>3328</v>
      </c>
      <c r="M621">
        <v>6.92</v>
      </c>
      <c r="N621">
        <v>3725732</v>
      </c>
      <c r="O621">
        <v>23364000</v>
      </c>
      <c r="P621" s="2">
        <v>15.946464646464646</v>
      </c>
      <c r="Q621" s="4">
        <v>16.167888000000001</v>
      </c>
    </row>
    <row r="622" spans="1:17" x14ac:dyDescent="0.4">
      <c r="A622">
        <v>20210816</v>
      </c>
      <c r="B622" s="1">
        <v>0.375</v>
      </c>
      <c r="C622">
        <v>-89039</v>
      </c>
      <c r="D622">
        <v>-69934</v>
      </c>
      <c r="E622">
        <v>2138504</v>
      </c>
      <c r="F622">
        <v>1121162</v>
      </c>
      <c r="G622">
        <v>86038</v>
      </c>
      <c r="H622">
        <v>46068</v>
      </c>
      <c r="I622">
        <v>60468</v>
      </c>
      <c r="J622">
        <v>39600</v>
      </c>
      <c r="K622">
        <v>647023</v>
      </c>
      <c r="L622">
        <v>-23413</v>
      </c>
      <c r="M622">
        <v>7.15</v>
      </c>
      <c r="N622">
        <v>3956477</v>
      </c>
      <c r="O622">
        <v>23757250</v>
      </c>
      <c r="P622" s="2">
        <v>16.653766744888401</v>
      </c>
      <c r="Q622" s="4">
        <v>16.98643375</v>
      </c>
    </row>
    <row r="623" spans="1:17" x14ac:dyDescent="0.4">
      <c r="A623">
        <v>20210816</v>
      </c>
      <c r="B623" s="1">
        <v>0.39583333333333331</v>
      </c>
      <c r="C623">
        <v>-66973</v>
      </c>
      <c r="D623">
        <v>-43941</v>
      </c>
      <c r="E623">
        <v>2324394</v>
      </c>
      <c r="F623">
        <v>1415078</v>
      </c>
      <c r="G623">
        <v>60582</v>
      </c>
      <c r="H623">
        <v>32275</v>
      </c>
      <c r="I623">
        <v>208365</v>
      </c>
      <c r="J623">
        <v>80975</v>
      </c>
      <c r="K623">
        <v>769015</v>
      </c>
      <c r="L623">
        <v>-20124</v>
      </c>
      <c r="M623">
        <v>7.7</v>
      </c>
      <c r="N623">
        <v>4759646</v>
      </c>
      <c r="O623">
        <v>23716400</v>
      </c>
      <c r="P623" s="2">
        <v>20.069007100571756</v>
      </c>
      <c r="Q623" s="4">
        <v>18.261628000000002</v>
      </c>
    </row>
    <row r="624" spans="1:17" x14ac:dyDescent="0.4">
      <c r="A624">
        <v>20210816</v>
      </c>
      <c r="B624" s="1">
        <v>0.41666666666666669</v>
      </c>
      <c r="C624">
        <v>-48606</v>
      </c>
      <c r="D624">
        <v>11521</v>
      </c>
      <c r="E624">
        <v>2497480</v>
      </c>
      <c r="F624">
        <v>1525764</v>
      </c>
      <c r="G624">
        <v>10252</v>
      </c>
      <c r="H624">
        <v>-308106</v>
      </c>
      <c r="I624">
        <v>273594</v>
      </c>
      <c r="J624">
        <v>175991</v>
      </c>
      <c r="K624">
        <v>836404</v>
      </c>
      <c r="L624">
        <v>-13662</v>
      </c>
      <c r="M624">
        <v>8.14</v>
      </c>
      <c r="N624">
        <v>4960632</v>
      </c>
      <c r="O624">
        <v>23671600</v>
      </c>
      <c r="P624" s="2">
        <v>20.956048598320351</v>
      </c>
      <c r="Q624" s="4">
        <v>19.268682399999999</v>
      </c>
    </row>
    <row r="625" spans="1:17" x14ac:dyDescent="0.4">
      <c r="A625">
        <v>20210816</v>
      </c>
      <c r="B625" s="1">
        <v>0.4375</v>
      </c>
      <c r="C625">
        <v>-59329</v>
      </c>
      <c r="D625">
        <v>69104</v>
      </c>
      <c r="E625">
        <v>2598912</v>
      </c>
      <c r="F625">
        <v>1557176</v>
      </c>
      <c r="G625">
        <v>26558</v>
      </c>
      <c r="H625">
        <v>111406</v>
      </c>
      <c r="I625">
        <v>402631</v>
      </c>
      <c r="J625">
        <v>246715</v>
      </c>
      <c r="K625">
        <v>662277</v>
      </c>
      <c r="L625">
        <v>-13265</v>
      </c>
      <c r="M625">
        <v>8.86</v>
      </c>
      <c r="N625">
        <v>5602185</v>
      </c>
      <c r="O625">
        <v>23727750</v>
      </c>
      <c r="P625" s="2">
        <v>23.610266460157412</v>
      </c>
      <c r="Q625" s="4">
        <v>21.022786499999999</v>
      </c>
    </row>
    <row r="626" spans="1:17" x14ac:dyDescent="0.4">
      <c r="A626">
        <v>20210816</v>
      </c>
      <c r="B626" s="1">
        <v>0.45833333333333331</v>
      </c>
      <c r="C626">
        <v>-45367</v>
      </c>
      <c r="D626">
        <v>126843</v>
      </c>
      <c r="E626">
        <v>1769861</v>
      </c>
      <c r="F626">
        <v>1557969</v>
      </c>
      <c r="G626">
        <v>76133</v>
      </c>
      <c r="H626">
        <v>170290</v>
      </c>
      <c r="I626">
        <v>551282</v>
      </c>
      <c r="J626">
        <v>256049</v>
      </c>
      <c r="K626">
        <v>681196</v>
      </c>
      <c r="L626">
        <v>4593</v>
      </c>
      <c r="M626">
        <v>8.89</v>
      </c>
      <c r="N626">
        <v>5148849</v>
      </c>
      <c r="O626">
        <v>23975700</v>
      </c>
      <c r="P626" s="2">
        <v>21.475281222237516</v>
      </c>
      <c r="Q626" s="4">
        <v>21.3143973</v>
      </c>
    </row>
    <row r="627" spans="1:17" x14ac:dyDescent="0.4">
      <c r="A627">
        <v>20210816</v>
      </c>
      <c r="B627" s="1">
        <v>0.47916666666666669</v>
      </c>
      <c r="C627">
        <v>-45845</v>
      </c>
      <c r="D627">
        <v>-131474</v>
      </c>
      <c r="E627">
        <v>1838120</v>
      </c>
      <c r="F627">
        <v>1504455</v>
      </c>
      <c r="G627">
        <v>68571</v>
      </c>
      <c r="H627">
        <v>219762</v>
      </c>
      <c r="I627">
        <v>420583</v>
      </c>
      <c r="J627">
        <v>264327</v>
      </c>
      <c r="K627">
        <v>36493</v>
      </c>
      <c r="L627">
        <v>8304</v>
      </c>
      <c r="M627">
        <v>8.86</v>
      </c>
      <c r="N627">
        <v>4183296</v>
      </c>
      <c r="O627">
        <v>23928250</v>
      </c>
      <c r="P627" s="2">
        <v>17.482665886556685</v>
      </c>
      <c r="Q627" s="4">
        <v>21.200429499999998</v>
      </c>
    </row>
    <row r="628" spans="1:17" x14ac:dyDescent="0.4">
      <c r="A628">
        <v>20210816</v>
      </c>
      <c r="B628" s="1">
        <v>0.5</v>
      </c>
      <c r="C628">
        <v>-75084</v>
      </c>
      <c r="D628">
        <v>-213538</v>
      </c>
      <c r="E628">
        <v>1585730</v>
      </c>
      <c r="F628">
        <v>1378049</v>
      </c>
      <c r="G628">
        <v>82305</v>
      </c>
      <c r="H628">
        <v>663635</v>
      </c>
      <c r="I628">
        <v>537246</v>
      </c>
      <c r="J628">
        <v>296139</v>
      </c>
      <c r="K628">
        <v>-8526</v>
      </c>
      <c r="L628">
        <v>30650</v>
      </c>
      <c r="M628">
        <v>8.1199999999999992</v>
      </c>
      <c r="N628">
        <v>4276606</v>
      </c>
      <c r="O628">
        <v>23966100</v>
      </c>
      <c r="P628" s="2">
        <v>17.844396877255789</v>
      </c>
      <c r="Q628" s="4">
        <v>19.460473199999996</v>
      </c>
    </row>
    <row r="629" spans="1:17" x14ac:dyDescent="0.4">
      <c r="A629">
        <v>20210816</v>
      </c>
      <c r="B629" s="1">
        <v>0.52083333333333337</v>
      </c>
      <c r="C629">
        <v>11931</v>
      </c>
      <c r="D629">
        <v>-137473</v>
      </c>
      <c r="E629">
        <v>1635332</v>
      </c>
      <c r="F629">
        <v>1385633</v>
      </c>
      <c r="G629">
        <v>69172</v>
      </c>
      <c r="H629">
        <v>647277</v>
      </c>
      <c r="I629">
        <v>447348</v>
      </c>
      <c r="J629">
        <v>276291</v>
      </c>
      <c r="K629">
        <v>107036</v>
      </c>
      <c r="L629">
        <v>31716</v>
      </c>
      <c r="M629">
        <v>8.2799999999999994</v>
      </c>
      <c r="N629">
        <v>4474263</v>
      </c>
      <c r="O629">
        <v>23883550</v>
      </c>
      <c r="P629" s="2">
        <v>18.733659778383029</v>
      </c>
      <c r="Q629" s="4">
        <v>19.775579399999998</v>
      </c>
    </row>
    <row r="630" spans="1:17" x14ac:dyDescent="0.4">
      <c r="A630">
        <v>20210816</v>
      </c>
      <c r="B630" s="1">
        <v>0.54166666666666663</v>
      </c>
      <c r="C630">
        <v>-51484</v>
      </c>
      <c r="D630">
        <v>-96057</v>
      </c>
      <c r="E630">
        <v>1754716</v>
      </c>
      <c r="F630">
        <v>350538</v>
      </c>
      <c r="G630">
        <v>111257</v>
      </c>
      <c r="H630">
        <v>702438</v>
      </c>
      <c r="I630">
        <v>272550</v>
      </c>
      <c r="J630">
        <v>150860</v>
      </c>
      <c r="K630">
        <v>249257</v>
      </c>
      <c r="L630">
        <v>3675</v>
      </c>
      <c r="M630">
        <v>8.86</v>
      </c>
      <c r="N630">
        <v>3447750</v>
      </c>
      <c r="O630">
        <v>23280950</v>
      </c>
      <c r="P630" s="2">
        <v>14.809318348263279</v>
      </c>
      <c r="Q630" s="4">
        <v>20.6269217</v>
      </c>
    </row>
    <row r="631" spans="1:17" x14ac:dyDescent="0.4">
      <c r="A631">
        <v>20210816</v>
      </c>
      <c r="B631" s="1">
        <v>0.5625</v>
      </c>
      <c r="C631">
        <v>-30477</v>
      </c>
      <c r="D631">
        <v>-37758</v>
      </c>
      <c r="E631">
        <v>1930665</v>
      </c>
      <c r="F631">
        <v>300754</v>
      </c>
      <c r="G631">
        <v>145500</v>
      </c>
      <c r="H631">
        <v>737964</v>
      </c>
      <c r="I631">
        <v>207674</v>
      </c>
      <c r="J631">
        <v>81927</v>
      </c>
      <c r="K631">
        <v>168450</v>
      </c>
      <c r="L631">
        <v>-5249</v>
      </c>
      <c r="M631">
        <v>9.0500000000000007</v>
      </c>
      <c r="N631">
        <v>3499450</v>
      </c>
      <c r="O631">
        <v>23054650</v>
      </c>
      <c r="P631" s="2">
        <v>15.178933534015915</v>
      </c>
      <c r="Q631" s="4">
        <v>20.864458250000002</v>
      </c>
    </row>
    <row r="632" spans="1:17" x14ac:dyDescent="0.4">
      <c r="A632">
        <v>20210816</v>
      </c>
      <c r="B632" s="1">
        <v>0.58333333333333337</v>
      </c>
      <c r="C632">
        <v>-62193</v>
      </c>
      <c r="D632">
        <v>24038</v>
      </c>
      <c r="E632">
        <v>1283113</v>
      </c>
      <c r="F632">
        <v>473287</v>
      </c>
      <c r="G632">
        <v>166425</v>
      </c>
      <c r="H632">
        <v>657220</v>
      </c>
      <c r="I632">
        <v>249790</v>
      </c>
      <c r="J632">
        <v>73089</v>
      </c>
      <c r="K632">
        <v>88663</v>
      </c>
      <c r="L632">
        <v>-16266</v>
      </c>
      <c r="M632">
        <v>9.0500000000000007</v>
      </c>
      <c r="N632">
        <v>2937166</v>
      </c>
      <c r="O632">
        <v>22754550</v>
      </c>
      <c r="P632" s="2">
        <v>12.908038172585263</v>
      </c>
      <c r="Q632" s="4">
        <v>20.592867750000003</v>
      </c>
    </row>
    <row r="633" spans="1:17" x14ac:dyDescent="0.4">
      <c r="A633">
        <v>20210816</v>
      </c>
      <c r="B633" s="1">
        <v>0.60416666666666663</v>
      </c>
      <c r="C633">
        <v>2319</v>
      </c>
      <c r="D633">
        <v>-11273</v>
      </c>
      <c r="E633">
        <v>1182308</v>
      </c>
      <c r="F633">
        <v>546535</v>
      </c>
      <c r="G633">
        <v>157947</v>
      </c>
      <c r="H633">
        <v>431634</v>
      </c>
      <c r="I633">
        <v>191338</v>
      </c>
      <c r="J633">
        <v>31354</v>
      </c>
      <c r="K633">
        <v>70073</v>
      </c>
      <c r="L633">
        <v>-21136</v>
      </c>
      <c r="M633">
        <v>9.35</v>
      </c>
      <c r="N633">
        <v>2581099</v>
      </c>
      <c r="O633">
        <v>22603200</v>
      </c>
      <c r="P633" s="2">
        <v>11.419175161039146</v>
      </c>
      <c r="Q633" s="4">
        <v>21.133991999999999</v>
      </c>
    </row>
    <row r="634" spans="1:17" x14ac:dyDescent="0.4">
      <c r="A634">
        <v>20210816</v>
      </c>
      <c r="B634" s="1">
        <v>0.625</v>
      </c>
      <c r="C634">
        <v>-55379</v>
      </c>
      <c r="D634">
        <v>-44103</v>
      </c>
      <c r="E634">
        <v>1312161</v>
      </c>
      <c r="F634">
        <v>565082</v>
      </c>
      <c r="G634">
        <v>112379</v>
      </c>
      <c r="H634">
        <v>217490</v>
      </c>
      <c r="I634">
        <v>144245</v>
      </c>
      <c r="J634">
        <v>-3068</v>
      </c>
      <c r="K634">
        <v>96196</v>
      </c>
      <c r="L634">
        <v>-19950</v>
      </c>
      <c r="M634">
        <v>9.1</v>
      </c>
      <c r="N634">
        <v>2325053</v>
      </c>
      <c r="O634">
        <v>22547100</v>
      </c>
      <c r="P634" s="2">
        <v>10.311982472246985</v>
      </c>
      <c r="Q634" s="4">
        <v>20.517861</v>
      </c>
    </row>
    <row r="635" spans="1:17" x14ac:dyDescent="0.4">
      <c r="A635">
        <v>20210816</v>
      </c>
      <c r="B635" s="1">
        <v>0.64583333333333337</v>
      </c>
      <c r="C635">
        <v>-24666</v>
      </c>
      <c r="D635">
        <v>-64643</v>
      </c>
      <c r="E635">
        <v>1190598</v>
      </c>
      <c r="F635">
        <v>575817</v>
      </c>
      <c r="G635">
        <v>102495</v>
      </c>
      <c r="H635">
        <v>154300</v>
      </c>
      <c r="I635">
        <v>2840</v>
      </c>
      <c r="J635">
        <v>-12627</v>
      </c>
      <c r="K635">
        <v>69268</v>
      </c>
      <c r="L635">
        <v>-28729</v>
      </c>
      <c r="M635">
        <v>9.48</v>
      </c>
      <c r="N635">
        <v>1964653</v>
      </c>
      <c r="O635">
        <v>22368200</v>
      </c>
      <c r="P635" s="2">
        <v>8.7832413873266511</v>
      </c>
      <c r="Q635" s="4">
        <v>21.205053599999999</v>
      </c>
    </row>
    <row r="636" spans="1:17" x14ac:dyDescent="0.4">
      <c r="A636">
        <v>20210816</v>
      </c>
      <c r="B636" s="1">
        <v>0.66666666666666663</v>
      </c>
      <c r="C636">
        <v>641</v>
      </c>
      <c r="D636">
        <v>-9487</v>
      </c>
      <c r="E636">
        <v>1553169</v>
      </c>
      <c r="F636">
        <v>466757</v>
      </c>
      <c r="G636">
        <v>84520</v>
      </c>
      <c r="H636">
        <v>9895</v>
      </c>
      <c r="I636">
        <v>-74519</v>
      </c>
      <c r="J636">
        <v>-1205</v>
      </c>
      <c r="K636">
        <v>8014</v>
      </c>
      <c r="L636">
        <v>-30663</v>
      </c>
      <c r="M636">
        <v>9.64</v>
      </c>
      <c r="N636">
        <v>2007122</v>
      </c>
      <c r="O636">
        <v>23092500</v>
      </c>
      <c r="P636" s="2">
        <v>8.6916617949550723</v>
      </c>
      <c r="Q636" s="4">
        <v>22.26117</v>
      </c>
    </row>
    <row r="637" spans="1:17" x14ac:dyDescent="0.4">
      <c r="A637">
        <v>20210816</v>
      </c>
      <c r="B637" s="1">
        <v>0.6875</v>
      </c>
      <c r="C637">
        <v>1458</v>
      </c>
      <c r="D637">
        <v>80810</v>
      </c>
      <c r="E637">
        <v>1595525</v>
      </c>
      <c r="F637">
        <v>378610</v>
      </c>
      <c r="G637">
        <v>78895</v>
      </c>
      <c r="H637">
        <v>-98235</v>
      </c>
      <c r="I637">
        <v>-137447</v>
      </c>
      <c r="J637">
        <v>18109</v>
      </c>
      <c r="K637">
        <v>-89022</v>
      </c>
      <c r="L637">
        <v>-32393</v>
      </c>
      <c r="M637">
        <v>9.74</v>
      </c>
      <c r="N637">
        <v>1796310</v>
      </c>
      <c r="O637">
        <v>22846900</v>
      </c>
      <c r="P637" s="2">
        <v>7.8623795788487714</v>
      </c>
      <c r="Q637" s="4">
        <v>22.252880600000001</v>
      </c>
    </row>
    <row r="638" spans="1:17" x14ac:dyDescent="0.4">
      <c r="A638">
        <v>20210816</v>
      </c>
      <c r="B638" s="1">
        <v>0.70833333333333337</v>
      </c>
      <c r="C638">
        <v>9461</v>
      </c>
      <c r="D638">
        <v>34016</v>
      </c>
      <c r="E638">
        <v>1617632</v>
      </c>
      <c r="F638">
        <v>333876</v>
      </c>
      <c r="G638">
        <v>97218</v>
      </c>
      <c r="H638">
        <v>-19007</v>
      </c>
      <c r="I638">
        <v>-114477</v>
      </c>
      <c r="J638">
        <v>1622</v>
      </c>
      <c r="K638">
        <v>-122595</v>
      </c>
      <c r="L638">
        <v>-21074</v>
      </c>
      <c r="M638">
        <v>9.57</v>
      </c>
      <c r="N638">
        <v>1816672</v>
      </c>
      <c r="O638">
        <v>22693950</v>
      </c>
      <c r="P638" s="2">
        <v>8.0050938686301851</v>
      </c>
      <c r="Q638" s="4">
        <v>21.718110150000001</v>
      </c>
    </row>
    <row r="639" spans="1:17" x14ac:dyDescent="0.4">
      <c r="A639">
        <v>20210816</v>
      </c>
      <c r="B639" s="1">
        <v>0.72916666666666663</v>
      </c>
      <c r="C639">
        <v>631</v>
      </c>
      <c r="D639">
        <v>34867</v>
      </c>
      <c r="E639">
        <v>1648830</v>
      </c>
      <c r="F639">
        <v>343213</v>
      </c>
      <c r="G639">
        <v>67003</v>
      </c>
      <c r="H639">
        <v>134206</v>
      </c>
      <c r="I639">
        <v>-23410</v>
      </c>
      <c r="J639">
        <v>2288</v>
      </c>
      <c r="K639">
        <v>-69585</v>
      </c>
      <c r="L639">
        <v>-25032</v>
      </c>
      <c r="M639">
        <v>9.25</v>
      </c>
      <c r="N639">
        <v>2113011</v>
      </c>
      <c r="O639">
        <v>22674300</v>
      </c>
      <c r="P639" s="2">
        <v>9.3189690530688924</v>
      </c>
      <c r="Q639" s="4">
        <v>20.973727499999999</v>
      </c>
    </row>
    <row r="640" spans="1:17" x14ac:dyDescent="0.4">
      <c r="A640">
        <v>20210816</v>
      </c>
      <c r="B640" s="1">
        <v>0.75</v>
      </c>
      <c r="C640">
        <v>15250</v>
      </c>
      <c r="D640">
        <v>-30295</v>
      </c>
      <c r="E640">
        <v>1561471</v>
      </c>
      <c r="F640">
        <v>221717</v>
      </c>
      <c r="G640">
        <v>84652</v>
      </c>
      <c r="H640">
        <v>-5114</v>
      </c>
      <c r="I640">
        <v>1154</v>
      </c>
      <c r="J640">
        <v>-28294</v>
      </c>
      <c r="K640">
        <v>-61905</v>
      </c>
      <c r="L640">
        <v>-23816</v>
      </c>
      <c r="M640">
        <v>9.0500000000000007</v>
      </c>
      <c r="N640">
        <v>1734820</v>
      </c>
      <c r="O640">
        <v>22403150</v>
      </c>
      <c r="P640" s="2">
        <v>7.7436431930331224</v>
      </c>
      <c r="Q640" s="4">
        <v>20.274850750000002</v>
      </c>
    </row>
    <row r="641" spans="1:17" x14ac:dyDescent="0.4">
      <c r="A641">
        <v>20210816</v>
      </c>
      <c r="B641" s="1">
        <v>0.77083333333333337</v>
      </c>
      <c r="C641">
        <v>37756</v>
      </c>
      <c r="D641">
        <v>-5231</v>
      </c>
      <c r="E641">
        <v>1619854</v>
      </c>
      <c r="F641">
        <v>228898</v>
      </c>
      <c r="G641">
        <v>68180</v>
      </c>
      <c r="H641">
        <v>3687</v>
      </c>
      <c r="I641">
        <v>-16756</v>
      </c>
      <c r="J641">
        <v>-4817</v>
      </c>
      <c r="K641">
        <v>-49171</v>
      </c>
      <c r="L641">
        <v>-25614</v>
      </c>
      <c r="M641">
        <v>9.0399999999999991</v>
      </c>
      <c r="N641">
        <v>1856786</v>
      </c>
      <c r="O641">
        <v>22435150</v>
      </c>
      <c r="P641" s="2">
        <v>8.2762361740393988</v>
      </c>
      <c r="Q641" s="4">
        <v>20.281375599999997</v>
      </c>
    </row>
    <row r="642" spans="1:17" x14ac:dyDescent="0.4">
      <c r="A642">
        <v>20210816</v>
      </c>
      <c r="B642" s="1">
        <v>0.79166666666666663</v>
      </c>
      <c r="C642">
        <v>-25427</v>
      </c>
      <c r="D642">
        <v>12746</v>
      </c>
      <c r="E642">
        <v>1595492</v>
      </c>
      <c r="F642">
        <v>295569</v>
      </c>
      <c r="G642">
        <v>46708</v>
      </c>
      <c r="H642">
        <v>-28916</v>
      </c>
      <c r="I642">
        <v>-16095</v>
      </c>
      <c r="J642">
        <v>13402</v>
      </c>
      <c r="K642">
        <v>-25443</v>
      </c>
      <c r="L642">
        <v>-21183</v>
      </c>
      <c r="M642">
        <v>8.86</v>
      </c>
      <c r="N642">
        <v>1846853</v>
      </c>
      <c r="O642">
        <v>22444650</v>
      </c>
      <c r="P642" s="2">
        <v>8.228477610477329</v>
      </c>
      <c r="Q642" s="4">
        <v>19.8859599</v>
      </c>
    </row>
    <row r="643" spans="1:17" x14ac:dyDescent="0.4">
      <c r="A643">
        <v>20210816</v>
      </c>
      <c r="B643" s="1">
        <v>0.8125</v>
      </c>
      <c r="C643">
        <v>34714</v>
      </c>
      <c r="D643">
        <v>-19171</v>
      </c>
      <c r="E643">
        <v>1716246</v>
      </c>
      <c r="F643">
        <v>295647</v>
      </c>
      <c r="G643">
        <v>38056</v>
      </c>
      <c r="H643">
        <v>93525</v>
      </c>
      <c r="I643">
        <v>39697</v>
      </c>
      <c r="J643">
        <v>23499</v>
      </c>
      <c r="K643">
        <v>-11618</v>
      </c>
      <c r="L643">
        <v>-20778</v>
      </c>
      <c r="M643">
        <v>7.93</v>
      </c>
      <c r="N643">
        <v>2189817</v>
      </c>
      <c r="O643">
        <v>22586950</v>
      </c>
      <c r="P643" s="2">
        <v>9.6950540024217524</v>
      </c>
      <c r="Q643" s="4">
        <v>17.91145135</v>
      </c>
    </row>
    <row r="644" spans="1:17" x14ac:dyDescent="0.4">
      <c r="A644">
        <v>20210816</v>
      </c>
      <c r="B644" s="1">
        <v>0.83333333333333337</v>
      </c>
      <c r="C644">
        <v>49692</v>
      </c>
      <c r="D644">
        <v>6369</v>
      </c>
      <c r="E644">
        <v>1516786</v>
      </c>
      <c r="F644">
        <v>252222</v>
      </c>
      <c r="G644">
        <v>46285</v>
      </c>
      <c r="H644">
        <v>73392</v>
      </c>
      <c r="I644">
        <v>107320</v>
      </c>
      <c r="J644">
        <v>35268</v>
      </c>
      <c r="K644">
        <v>-88242</v>
      </c>
      <c r="L644">
        <v>-28586</v>
      </c>
      <c r="M644">
        <v>7.64</v>
      </c>
      <c r="N644">
        <v>1970506</v>
      </c>
      <c r="O644">
        <v>21723450</v>
      </c>
      <c r="P644" s="2">
        <v>9.0708704188331044</v>
      </c>
      <c r="Q644" s="4">
        <v>16.596715799999998</v>
      </c>
    </row>
    <row r="645" spans="1:17" x14ac:dyDescent="0.4">
      <c r="A645">
        <v>20210816</v>
      </c>
      <c r="B645" s="1">
        <v>0.85416666666666663</v>
      </c>
      <c r="C645">
        <v>-35642</v>
      </c>
      <c r="D645">
        <v>-7306</v>
      </c>
      <c r="E645">
        <v>1544133</v>
      </c>
      <c r="F645">
        <v>226137</v>
      </c>
      <c r="G645">
        <v>27258</v>
      </c>
      <c r="H645">
        <v>114727</v>
      </c>
      <c r="I645">
        <v>116898</v>
      </c>
      <c r="J645">
        <v>30211</v>
      </c>
      <c r="K645">
        <v>-117994</v>
      </c>
      <c r="L645">
        <v>-19727</v>
      </c>
      <c r="M645">
        <v>7.36</v>
      </c>
      <c r="N645">
        <v>1878695</v>
      </c>
      <c r="O645">
        <v>21819350</v>
      </c>
      <c r="P645" s="2">
        <v>8.6102244109013331</v>
      </c>
      <c r="Q645" s="4">
        <v>16.0590416</v>
      </c>
    </row>
    <row r="646" spans="1:17" x14ac:dyDescent="0.4">
      <c r="A646">
        <v>20210816</v>
      </c>
      <c r="B646" s="1">
        <v>0.875</v>
      </c>
      <c r="C646">
        <v>-29454</v>
      </c>
      <c r="D646">
        <v>-29661</v>
      </c>
      <c r="E646">
        <v>1417615</v>
      </c>
      <c r="F646">
        <v>118387</v>
      </c>
      <c r="G646">
        <v>50960</v>
      </c>
      <c r="H646">
        <v>189707</v>
      </c>
      <c r="I646">
        <v>149387</v>
      </c>
      <c r="J646">
        <v>21194</v>
      </c>
      <c r="K646">
        <v>-89632</v>
      </c>
      <c r="L646">
        <v>-24190</v>
      </c>
      <c r="M646">
        <v>7.04</v>
      </c>
      <c r="N646">
        <v>1774313</v>
      </c>
      <c r="O646">
        <v>21833000</v>
      </c>
      <c r="P646" s="2">
        <v>8.1267484999770989</v>
      </c>
      <c r="Q646" s="4">
        <v>15.370431999999999</v>
      </c>
    </row>
    <row r="647" spans="1:17" x14ac:dyDescent="0.4">
      <c r="A647">
        <v>20210816</v>
      </c>
      <c r="B647" s="1">
        <v>0.89583333333333337</v>
      </c>
      <c r="C647">
        <v>-13782</v>
      </c>
      <c r="D647">
        <v>-45451</v>
      </c>
      <c r="E647">
        <v>1372823</v>
      </c>
      <c r="F647">
        <v>-45688</v>
      </c>
      <c r="G647">
        <v>30375</v>
      </c>
      <c r="H647">
        <v>147258</v>
      </c>
      <c r="I647">
        <v>93450</v>
      </c>
      <c r="J647">
        <v>31232</v>
      </c>
      <c r="K647">
        <v>-155441</v>
      </c>
      <c r="L647">
        <v>-18052</v>
      </c>
      <c r="M647">
        <v>6.95</v>
      </c>
      <c r="N647">
        <v>1396724</v>
      </c>
      <c r="O647">
        <v>21806800</v>
      </c>
      <c r="P647" s="2">
        <v>6.404992937982648</v>
      </c>
      <c r="Q647" s="4">
        <v>15.155726</v>
      </c>
    </row>
    <row r="648" spans="1:17" x14ac:dyDescent="0.4">
      <c r="A648">
        <v>20210816</v>
      </c>
      <c r="B648" s="1">
        <v>0.91666666666666663</v>
      </c>
      <c r="C648">
        <v>-10192</v>
      </c>
      <c r="D648">
        <v>-52615</v>
      </c>
      <c r="E648">
        <v>742510</v>
      </c>
      <c r="F648">
        <v>-100420</v>
      </c>
      <c r="G648">
        <v>51827</v>
      </c>
      <c r="H648">
        <v>155338</v>
      </c>
      <c r="I648">
        <v>77370</v>
      </c>
      <c r="J648">
        <v>31853</v>
      </c>
      <c r="K648">
        <v>-105709</v>
      </c>
      <c r="L648">
        <v>-34219</v>
      </c>
      <c r="M648">
        <v>6.83</v>
      </c>
      <c r="N648">
        <v>755743</v>
      </c>
      <c r="O648">
        <v>21382050</v>
      </c>
      <c r="P648" s="2">
        <v>3.5344740097418161</v>
      </c>
      <c r="Q648" s="4">
        <v>14.60394015</v>
      </c>
    </row>
    <row r="649" spans="1:17" x14ac:dyDescent="0.4">
      <c r="A649">
        <v>20210816</v>
      </c>
      <c r="B649" s="1">
        <v>0.9375</v>
      </c>
      <c r="C649">
        <v>-36459</v>
      </c>
      <c r="D649">
        <v>-73487</v>
      </c>
      <c r="E649">
        <v>879308</v>
      </c>
      <c r="F649">
        <v>-238098</v>
      </c>
      <c r="G649">
        <v>34273</v>
      </c>
      <c r="H649">
        <v>109425</v>
      </c>
      <c r="I649">
        <v>104540</v>
      </c>
      <c r="J649">
        <v>32393</v>
      </c>
      <c r="K649">
        <v>-77309</v>
      </c>
      <c r="L649">
        <v>-32168</v>
      </c>
      <c r="M649">
        <v>6.78</v>
      </c>
      <c r="N649">
        <v>702418</v>
      </c>
      <c r="O649">
        <v>21172900</v>
      </c>
      <c r="P649" s="2">
        <v>3.3175332618583191</v>
      </c>
      <c r="Q649" s="4">
        <v>14.355226200000001</v>
      </c>
    </row>
    <row r="650" spans="1:17" x14ac:dyDescent="0.4">
      <c r="A650">
        <v>20210816</v>
      </c>
      <c r="B650" s="1">
        <v>0.95833333333333337</v>
      </c>
      <c r="C650">
        <v>1518</v>
      </c>
      <c r="D650">
        <v>-83645</v>
      </c>
      <c r="E650">
        <v>754407</v>
      </c>
      <c r="F650">
        <v>-247348</v>
      </c>
      <c r="G650">
        <v>9981</v>
      </c>
      <c r="H650">
        <v>-75138</v>
      </c>
      <c r="I650">
        <v>39840</v>
      </c>
      <c r="J650">
        <v>24835</v>
      </c>
      <c r="K650">
        <v>-44757</v>
      </c>
      <c r="L650">
        <v>-25372</v>
      </c>
      <c r="M650">
        <v>6.74</v>
      </c>
      <c r="N650">
        <v>354321</v>
      </c>
      <c r="O650">
        <v>20718000</v>
      </c>
      <c r="P650" s="2">
        <v>1.7102085143353605</v>
      </c>
      <c r="Q650" s="4">
        <v>13.963932</v>
      </c>
    </row>
    <row r="651" spans="1:17" x14ac:dyDescent="0.4">
      <c r="A651">
        <v>20210816</v>
      </c>
      <c r="B651" s="1">
        <v>0.97916666666666663</v>
      </c>
      <c r="C651">
        <v>-4991</v>
      </c>
      <c r="D651">
        <v>-65604</v>
      </c>
      <c r="E651">
        <v>759702</v>
      </c>
      <c r="F651">
        <v>-255861</v>
      </c>
      <c r="G651">
        <v>12288</v>
      </c>
      <c r="H651">
        <v>-20547</v>
      </c>
      <c r="I651">
        <v>6579</v>
      </c>
      <c r="J651">
        <v>42179</v>
      </c>
      <c r="K651">
        <v>-1716</v>
      </c>
      <c r="L651">
        <v>-18114</v>
      </c>
      <c r="M651">
        <v>6.29</v>
      </c>
      <c r="N651">
        <v>453915</v>
      </c>
      <c r="O651">
        <v>19771900</v>
      </c>
      <c r="P651" s="2">
        <v>2.2957581213742735</v>
      </c>
      <c r="Q651" s="4">
        <v>12.436525100000001</v>
      </c>
    </row>
    <row r="652" spans="1:17" x14ac:dyDescent="0.4">
      <c r="A652">
        <v>20210817</v>
      </c>
      <c r="B652" s="1">
        <v>0</v>
      </c>
      <c r="C652">
        <v>36437</v>
      </c>
      <c r="D652">
        <v>59575</v>
      </c>
      <c r="E652">
        <v>226379</v>
      </c>
      <c r="F652">
        <v>-88147</v>
      </c>
      <c r="G652">
        <v>38122</v>
      </c>
      <c r="H652">
        <v>78020</v>
      </c>
      <c r="I652">
        <v>91814</v>
      </c>
      <c r="J652">
        <v>811</v>
      </c>
      <c r="K652">
        <v>194294</v>
      </c>
      <c r="L652">
        <v>-26113</v>
      </c>
      <c r="M652">
        <v>5.92</v>
      </c>
      <c r="N652">
        <v>611192</v>
      </c>
      <c r="O652">
        <v>19369550</v>
      </c>
      <c r="P652" s="2">
        <v>3.1554269459022022</v>
      </c>
      <c r="Q652" s="4">
        <v>11.4667736</v>
      </c>
    </row>
    <row r="653" spans="1:17" x14ac:dyDescent="0.4">
      <c r="A653">
        <v>20210817</v>
      </c>
      <c r="B653" s="1">
        <v>2.0833333333333332E-2</v>
      </c>
      <c r="C653">
        <v>1354</v>
      </c>
      <c r="D653">
        <v>14519</v>
      </c>
      <c r="E653">
        <v>416024</v>
      </c>
      <c r="F653">
        <v>-164508</v>
      </c>
      <c r="G653">
        <v>36560</v>
      </c>
      <c r="H653">
        <v>12605</v>
      </c>
      <c r="I653">
        <v>60432</v>
      </c>
      <c r="J653">
        <v>-16566</v>
      </c>
      <c r="K653">
        <v>125686</v>
      </c>
      <c r="L653">
        <v>-19176</v>
      </c>
      <c r="M653">
        <v>5.99</v>
      </c>
      <c r="N653">
        <v>466930</v>
      </c>
      <c r="O653">
        <v>20279200</v>
      </c>
      <c r="P653" s="2">
        <v>2.3025070022486096</v>
      </c>
      <c r="Q653" s="4">
        <v>12.147240800000001</v>
      </c>
    </row>
    <row r="654" spans="1:17" x14ac:dyDescent="0.4">
      <c r="A654">
        <v>20210817</v>
      </c>
      <c r="B654" s="1">
        <v>4.1666666666666664E-2</v>
      </c>
      <c r="C654">
        <v>30818</v>
      </c>
      <c r="D654">
        <v>-4824</v>
      </c>
      <c r="E654">
        <v>300779</v>
      </c>
      <c r="F654">
        <v>-122945</v>
      </c>
      <c r="G654">
        <v>8854</v>
      </c>
      <c r="H654">
        <v>169275</v>
      </c>
      <c r="I654">
        <v>-6896</v>
      </c>
      <c r="J654">
        <v>-13575</v>
      </c>
      <c r="K654">
        <v>80706</v>
      </c>
      <c r="L654">
        <v>-18371</v>
      </c>
      <c r="M654">
        <v>5.94</v>
      </c>
      <c r="N654">
        <v>423821</v>
      </c>
      <c r="O654">
        <v>19947200</v>
      </c>
      <c r="P654" s="2">
        <v>2.124714245608406</v>
      </c>
      <c r="Q654" s="4">
        <v>11.848636800000001</v>
      </c>
    </row>
    <row r="655" spans="1:17" x14ac:dyDescent="0.4">
      <c r="A655">
        <v>20210817</v>
      </c>
      <c r="B655" s="1">
        <v>6.25E-2</v>
      </c>
      <c r="C655">
        <v>-26912</v>
      </c>
      <c r="D655">
        <v>48181</v>
      </c>
      <c r="E655">
        <v>296503</v>
      </c>
      <c r="F655">
        <v>-60188</v>
      </c>
      <c r="G655">
        <v>10676</v>
      </c>
      <c r="H655">
        <v>121637</v>
      </c>
      <c r="I655">
        <v>-38573</v>
      </c>
      <c r="J655">
        <v>-18584</v>
      </c>
      <c r="K655">
        <v>96985</v>
      </c>
      <c r="L655">
        <v>-20481</v>
      </c>
      <c r="M655">
        <v>5.94</v>
      </c>
      <c r="N655">
        <v>409244</v>
      </c>
      <c r="O655">
        <v>20011200</v>
      </c>
      <c r="P655" s="2">
        <v>2.0450747581354443</v>
      </c>
      <c r="Q655" s="4">
        <v>11.886652800000002</v>
      </c>
    </row>
    <row r="656" spans="1:17" x14ac:dyDescent="0.4">
      <c r="A656">
        <v>20210817</v>
      </c>
      <c r="B656" s="1">
        <v>8.3333333333333329E-2</v>
      </c>
      <c r="C656">
        <v>-15286</v>
      </c>
      <c r="D656">
        <v>-53386</v>
      </c>
      <c r="E656">
        <v>330913</v>
      </c>
      <c r="F656">
        <v>-137859</v>
      </c>
      <c r="G656">
        <v>17090</v>
      </c>
      <c r="H656">
        <v>86209</v>
      </c>
      <c r="I656">
        <v>112211</v>
      </c>
      <c r="J656">
        <v>-20946</v>
      </c>
      <c r="K656">
        <v>57996</v>
      </c>
      <c r="L656">
        <v>-6593</v>
      </c>
      <c r="M656">
        <v>5.91</v>
      </c>
      <c r="N656">
        <v>370349</v>
      </c>
      <c r="O656">
        <v>20193450</v>
      </c>
      <c r="P656" s="2">
        <v>1.8340055810176072</v>
      </c>
      <c r="Q656" s="4">
        <v>11.934328949999999</v>
      </c>
    </row>
    <row r="657" spans="1:17" x14ac:dyDescent="0.4">
      <c r="A657">
        <v>20210817</v>
      </c>
      <c r="B657" s="1">
        <v>0.10416666666666667</v>
      </c>
      <c r="C657">
        <v>42549</v>
      </c>
      <c r="D657">
        <v>-40306</v>
      </c>
      <c r="E657">
        <v>151800</v>
      </c>
      <c r="F657">
        <v>-28154</v>
      </c>
      <c r="G657">
        <v>21860</v>
      </c>
      <c r="H657">
        <v>-10514</v>
      </c>
      <c r="I657">
        <v>68441</v>
      </c>
      <c r="J657">
        <v>-22542</v>
      </c>
      <c r="K657">
        <v>65876</v>
      </c>
      <c r="L657">
        <v>-15927</v>
      </c>
      <c r="M657">
        <v>5.91</v>
      </c>
      <c r="N657">
        <v>233083</v>
      </c>
      <c r="O657">
        <v>20275150</v>
      </c>
      <c r="P657" s="2">
        <v>1.1495993864410374</v>
      </c>
      <c r="Q657" s="4">
        <v>11.982613649999999</v>
      </c>
    </row>
    <row r="658" spans="1:17" x14ac:dyDescent="0.4">
      <c r="A658">
        <v>20210817</v>
      </c>
      <c r="B658" s="1">
        <v>0.125</v>
      </c>
      <c r="C658">
        <v>-30762</v>
      </c>
      <c r="D658">
        <v>-89349</v>
      </c>
      <c r="E658">
        <v>139625</v>
      </c>
      <c r="F658">
        <v>-122849</v>
      </c>
      <c r="G658">
        <v>76473</v>
      </c>
      <c r="H658">
        <v>27953</v>
      </c>
      <c r="I658">
        <v>157926</v>
      </c>
      <c r="J658">
        <v>-17241</v>
      </c>
      <c r="K658">
        <v>51854</v>
      </c>
      <c r="L658">
        <v>-5999</v>
      </c>
      <c r="M658">
        <v>5.96</v>
      </c>
      <c r="N658">
        <v>187631</v>
      </c>
      <c r="O658">
        <v>20330900</v>
      </c>
      <c r="P658" s="2">
        <v>0.92288585355296615</v>
      </c>
      <c r="Q658" s="4">
        <v>12.1172164</v>
      </c>
    </row>
    <row r="659" spans="1:17" x14ac:dyDescent="0.4">
      <c r="A659">
        <v>20210817</v>
      </c>
      <c r="B659" s="1">
        <v>0.14583333333333334</v>
      </c>
      <c r="C659">
        <v>-1404</v>
      </c>
      <c r="D659">
        <v>-87628</v>
      </c>
      <c r="E659">
        <v>123526</v>
      </c>
      <c r="F659">
        <v>-46328</v>
      </c>
      <c r="G659">
        <v>48644</v>
      </c>
      <c r="H659">
        <v>22739</v>
      </c>
      <c r="I659">
        <v>173772</v>
      </c>
      <c r="J659">
        <v>-11739</v>
      </c>
      <c r="K659">
        <v>54674</v>
      </c>
      <c r="L659">
        <v>-8211</v>
      </c>
      <c r="M659">
        <v>5.96</v>
      </c>
      <c r="N659">
        <v>268045</v>
      </c>
      <c r="O659">
        <v>20281950</v>
      </c>
      <c r="P659" s="2">
        <v>1.3215938309679296</v>
      </c>
      <c r="Q659" s="4">
        <v>12.0880422</v>
      </c>
    </row>
    <row r="660" spans="1:17" x14ac:dyDescent="0.4">
      <c r="A660">
        <v>20210817</v>
      </c>
      <c r="B660" s="1">
        <v>0.16666666666666666</v>
      </c>
      <c r="C660">
        <v>3620</v>
      </c>
      <c r="D660">
        <v>-135155</v>
      </c>
      <c r="E660">
        <v>238960</v>
      </c>
      <c r="F660">
        <v>-63758</v>
      </c>
      <c r="G660">
        <v>3597</v>
      </c>
      <c r="H660">
        <v>55648</v>
      </c>
      <c r="I660">
        <v>137600</v>
      </c>
      <c r="J660">
        <v>-5452</v>
      </c>
      <c r="K660">
        <v>40892</v>
      </c>
      <c r="L660">
        <v>-247</v>
      </c>
      <c r="M660">
        <v>5.96</v>
      </c>
      <c r="N660">
        <v>275705</v>
      </c>
      <c r="O660">
        <v>20317050</v>
      </c>
      <c r="P660" s="2">
        <v>1.3570129521756358</v>
      </c>
      <c r="Q660" s="4">
        <v>12.108961799999999</v>
      </c>
    </row>
    <row r="661" spans="1:17" x14ac:dyDescent="0.4">
      <c r="A661">
        <v>20210817</v>
      </c>
      <c r="B661" s="1">
        <v>0.1875</v>
      </c>
      <c r="C661">
        <v>16358</v>
      </c>
      <c r="D661">
        <v>-117444</v>
      </c>
      <c r="E661">
        <v>172940</v>
      </c>
      <c r="F661">
        <v>-66179</v>
      </c>
      <c r="G661">
        <v>15372</v>
      </c>
      <c r="H661">
        <v>79312</v>
      </c>
      <c r="I661">
        <v>137357</v>
      </c>
      <c r="J661">
        <v>-6930</v>
      </c>
      <c r="K661">
        <v>89272</v>
      </c>
      <c r="L661">
        <v>-11673</v>
      </c>
      <c r="M661">
        <v>6</v>
      </c>
      <c r="N661">
        <v>308385</v>
      </c>
      <c r="O661">
        <v>20389150</v>
      </c>
      <c r="P661" s="2">
        <v>1.5124956165411505</v>
      </c>
      <c r="Q661" s="4">
        <v>12.23349</v>
      </c>
    </row>
    <row r="662" spans="1:17" x14ac:dyDescent="0.4">
      <c r="A662">
        <v>20210817</v>
      </c>
      <c r="B662" s="1">
        <v>0.22916666666666666</v>
      </c>
      <c r="C662">
        <v>1415</v>
      </c>
      <c r="D662">
        <v>-17240</v>
      </c>
      <c r="E662">
        <v>167029</v>
      </c>
      <c r="F662">
        <v>-167134</v>
      </c>
      <c r="G662">
        <v>42633</v>
      </c>
      <c r="H662">
        <v>-135158</v>
      </c>
      <c r="I662">
        <v>40366</v>
      </c>
      <c r="J662">
        <v>7756</v>
      </c>
      <c r="K662">
        <v>82633</v>
      </c>
      <c r="L662">
        <v>-8970</v>
      </c>
      <c r="M662">
        <v>6.03</v>
      </c>
      <c r="N662">
        <v>13330</v>
      </c>
      <c r="O662">
        <v>21058550</v>
      </c>
      <c r="P662" s="2">
        <v>6.3299704870468293E-2</v>
      </c>
      <c r="Q662" s="4">
        <v>12.69830565</v>
      </c>
    </row>
    <row r="663" spans="1:17" x14ac:dyDescent="0.4">
      <c r="A663">
        <v>20210817</v>
      </c>
      <c r="B663" s="1">
        <v>0.25</v>
      </c>
      <c r="C663">
        <v>-35037</v>
      </c>
      <c r="D663">
        <v>13939</v>
      </c>
      <c r="E663">
        <v>145975</v>
      </c>
      <c r="F663">
        <v>-38023</v>
      </c>
      <c r="G663">
        <v>47046</v>
      </c>
      <c r="H663">
        <v>-86813</v>
      </c>
      <c r="I663">
        <v>9617</v>
      </c>
      <c r="J663">
        <v>38345</v>
      </c>
      <c r="K663">
        <v>38180</v>
      </c>
      <c r="L663">
        <v>-3221</v>
      </c>
      <c r="M663">
        <v>6.13</v>
      </c>
      <c r="N663">
        <v>130008</v>
      </c>
      <c r="O663">
        <v>21373800</v>
      </c>
      <c r="P663" s="2">
        <v>0.60825870926087078</v>
      </c>
      <c r="Q663" s="4">
        <v>13.1021394</v>
      </c>
    </row>
    <row r="664" spans="1:17" x14ac:dyDescent="0.4">
      <c r="A664">
        <v>20210817</v>
      </c>
      <c r="B664" s="1">
        <v>0.27083333333333331</v>
      </c>
      <c r="C664">
        <v>-47726</v>
      </c>
      <c r="D664">
        <v>29522</v>
      </c>
      <c r="E664">
        <v>108662</v>
      </c>
      <c r="F664">
        <v>29333</v>
      </c>
      <c r="G664">
        <v>62030</v>
      </c>
      <c r="H664">
        <v>-65401</v>
      </c>
      <c r="I664">
        <v>83853</v>
      </c>
      <c r="J664">
        <v>27412</v>
      </c>
      <c r="K664">
        <v>-795</v>
      </c>
      <c r="L664">
        <v>-13830</v>
      </c>
      <c r="M664">
        <v>6.22</v>
      </c>
      <c r="N664">
        <v>213060</v>
      </c>
      <c r="O664">
        <v>21726500</v>
      </c>
      <c r="P664" s="2">
        <v>0.98064575518376174</v>
      </c>
      <c r="Q664" s="4">
        <v>13.513883</v>
      </c>
    </row>
    <row r="665" spans="1:17" x14ac:dyDescent="0.4">
      <c r="A665">
        <v>20210817</v>
      </c>
      <c r="B665" s="1">
        <v>0.29166666666666669</v>
      </c>
      <c r="C665">
        <v>-61486</v>
      </c>
      <c r="D665">
        <v>51425</v>
      </c>
      <c r="E665">
        <v>31345</v>
      </c>
      <c r="F665">
        <v>26267</v>
      </c>
      <c r="G665">
        <v>77775</v>
      </c>
      <c r="H665">
        <v>-118952</v>
      </c>
      <c r="I665">
        <v>10617</v>
      </c>
      <c r="J665">
        <v>34348</v>
      </c>
      <c r="K665">
        <v>55614</v>
      </c>
      <c r="L665">
        <v>5334</v>
      </c>
      <c r="M665">
        <v>6.57</v>
      </c>
      <c r="N665">
        <v>112287</v>
      </c>
      <c r="O665">
        <v>22304950</v>
      </c>
      <c r="P665" s="2">
        <v>0.5034174028634899</v>
      </c>
      <c r="Q665" s="4">
        <v>14.654352149999999</v>
      </c>
    </row>
    <row r="666" spans="1:17" x14ac:dyDescent="0.4">
      <c r="A666">
        <v>20210817</v>
      </c>
      <c r="B666" s="1">
        <v>0.3125</v>
      </c>
      <c r="C666">
        <v>-8574</v>
      </c>
      <c r="D666">
        <v>103800</v>
      </c>
      <c r="E666">
        <v>-272690</v>
      </c>
      <c r="F666">
        <v>203228</v>
      </c>
      <c r="G666">
        <v>63817</v>
      </c>
      <c r="H666">
        <v>-15258</v>
      </c>
      <c r="I666">
        <v>29593</v>
      </c>
      <c r="J666">
        <v>63296</v>
      </c>
      <c r="K666">
        <v>-19000</v>
      </c>
      <c r="L666">
        <v>-4870</v>
      </c>
      <c r="M666">
        <v>6.85</v>
      </c>
      <c r="N666">
        <v>143342</v>
      </c>
      <c r="O666">
        <v>22410600</v>
      </c>
      <c r="P666" s="2">
        <v>0.63961696697098691</v>
      </c>
      <c r="Q666" s="4">
        <v>15.351260999999999</v>
      </c>
    </row>
    <row r="667" spans="1:17" x14ac:dyDescent="0.4">
      <c r="A667">
        <v>20210817</v>
      </c>
      <c r="B667" s="1">
        <v>0.33333333333333331</v>
      </c>
      <c r="C667">
        <v>-12451</v>
      </c>
      <c r="D667">
        <v>79002</v>
      </c>
      <c r="E667">
        <v>377748</v>
      </c>
      <c r="F667">
        <v>153699</v>
      </c>
      <c r="G667">
        <v>40397</v>
      </c>
      <c r="H667">
        <v>-128285</v>
      </c>
      <c r="I667">
        <v>-108100</v>
      </c>
      <c r="J667">
        <v>55545</v>
      </c>
      <c r="K667">
        <v>-198790</v>
      </c>
      <c r="L667">
        <v>-2304</v>
      </c>
      <c r="M667">
        <v>6.88</v>
      </c>
      <c r="N667">
        <v>256461</v>
      </c>
      <c r="O667">
        <v>22540950</v>
      </c>
      <c r="P667" s="2">
        <v>1.1377559508361448</v>
      </c>
      <c r="Q667" s="4">
        <v>15.508173599999999</v>
      </c>
    </row>
    <row r="668" spans="1:17" x14ac:dyDescent="0.4">
      <c r="A668">
        <v>20210817</v>
      </c>
      <c r="B668" s="1">
        <v>0.375</v>
      </c>
      <c r="C668">
        <v>4327</v>
      </c>
      <c r="D668">
        <v>-66031</v>
      </c>
      <c r="E668">
        <v>231993</v>
      </c>
      <c r="F668">
        <v>553498</v>
      </c>
      <c r="G668">
        <v>16457</v>
      </c>
      <c r="H668">
        <v>117431</v>
      </c>
      <c r="I668">
        <v>-232429</v>
      </c>
      <c r="J668">
        <v>38559</v>
      </c>
      <c r="K668">
        <v>-282887</v>
      </c>
      <c r="L668">
        <v>-20445</v>
      </c>
      <c r="M668">
        <v>7.94</v>
      </c>
      <c r="N668">
        <v>360473</v>
      </c>
      <c r="O668">
        <v>23176100</v>
      </c>
      <c r="P668" s="2">
        <v>1.5553652253830454</v>
      </c>
      <c r="Q668" s="4">
        <v>18.401823400000001</v>
      </c>
    </row>
    <row r="669" spans="1:17" x14ac:dyDescent="0.4">
      <c r="A669">
        <v>20210817</v>
      </c>
      <c r="B669" s="1">
        <v>0.39583333333333331</v>
      </c>
      <c r="C669">
        <v>56472</v>
      </c>
      <c r="D669">
        <v>34110</v>
      </c>
      <c r="E669">
        <v>378376</v>
      </c>
      <c r="F669">
        <v>614446</v>
      </c>
      <c r="G669">
        <v>28222</v>
      </c>
      <c r="H669">
        <v>-61567</v>
      </c>
      <c r="I669">
        <v>-197766</v>
      </c>
      <c r="J669">
        <v>-2813</v>
      </c>
      <c r="K669">
        <v>-123075</v>
      </c>
      <c r="L669">
        <v>-21051</v>
      </c>
      <c r="M669">
        <v>8.14</v>
      </c>
      <c r="N669">
        <v>705354</v>
      </c>
      <c r="O669">
        <v>23151900</v>
      </c>
      <c r="P669" s="2">
        <v>3.0466354813211876</v>
      </c>
      <c r="Q669" s="4">
        <v>18.845646599999998</v>
      </c>
    </row>
    <row r="670" spans="1:17" x14ac:dyDescent="0.4">
      <c r="A670">
        <v>20210817</v>
      </c>
      <c r="B670" s="1">
        <v>0.41666666666666669</v>
      </c>
      <c r="C670">
        <v>8313</v>
      </c>
      <c r="D670">
        <v>-4969</v>
      </c>
      <c r="E670">
        <v>363394</v>
      </c>
      <c r="F670">
        <v>787008</v>
      </c>
      <c r="G670">
        <v>40317</v>
      </c>
      <c r="H670">
        <v>278329</v>
      </c>
      <c r="I670">
        <v>-81160</v>
      </c>
      <c r="J670">
        <v>931</v>
      </c>
      <c r="K670">
        <v>-179788</v>
      </c>
      <c r="L670">
        <v>-30654</v>
      </c>
      <c r="M670">
        <v>8.86</v>
      </c>
      <c r="N670">
        <v>1181721</v>
      </c>
      <c r="O670">
        <v>23427000</v>
      </c>
      <c r="P670" s="2">
        <v>5.0442694327058524</v>
      </c>
      <c r="Q670" s="4">
        <v>20.756322000000001</v>
      </c>
    </row>
    <row r="671" spans="1:17" x14ac:dyDescent="0.4">
      <c r="A671">
        <v>20210817</v>
      </c>
      <c r="B671" s="1">
        <v>0.4375</v>
      </c>
      <c r="C671">
        <v>30198</v>
      </c>
      <c r="D671">
        <v>-52158</v>
      </c>
      <c r="E671">
        <v>212611</v>
      </c>
      <c r="F671">
        <v>872883</v>
      </c>
      <c r="G671">
        <v>63425</v>
      </c>
      <c r="H671">
        <v>248183</v>
      </c>
      <c r="I671">
        <v>-92906</v>
      </c>
      <c r="J671">
        <v>10839</v>
      </c>
      <c r="K671">
        <v>-247742</v>
      </c>
      <c r="L671">
        <v>-39420</v>
      </c>
      <c r="M671">
        <v>8.99</v>
      </c>
      <c r="N671">
        <v>1005913</v>
      </c>
      <c r="O671">
        <v>23483150</v>
      </c>
      <c r="P671" s="2">
        <v>4.2835522491658917</v>
      </c>
      <c r="Q671" s="4">
        <v>21.111351849999998</v>
      </c>
    </row>
    <row r="672" spans="1:17" x14ac:dyDescent="0.4">
      <c r="A672">
        <v>20210817</v>
      </c>
      <c r="B672" s="1">
        <v>0.45833333333333331</v>
      </c>
      <c r="C672">
        <v>30044</v>
      </c>
      <c r="D672">
        <v>-24423</v>
      </c>
      <c r="E672">
        <v>340238</v>
      </c>
      <c r="F672">
        <v>727999</v>
      </c>
      <c r="G672">
        <v>67981</v>
      </c>
      <c r="H672">
        <v>332593</v>
      </c>
      <c r="I672">
        <v>-135300</v>
      </c>
      <c r="J672">
        <v>-32384</v>
      </c>
      <c r="K672">
        <v>-299267</v>
      </c>
      <c r="L672">
        <v>-52753</v>
      </c>
      <c r="M672">
        <v>9.0399999999999991</v>
      </c>
      <c r="N672">
        <v>954728</v>
      </c>
      <c r="O672">
        <v>23640600</v>
      </c>
      <c r="P672" s="2">
        <v>4.038510020896255</v>
      </c>
      <c r="Q672" s="4">
        <v>21.371102399999998</v>
      </c>
    </row>
    <row r="673" spans="1:17" x14ac:dyDescent="0.4">
      <c r="A673">
        <v>20210817</v>
      </c>
      <c r="B673" s="1">
        <v>0.47916666666666669</v>
      </c>
      <c r="C673">
        <v>55291</v>
      </c>
      <c r="D673">
        <v>-32517</v>
      </c>
      <c r="E673">
        <v>173604</v>
      </c>
      <c r="F673">
        <v>769241</v>
      </c>
      <c r="G673">
        <v>64804</v>
      </c>
      <c r="H673">
        <v>409623</v>
      </c>
      <c r="I673">
        <v>-124372</v>
      </c>
      <c r="J673">
        <v>-39249</v>
      </c>
      <c r="K673">
        <v>-389107</v>
      </c>
      <c r="L673">
        <v>-48725</v>
      </c>
      <c r="M673">
        <v>8.99</v>
      </c>
      <c r="N673">
        <v>838593</v>
      </c>
      <c r="O673">
        <v>23703450</v>
      </c>
      <c r="P673" s="2">
        <v>3.5378520848230952</v>
      </c>
      <c r="Q673" s="4">
        <v>21.30940155</v>
      </c>
    </row>
    <row r="674" spans="1:17" x14ac:dyDescent="0.4">
      <c r="A674">
        <v>20210817</v>
      </c>
      <c r="B674" s="1">
        <v>0.5</v>
      </c>
      <c r="C674">
        <v>23209</v>
      </c>
      <c r="D674">
        <v>23504</v>
      </c>
      <c r="E674">
        <v>210145</v>
      </c>
      <c r="F674">
        <v>903367</v>
      </c>
      <c r="G674">
        <v>37344</v>
      </c>
      <c r="H674">
        <v>443343</v>
      </c>
      <c r="I674">
        <v>-25016</v>
      </c>
      <c r="J674">
        <v>6309</v>
      </c>
      <c r="K674">
        <v>-213765</v>
      </c>
      <c r="L674">
        <v>-39408</v>
      </c>
      <c r="M674">
        <v>8.14</v>
      </c>
      <c r="N674">
        <v>1369032</v>
      </c>
      <c r="O674">
        <v>23801050</v>
      </c>
      <c r="P674" s="2">
        <v>5.7519815302266073</v>
      </c>
      <c r="Q674" s="4">
        <v>19.374054699999999</v>
      </c>
    </row>
    <row r="675" spans="1:17" x14ac:dyDescent="0.4">
      <c r="A675">
        <v>20210817</v>
      </c>
      <c r="B675" s="1">
        <v>0.52083333333333337</v>
      </c>
      <c r="C675">
        <v>8694</v>
      </c>
      <c r="D675">
        <v>75331</v>
      </c>
      <c r="E675">
        <v>296709</v>
      </c>
      <c r="F675">
        <v>635864</v>
      </c>
      <c r="G675">
        <v>22486</v>
      </c>
      <c r="H675">
        <v>346420</v>
      </c>
      <c r="I675">
        <v>162111</v>
      </c>
      <c r="J675">
        <v>25625</v>
      </c>
      <c r="K675">
        <v>-30013</v>
      </c>
      <c r="L675">
        <v>-37444</v>
      </c>
      <c r="M675">
        <v>8.1300000000000008</v>
      </c>
      <c r="N675">
        <v>1505783</v>
      </c>
      <c r="O675">
        <v>23792250</v>
      </c>
      <c r="P675" s="2">
        <v>6.3288802025869773</v>
      </c>
      <c r="Q675" s="4">
        <v>19.343099250000002</v>
      </c>
    </row>
    <row r="676" spans="1:17" x14ac:dyDescent="0.4">
      <c r="A676">
        <v>20210817</v>
      </c>
      <c r="B676" s="1">
        <v>0.54166666666666663</v>
      </c>
      <c r="C676">
        <v>-11990</v>
      </c>
      <c r="D676">
        <v>92575</v>
      </c>
      <c r="E676">
        <v>325053</v>
      </c>
      <c r="F676">
        <v>584838</v>
      </c>
      <c r="G676">
        <v>21042</v>
      </c>
      <c r="H676">
        <v>243206</v>
      </c>
      <c r="I676">
        <v>147690</v>
      </c>
      <c r="J676">
        <v>53919</v>
      </c>
      <c r="K676">
        <v>2118</v>
      </c>
      <c r="L676">
        <v>-40253</v>
      </c>
      <c r="M676">
        <v>8.86</v>
      </c>
      <c r="N676">
        <v>1418198</v>
      </c>
      <c r="O676">
        <v>23125850</v>
      </c>
      <c r="P676" s="2">
        <v>6.1325226964630488</v>
      </c>
      <c r="Q676" s="4">
        <v>20.4895031</v>
      </c>
    </row>
    <row r="677" spans="1:17" x14ac:dyDescent="0.4">
      <c r="A677">
        <v>20210817</v>
      </c>
      <c r="B677" s="1">
        <v>0.5625</v>
      </c>
      <c r="C677">
        <v>-39440</v>
      </c>
      <c r="D677">
        <v>119567</v>
      </c>
      <c r="E677">
        <v>1060673</v>
      </c>
      <c r="F677">
        <v>667160</v>
      </c>
      <c r="G677">
        <v>76695</v>
      </c>
      <c r="H677">
        <v>289020</v>
      </c>
      <c r="I677">
        <v>190591</v>
      </c>
      <c r="J677">
        <v>19510</v>
      </c>
      <c r="K677">
        <v>28752</v>
      </c>
      <c r="L677">
        <v>-30957</v>
      </c>
      <c r="M677">
        <v>9.0399999999999991</v>
      </c>
      <c r="N677">
        <v>2381571</v>
      </c>
      <c r="O677">
        <v>23020000</v>
      </c>
      <c r="P677" s="2">
        <v>10.345660295395309</v>
      </c>
      <c r="Q677" s="4">
        <v>20.810079999999996</v>
      </c>
    </row>
    <row r="678" spans="1:17" x14ac:dyDescent="0.4">
      <c r="A678">
        <v>20210817</v>
      </c>
      <c r="B678" s="1">
        <v>0.58333333333333337</v>
      </c>
      <c r="C678">
        <v>-75267</v>
      </c>
      <c r="D678">
        <v>93765</v>
      </c>
      <c r="E678">
        <v>905521</v>
      </c>
      <c r="F678">
        <v>559179</v>
      </c>
      <c r="G678">
        <v>66284</v>
      </c>
      <c r="H678">
        <v>478932</v>
      </c>
      <c r="I678">
        <v>89681</v>
      </c>
      <c r="J678">
        <v>-24122</v>
      </c>
      <c r="K678">
        <v>95880</v>
      </c>
      <c r="L678">
        <v>-18686</v>
      </c>
      <c r="M678">
        <v>9.0500000000000007</v>
      </c>
      <c r="N678">
        <v>2171167</v>
      </c>
      <c r="O678">
        <v>22999800</v>
      </c>
      <c r="P678" s="2">
        <v>9.4399386081618104</v>
      </c>
      <c r="Q678" s="4">
        <v>20.814819000000004</v>
      </c>
    </row>
    <row r="679" spans="1:17" x14ac:dyDescent="0.4">
      <c r="A679">
        <v>20210817</v>
      </c>
      <c r="B679" s="1">
        <v>0.60416666666666663</v>
      </c>
      <c r="C679">
        <v>-38733</v>
      </c>
      <c r="D679">
        <v>118043</v>
      </c>
      <c r="E679">
        <v>814874</v>
      </c>
      <c r="F679">
        <v>558275</v>
      </c>
      <c r="G679">
        <v>24066</v>
      </c>
      <c r="H679">
        <v>630276</v>
      </c>
      <c r="I679">
        <v>71194</v>
      </c>
      <c r="J679">
        <v>-21896</v>
      </c>
      <c r="K679">
        <v>139862</v>
      </c>
      <c r="L679">
        <v>-33118</v>
      </c>
      <c r="M679">
        <v>9.1300000000000008</v>
      </c>
      <c r="N679">
        <v>2262843</v>
      </c>
      <c r="O679">
        <v>23081900</v>
      </c>
      <c r="P679" s="2">
        <v>9.8035387034862822</v>
      </c>
      <c r="Q679" s="4">
        <v>21.073774700000001</v>
      </c>
    </row>
    <row r="680" spans="1:17" x14ac:dyDescent="0.4">
      <c r="A680">
        <v>20210817</v>
      </c>
      <c r="B680" s="1">
        <v>0.625</v>
      </c>
      <c r="C680">
        <v>-54467</v>
      </c>
      <c r="D680">
        <v>87684</v>
      </c>
      <c r="E680">
        <v>753725</v>
      </c>
      <c r="F680">
        <v>629294</v>
      </c>
      <c r="G680">
        <v>25831</v>
      </c>
      <c r="H680">
        <v>407000</v>
      </c>
      <c r="I680">
        <v>106848</v>
      </c>
      <c r="J680">
        <v>-37997</v>
      </c>
      <c r="K680">
        <v>268532</v>
      </c>
      <c r="L680">
        <v>-42691</v>
      </c>
      <c r="M680">
        <v>8.86</v>
      </c>
      <c r="N680">
        <v>2143759</v>
      </c>
      <c r="O680">
        <v>23080150</v>
      </c>
      <c r="P680" s="2">
        <v>9.2883235160949997</v>
      </c>
      <c r="Q680" s="4">
        <v>20.4490129</v>
      </c>
    </row>
    <row r="681" spans="1:17" x14ac:dyDescent="0.4">
      <c r="A681">
        <v>20210817</v>
      </c>
      <c r="B681" s="1">
        <v>0.64583333333333337</v>
      </c>
      <c r="C681">
        <v>-24440</v>
      </c>
      <c r="D681">
        <v>-15883</v>
      </c>
      <c r="E681">
        <v>705214</v>
      </c>
      <c r="F681">
        <v>524335</v>
      </c>
      <c r="G681">
        <v>8151</v>
      </c>
      <c r="H681">
        <v>405788</v>
      </c>
      <c r="I681">
        <v>71925</v>
      </c>
      <c r="J681">
        <v>-44649</v>
      </c>
      <c r="K681">
        <v>236666</v>
      </c>
      <c r="L681">
        <v>-47447</v>
      </c>
      <c r="M681">
        <v>9.0500000000000007</v>
      </c>
      <c r="N681">
        <v>1819660</v>
      </c>
      <c r="O681">
        <v>23047700</v>
      </c>
      <c r="P681" s="2">
        <v>7.8951912772207207</v>
      </c>
      <c r="Q681" s="4">
        <v>20.858168500000001</v>
      </c>
    </row>
    <row r="682" spans="1:17" x14ac:dyDescent="0.4">
      <c r="A682">
        <v>20210817</v>
      </c>
      <c r="B682" s="1">
        <v>0.66666666666666663</v>
      </c>
      <c r="C682">
        <v>1437</v>
      </c>
      <c r="D682">
        <v>99076</v>
      </c>
      <c r="E682">
        <v>528638</v>
      </c>
      <c r="F682">
        <v>316069</v>
      </c>
      <c r="G682">
        <v>13779</v>
      </c>
      <c r="H682">
        <v>449787</v>
      </c>
      <c r="I682">
        <v>166095</v>
      </c>
      <c r="J682">
        <v>-29078</v>
      </c>
      <c r="K682">
        <v>171612</v>
      </c>
      <c r="L682">
        <v>-54350</v>
      </c>
      <c r="M682">
        <v>9.1999999999999993</v>
      </c>
      <c r="N682">
        <v>1663065</v>
      </c>
      <c r="O682">
        <v>23737550</v>
      </c>
      <c r="P682" s="2">
        <v>7.0060515933615726</v>
      </c>
      <c r="Q682" s="4">
        <v>21.838545999999997</v>
      </c>
    </row>
    <row r="683" spans="1:17" x14ac:dyDescent="0.4">
      <c r="A683">
        <v>20210817</v>
      </c>
      <c r="B683" s="1">
        <v>0.6875</v>
      </c>
      <c r="C683">
        <v>14628</v>
      </c>
      <c r="D683">
        <v>34681</v>
      </c>
      <c r="E683">
        <v>489843</v>
      </c>
      <c r="F683">
        <v>168862</v>
      </c>
      <c r="G683">
        <v>29923</v>
      </c>
      <c r="H683">
        <v>373786</v>
      </c>
      <c r="I683">
        <v>28799</v>
      </c>
      <c r="J683">
        <v>-48007</v>
      </c>
      <c r="K683">
        <v>212916</v>
      </c>
      <c r="L683">
        <v>-51450</v>
      </c>
      <c r="M683">
        <v>9.0500000000000007</v>
      </c>
      <c r="N683">
        <v>1253981</v>
      </c>
      <c r="O683">
        <v>23727300</v>
      </c>
      <c r="P683" s="2">
        <v>5.2849713199563375</v>
      </c>
      <c r="Q683" s="4">
        <v>21.473206500000003</v>
      </c>
    </row>
    <row r="684" spans="1:17" x14ac:dyDescent="0.4">
      <c r="A684">
        <v>20210817</v>
      </c>
      <c r="B684" s="1">
        <v>0.70833333333333337</v>
      </c>
      <c r="C684">
        <v>29338</v>
      </c>
      <c r="D684">
        <v>74419</v>
      </c>
      <c r="E684">
        <v>372027</v>
      </c>
      <c r="F684">
        <v>97023</v>
      </c>
      <c r="G684">
        <v>15001</v>
      </c>
      <c r="H684">
        <v>446640</v>
      </c>
      <c r="I684">
        <v>84956</v>
      </c>
      <c r="J684">
        <v>-16951</v>
      </c>
      <c r="K684">
        <v>247978</v>
      </c>
      <c r="L684">
        <v>-32961</v>
      </c>
      <c r="M684">
        <v>8.86</v>
      </c>
      <c r="N684">
        <v>1317470</v>
      </c>
      <c r="O684">
        <v>23286700</v>
      </c>
      <c r="P684" s="2">
        <v>5.6576071319680334</v>
      </c>
      <c r="Q684" s="4">
        <v>20.632016199999999</v>
      </c>
    </row>
    <row r="685" spans="1:17" x14ac:dyDescent="0.4">
      <c r="A685">
        <v>20210817</v>
      </c>
      <c r="B685" s="1">
        <v>0.72916666666666663</v>
      </c>
      <c r="C685">
        <v>48994</v>
      </c>
      <c r="D685">
        <v>26839</v>
      </c>
      <c r="E685">
        <v>290437</v>
      </c>
      <c r="F685">
        <v>612</v>
      </c>
      <c r="G685">
        <v>-1306</v>
      </c>
      <c r="H685">
        <v>467868</v>
      </c>
      <c r="I685">
        <v>1055</v>
      </c>
      <c r="J685">
        <v>-17631</v>
      </c>
      <c r="K685">
        <v>224813</v>
      </c>
      <c r="L685">
        <v>-28593</v>
      </c>
      <c r="M685">
        <v>8.86</v>
      </c>
      <c r="N685">
        <v>1013088</v>
      </c>
      <c r="O685">
        <v>23139250</v>
      </c>
      <c r="P685" s="2">
        <v>4.3782231489784671</v>
      </c>
      <c r="Q685" s="4">
        <v>20.501375500000002</v>
      </c>
    </row>
    <row r="686" spans="1:17" x14ac:dyDescent="0.4">
      <c r="A686">
        <v>20210817</v>
      </c>
      <c r="B686" s="1">
        <v>0.75</v>
      </c>
      <c r="C686">
        <v>21650</v>
      </c>
      <c r="D686">
        <v>125150</v>
      </c>
      <c r="E686">
        <v>273865</v>
      </c>
      <c r="F686">
        <v>-49229</v>
      </c>
      <c r="G686">
        <v>-14312</v>
      </c>
      <c r="H686">
        <v>319799</v>
      </c>
      <c r="I686">
        <v>27300</v>
      </c>
      <c r="J686">
        <v>-4163</v>
      </c>
      <c r="K686">
        <v>120868</v>
      </c>
      <c r="L686">
        <v>-20864</v>
      </c>
      <c r="M686">
        <v>8.86</v>
      </c>
      <c r="N686">
        <v>800064</v>
      </c>
      <c r="O686">
        <v>23038600</v>
      </c>
      <c r="P686" s="2">
        <v>3.4727110154262846</v>
      </c>
      <c r="Q686" s="4">
        <v>20.412199600000001</v>
      </c>
    </row>
    <row r="687" spans="1:17" x14ac:dyDescent="0.4">
      <c r="A687">
        <v>20210817</v>
      </c>
      <c r="B687" s="1">
        <v>0.77083333333333337</v>
      </c>
      <c r="C687">
        <v>19099</v>
      </c>
      <c r="D687">
        <v>90087</v>
      </c>
      <c r="E687">
        <v>338604</v>
      </c>
      <c r="F687">
        <v>-127223</v>
      </c>
      <c r="G687">
        <v>-13327</v>
      </c>
      <c r="H687">
        <v>349930</v>
      </c>
      <c r="I687">
        <v>10166</v>
      </c>
      <c r="J687">
        <v>2926</v>
      </c>
      <c r="K687">
        <v>89615</v>
      </c>
      <c r="L687">
        <v>-26319</v>
      </c>
      <c r="M687">
        <v>8.14</v>
      </c>
      <c r="N687">
        <v>733558</v>
      </c>
      <c r="O687">
        <v>22911950</v>
      </c>
      <c r="P687" s="2">
        <v>3.2016393192198831</v>
      </c>
      <c r="Q687" s="4">
        <v>18.650327300000001</v>
      </c>
    </row>
    <row r="688" spans="1:17" x14ac:dyDescent="0.4">
      <c r="A688">
        <v>20210817</v>
      </c>
      <c r="B688" s="1">
        <v>0.79166666666666663</v>
      </c>
      <c r="C688">
        <v>32288</v>
      </c>
      <c r="D688">
        <v>142645</v>
      </c>
      <c r="E688">
        <v>311198</v>
      </c>
      <c r="F688">
        <v>-75393</v>
      </c>
      <c r="G688">
        <v>-11439</v>
      </c>
      <c r="H688">
        <v>354927</v>
      </c>
      <c r="I688">
        <v>23218</v>
      </c>
      <c r="J688">
        <v>35893</v>
      </c>
      <c r="K688">
        <v>39355</v>
      </c>
      <c r="L688">
        <v>-30068</v>
      </c>
      <c r="M688">
        <v>8.1300000000000008</v>
      </c>
      <c r="N688">
        <v>822624</v>
      </c>
      <c r="O688">
        <v>22782350</v>
      </c>
      <c r="P688" s="2">
        <v>3.6107951989149494</v>
      </c>
      <c r="Q688" s="4">
        <v>18.522050550000003</v>
      </c>
    </row>
    <row r="689" spans="1:17" x14ac:dyDescent="0.4">
      <c r="A689">
        <v>20210817</v>
      </c>
      <c r="B689" s="1">
        <v>0.8125</v>
      </c>
      <c r="C689">
        <v>25291</v>
      </c>
      <c r="D689">
        <v>72603</v>
      </c>
      <c r="E689">
        <v>466993</v>
      </c>
      <c r="F689">
        <v>-83354</v>
      </c>
      <c r="G689">
        <v>1353</v>
      </c>
      <c r="H689">
        <v>299584</v>
      </c>
      <c r="I689">
        <v>33488</v>
      </c>
      <c r="J689">
        <v>14389</v>
      </c>
      <c r="K689">
        <v>61249</v>
      </c>
      <c r="L689">
        <v>-26992</v>
      </c>
      <c r="M689">
        <v>7.44</v>
      </c>
      <c r="N689">
        <v>864604</v>
      </c>
      <c r="O689">
        <v>23185200</v>
      </c>
      <c r="P689" s="2">
        <v>3.729120300881597</v>
      </c>
      <c r="Q689" s="4">
        <v>17.249788800000001</v>
      </c>
    </row>
    <row r="690" spans="1:17" x14ac:dyDescent="0.4">
      <c r="A690">
        <v>20210817</v>
      </c>
      <c r="B690" s="1">
        <v>0.83333333333333337</v>
      </c>
      <c r="C690">
        <v>64424</v>
      </c>
      <c r="D690">
        <v>61952</v>
      </c>
      <c r="E690">
        <v>265416</v>
      </c>
      <c r="F690">
        <v>-129584</v>
      </c>
      <c r="G690">
        <v>19955</v>
      </c>
      <c r="H690">
        <v>305172</v>
      </c>
      <c r="I690">
        <v>41222</v>
      </c>
      <c r="J690">
        <v>17256</v>
      </c>
      <c r="K690">
        <v>26439</v>
      </c>
      <c r="L690">
        <v>-33431</v>
      </c>
      <c r="M690">
        <v>7.17</v>
      </c>
      <c r="N690">
        <v>638821</v>
      </c>
      <c r="O690">
        <v>22800300</v>
      </c>
      <c r="P690" s="2">
        <v>2.8018096253119475</v>
      </c>
      <c r="Q690" s="4">
        <v>16.347815099999998</v>
      </c>
    </row>
    <row r="691" spans="1:17" x14ac:dyDescent="0.4">
      <c r="A691">
        <v>20210817</v>
      </c>
      <c r="B691" s="1">
        <v>0.85416666666666663</v>
      </c>
      <c r="C691">
        <v>-9712</v>
      </c>
      <c r="D691">
        <v>-27087</v>
      </c>
      <c r="E691">
        <v>243573</v>
      </c>
      <c r="F691">
        <v>-82471</v>
      </c>
      <c r="G691">
        <v>-4113</v>
      </c>
      <c r="H691">
        <v>257562</v>
      </c>
      <c r="I691">
        <v>44966</v>
      </c>
      <c r="J691">
        <v>11464</v>
      </c>
      <c r="K691">
        <v>46250</v>
      </c>
      <c r="L691">
        <v>-24519</v>
      </c>
      <c r="M691">
        <v>7.03</v>
      </c>
      <c r="N691">
        <v>455913</v>
      </c>
      <c r="O691">
        <v>22926900</v>
      </c>
      <c r="P691" s="2">
        <v>1.9885505672376118</v>
      </c>
      <c r="Q691" s="4">
        <v>16.1176107</v>
      </c>
    </row>
    <row r="692" spans="1:17" x14ac:dyDescent="0.4">
      <c r="A692">
        <v>20210817</v>
      </c>
      <c r="B692" s="1">
        <v>0.875</v>
      </c>
      <c r="C692">
        <v>68498</v>
      </c>
      <c r="D692">
        <v>22352</v>
      </c>
      <c r="E692">
        <v>119707</v>
      </c>
      <c r="F692">
        <v>-58128</v>
      </c>
      <c r="G692">
        <v>-14760</v>
      </c>
      <c r="H692">
        <v>248972</v>
      </c>
      <c r="I692">
        <v>61350</v>
      </c>
      <c r="J692">
        <v>17140</v>
      </c>
      <c r="K692">
        <v>19371</v>
      </c>
      <c r="L692">
        <v>-30058</v>
      </c>
      <c r="M692">
        <v>6.94</v>
      </c>
      <c r="N692">
        <v>454444</v>
      </c>
      <c r="O692">
        <v>22691750</v>
      </c>
      <c r="P692" s="2">
        <v>2.0026837947712273</v>
      </c>
      <c r="Q692" s="4">
        <v>15.7480745</v>
      </c>
    </row>
    <row r="693" spans="1:17" x14ac:dyDescent="0.4">
      <c r="A693">
        <v>20210817</v>
      </c>
      <c r="B693" s="1">
        <v>0.89583333333333337</v>
      </c>
      <c r="C693">
        <v>13412</v>
      </c>
      <c r="D693">
        <v>-14136</v>
      </c>
      <c r="E693">
        <v>90070</v>
      </c>
      <c r="F693">
        <v>-55377</v>
      </c>
      <c r="G693">
        <v>-23993</v>
      </c>
      <c r="H693">
        <v>129876</v>
      </c>
      <c r="I693">
        <v>96445</v>
      </c>
      <c r="J693">
        <v>12959</v>
      </c>
      <c r="K693">
        <v>28057</v>
      </c>
      <c r="L693">
        <v>-22084</v>
      </c>
      <c r="M693">
        <v>6.78</v>
      </c>
      <c r="N693">
        <v>255229</v>
      </c>
      <c r="O693">
        <v>22763450</v>
      </c>
      <c r="P693" s="2">
        <v>1.1212228374872877</v>
      </c>
      <c r="Q693" s="4">
        <v>15.4336191</v>
      </c>
    </row>
    <row r="694" spans="1:17" x14ac:dyDescent="0.4">
      <c r="A694">
        <v>20210817</v>
      </c>
      <c r="B694" s="1">
        <v>0.91666666666666663</v>
      </c>
      <c r="C694">
        <v>61571</v>
      </c>
      <c r="D694">
        <v>-115851</v>
      </c>
      <c r="E694">
        <v>54455</v>
      </c>
      <c r="F694">
        <v>-56120</v>
      </c>
      <c r="G694">
        <v>6866</v>
      </c>
      <c r="H694">
        <v>59437</v>
      </c>
      <c r="I694">
        <v>69547</v>
      </c>
      <c r="J694">
        <v>18603</v>
      </c>
      <c r="K694">
        <v>54075</v>
      </c>
      <c r="L694">
        <v>-37693</v>
      </c>
      <c r="M694">
        <v>6.63</v>
      </c>
      <c r="N694">
        <v>114890</v>
      </c>
      <c r="O694">
        <v>22183450</v>
      </c>
      <c r="P694" s="2">
        <v>0.51790862106660596</v>
      </c>
      <c r="Q694" s="4">
        <v>14.707627349999999</v>
      </c>
    </row>
    <row r="695" spans="1:17" x14ac:dyDescent="0.4">
      <c r="A695">
        <v>20210818</v>
      </c>
      <c r="B695" s="1">
        <v>0</v>
      </c>
      <c r="C695">
        <v>-8355</v>
      </c>
      <c r="D695">
        <v>218577</v>
      </c>
      <c r="E695">
        <v>-22299</v>
      </c>
      <c r="F695">
        <v>-193995</v>
      </c>
      <c r="G695">
        <v>11526</v>
      </c>
      <c r="H695">
        <v>133506</v>
      </c>
      <c r="I695">
        <v>12715</v>
      </c>
      <c r="J695">
        <v>-7418</v>
      </c>
      <c r="K695">
        <v>81669</v>
      </c>
      <c r="L695">
        <v>-25044</v>
      </c>
      <c r="M695">
        <v>6.02</v>
      </c>
      <c r="N695">
        <v>200882</v>
      </c>
      <c r="O695">
        <v>19220100</v>
      </c>
      <c r="P695" s="2">
        <v>1.0451662582400716</v>
      </c>
      <c r="Q695" s="4">
        <v>11.570500199999998</v>
      </c>
    </row>
    <row r="696" spans="1:17" x14ac:dyDescent="0.4">
      <c r="A696">
        <v>20210818</v>
      </c>
      <c r="B696" s="1">
        <v>2.0833333333333332E-2</v>
      </c>
      <c r="C696">
        <v>-1200</v>
      </c>
      <c r="D696">
        <v>163851</v>
      </c>
      <c r="E696">
        <v>60931</v>
      </c>
      <c r="F696">
        <v>-146517</v>
      </c>
      <c r="G696">
        <v>14253</v>
      </c>
      <c r="H696">
        <v>87478</v>
      </c>
      <c r="I696">
        <v>3228</v>
      </c>
      <c r="J696">
        <v>-15628</v>
      </c>
      <c r="K696">
        <v>70669</v>
      </c>
      <c r="L696">
        <v>-19763</v>
      </c>
      <c r="M696">
        <v>5.8</v>
      </c>
      <c r="N696">
        <v>217302</v>
      </c>
      <c r="O696">
        <v>20185800</v>
      </c>
      <c r="P696" s="2">
        <v>1.076509229260173</v>
      </c>
      <c r="Q696" s="4">
        <v>11.707763999999999</v>
      </c>
    </row>
    <row r="697" spans="1:17" x14ac:dyDescent="0.4">
      <c r="A697">
        <v>20210818</v>
      </c>
      <c r="B697" s="1">
        <v>4.1666666666666664E-2</v>
      </c>
      <c r="C697">
        <v>-8272</v>
      </c>
      <c r="D697">
        <v>187295</v>
      </c>
      <c r="E697">
        <v>-35948</v>
      </c>
      <c r="F697">
        <v>-205375</v>
      </c>
      <c r="G697">
        <v>39060</v>
      </c>
      <c r="H697">
        <v>51638</v>
      </c>
      <c r="I697">
        <v>10638</v>
      </c>
      <c r="J697">
        <v>-12068</v>
      </c>
      <c r="K697">
        <v>8005</v>
      </c>
      <c r="L697">
        <v>-17683</v>
      </c>
      <c r="M697">
        <v>5.8</v>
      </c>
      <c r="N697">
        <v>17290</v>
      </c>
      <c r="O697">
        <v>19837750</v>
      </c>
      <c r="P697" s="2">
        <v>8.7157061662738969E-2</v>
      </c>
      <c r="Q697" s="4">
        <v>11.505895000000001</v>
      </c>
    </row>
    <row r="698" spans="1:17" x14ac:dyDescent="0.4">
      <c r="A698">
        <v>20210818</v>
      </c>
      <c r="B698" s="1">
        <v>6.25E-2</v>
      </c>
      <c r="C698">
        <v>-20152</v>
      </c>
      <c r="D698">
        <v>206892</v>
      </c>
      <c r="E698">
        <v>-56587</v>
      </c>
      <c r="F698">
        <v>-129773</v>
      </c>
      <c r="G698">
        <v>35146</v>
      </c>
      <c r="H698">
        <v>130011</v>
      </c>
      <c r="I698">
        <v>-26342</v>
      </c>
      <c r="J698">
        <v>-12857</v>
      </c>
      <c r="K698">
        <v>-12114</v>
      </c>
      <c r="L698">
        <v>-21979</v>
      </c>
      <c r="M698">
        <v>5.72</v>
      </c>
      <c r="N698">
        <v>92245</v>
      </c>
      <c r="O698">
        <v>19709500</v>
      </c>
      <c r="P698" s="2">
        <v>0.46802303457723432</v>
      </c>
      <c r="Q698" s="4">
        <v>11.273834000000001</v>
      </c>
    </row>
    <row r="699" spans="1:17" x14ac:dyDescent="0.4">
      <c r="A699">
        <v>20210818</v>
      </c>
      <c r="B699" s="1">
        <v>0.20833333333333334</v>
      </c>
      <c r="C699">
        <v>-42743</v>
      </c>
      <c r="D699">
        <v>183929</v>
      </c>
      <c r="E699">
        <v>-51484</v>
      </c>
      <c r="F699">
        <v>-82383</v>
      </c>
      <c r="G699">
        <v>-18062</v>
      </c>
      <c r="H699">
        <v>101229</v>
      </c>
      <c r="I699">
        <v>97160</v>
      </c>
      <c r="J699">
        <v>-53267</v>
      </c>
      <c r="K699">
        <v>-89765</v>
      </c>
      <c r="L699">
        <v>-11737</v>
      </c>
      <c r="M699">
        <v>5.98</v>
      </c>
      <c r="N699">
        <v>32877</v>
      </c>
      <c r="O699">
        <v>20271850</v>
      </c>
      <c r="P699" s="2">
        <v>0.16218056072830059</v>
      </c>
      <c r="Q699" s="4">
        <v>12.122566300000001</v>
      </c>
    </row>
    <row r="700" spans="1:17" x14ac:dyDescent="0.4">
      <c r="A700">
        <v>20210818</v>
      </c>
      <c r="B700" s="1">
        <v>0.25</v>
      </c>
      <c r="C700">
        <v>-66115</v>
      </c>
      <c r="D700">
        <v>209525</v>
      </c>
      <c r="E700">
        <v>361929</v>
      </c>
      <c r="F700">
        <v>-103629</v>
      </c>
      <c r="G700">
        <v>-17572</v>
      </c>
      <c r="H700">
        <v>-93573</v>
      </c>
      <c r="I700">
        <v>28473</v>
      </c>
      <c r="J700">
        <v>-48338</v>
      </c>
      <c r="K700">
        <v>-88141</v>
      </c>
      <c r="L700">
        <v>-15290</v>
      </c>
      <c r="M700">
        <v>5.98</v>
      </c>
      <c r="N700">
        <v>167269</v>
      </c>
      <c r="O700">
        <v>20765450</v>
      </c>
      <c r="P700" s="2">
        <v>0.80551589298570458</v>
      </c>
      <c r="Q700" s="4">
        <v>12.417739100000002</v>
      </c>
    </row>
    <row r="701" spans="1:17" x14ac:dyDescent="0.4">
      <c r="A701">
        <v>20210818</v>
      </c>
      <c r="B701" s="1">
        <v>0.27083333333333331</v>
      </c>
      <c r="C701">
        <v>-28979</v>
      </c>
      <c r="D701">
        <v>148958</v>
      </c>
      <c r="E701">
        <v>344426</v>
      </c>
      <c r="F701">
        <v>-42912</v>
      </c>
      <c r="G701">
        <v>-10756</v>
      </c>
      <c r="H701">
        <v>-116015</v>
      </c>
      <c r="I701">
        <v>41630</v>
      </c>
      <c r="J701">
        <v>-50964</v>
      </c>
      <c r="K701">
        <v>-211933</v>
      </c>
      <c r="L701">
        <v>-24435</v>
      </c>
      <c r="M701">
        <v>6</v>
      </c>
      <c r="N701">
        <v>49020</v>
      </c>
      <c r="O701">
        <v>21098000</v>
      </c>
      <c r="P701" s="2">
        <v>0.23234429803772869</v>
      </c>
      <c r="Q701" s="4">
        <v>12.658799999999999</v>
      </c>
    </row>
    <row r="702" spans="1:17" x14ac:dyDescent="0.4">
      <c r="A702">
        <v>20210818</v>
      </c>
      <c r="B702" s="1">
        <v>0.58333333333333337</v>
      </c>
      <c r="C702">
        <v>25928</v>
      </c>
      <c r="D702">
        <v>202157</v>
      </c>
      <c r="E702">
        <v>60872</v>
      </c>
      <c r="F702">
        <v>7510</v>
      </c>
      <c r="G702">
        <v>-117387</v>
      </c>
      <c r="H702">
        <v>852060</v>
      </c>
      <c r="I702">
        <v>-145087</v>
      </c>
      <c r="J702">
        <v>-133143</v>
      </c>
      <c r="K702">
        <v>-691610</v>
      </c>
      <c r="L702">
        <v>-29602</v>
      </c>
      <c r="M702">
        <v>8.39</v>
      </c>
      <c r="N702">
        <v>31698</v>
      </c>
      <c r="O702">
        <v>23952000</v>
      </c>
      <c r="P702" s="2">
        <v>0.13233967935871743</v>
      </c>
      <c r="Q702" s="4">
        <v>20.095728000000001</v>
      </c>
    </row>
    <row r="703" spans="1:17" x14ac:dyDescent="0.4">
      <c r="A703">
        <v>20210818</v>
      </c>
      <c r="B703" s="1">
        <v>0.60416666666666663</v>
      </c>
      <c r="C703">
        <v>41600</v>
      </c>
      <c r="D703">
        <v>266385</v>
      </c>
      <c r="E703">
        <v>149456</v>
      </c>
      <c r="F703">
        <v>-21755</v>
      </c>
      <c r="G703">
        <v>-95131</v>
      </c>
      <c r="H703">
        <v>939337</v>
      </c>
      <c r="I703">
        <v>14325</v>
      </c>
      <c r="J703">
        <v>-109847</v>
      </c>
      <c r="K703">
        <v>-489742</v>
      </c>
      <c r="L703">
        <v>-14675</v>
      </c>
      <c r="M703">
        <v>8.41</v>
      </c>
      <c r="N703">
        <v>679953</v>
      </c>
      <c r="O703">
        <v>23512800</v>
      </c>
      <c r="P703" s="2">
        <v>2.8918418903746046</v>
      </c>
      <c r="Q703" s="4">
        <v>19.774264800000001</v>
      </c>
    </row>
    <row r="704" spans="1:17" x14ac:dyDescent="0.4">
      <c r="A704">
        <v>20210818</v>
      </c>
      <c r="B704" s="1">
        <v>0.625</v>
      </c>
      <c r="C704">
        <v>5182</v>
      </c>
      <c r="D704">
        <v>283685</v>
      </c>
      <c r="E704">
        <v>201434</v>
      </c>
      <c r="F704">
        <v>146511</v>
      </c>
      <c r="G704">
        <v>-40642</v>
      </c>
      <c r="H704">
        <v>723828</v>
      </c>
      <c r="I704">
        <v>142249</v>
      </c>
      <c r="J704">
        <v>-50771</v>
      </c>
      <c r="K704">
        <v>-330433</v>
      </c>
      <c r="L704">
        <v>2706</v>
      </c>
      <c r="M704">
        <v>8.41</v>
      </c>
      <c r="N704">
        <v>1083749</v>
      </c>
      <c r="O704">
        <v>23180350</v>
      </c>
      <c r="P704" s="2">
        <v>4.6752917880877556</v>
      </c>
      <c r="Q704" s="4">
        <v>19.49467435</v>
      </c>
    </row>
    <row r="705" spans="1:17" x14ac:dyDescent="0.4">
      <c r="A705">
        <v>20210818</v>
      </c>
      <c r="B705" s="1">
        <v>0.64583333333333337</v>
      </c>
      <c r="C705">
        <v>7610</v>
      </c>
      <c r="D705">
        <v>355188</v>
      </c>
      <c r="E705">
        <v>26598</v>
      </c>
      <c r="F705">
        <v>228340</v>
      </c>
      <c r="G705">
        <v>-32870</v>
      </c>
      <c r="H705">
        <v>525493</v>
      </c>
      <c r="I705">
        <v>70355</v>
      </c>
      <c r="J705">
        <v>-16781</v>
      </c>
      <c r="K705">
        <v>-325125</v>
      </c>
      <c r="L705">
        <v>-664</v>
      </c>
      <c r="M705">
        <v>8.86</v>
      </c>
      <c r="N705">
        <v>838144</v>
      </c>
      <c r="O705">
        <v>22808000</v>
      </c>
      <c r="P705" s="2">
        <v>3.6747807786741493</v>
      </c>
      <c r="Q705" s="4">
        <v>20.207888000000001</v>
      </c>
    </row>
    <row r="706" spans="1:17" x14ac:dyDescent="0.4">
      <c r="A706">
        <v>20210818</v>
      </c>
      <c r="B706" s="1">
        <v>0.66666666666666663</v>
      </c>
      <c r="C706">
        <v>15668</v>
      </c>
      <c r="D706">
        <v>332769</v>
      </c>
      <c r="E706">
        <v>882411</v>
      </c>
      <c r="F706">
        <v>310230</v>
      </c>
      <c r="G706">
        <v>-29602</v>
      </c>
      <c r="H706">
        <v>162842</v>
      </c>
      <c r="I706">
        <v>347393</v>
      </c>
      <c r="J706">
        <v>43902</v>
      </c>
      <c r="K706">
        <v>-447539</v>
      </c>
      <c r="L706">
        <v>12985</v>
      </c>
      <c r="M706">
        <v>9.57</v>
      </c>
      <c r="N706">
        <v>1631059</v>
      </c>
      <c r="O706">
        <v>23283850</v>
      </c>
      <c r="P706" s="2">
        <v>7.0051086912173028</v>
      </c>
      <c r="Q706" s="4">
        <v>22.282644449999999</v>
      </c>
    </row>
    <row r="707" spans="1:17" x14ac:dyDescent="0.4">
      <c r="A707">
        <v>20210818</v>
      </c>
      <c r="B707" s="1">
        <v>0.6875</v>
      </c>
      <c r="C707">
        <v>-33335</v>
      </c>
      <c r="D707">
        <v>270601</v>
      </c>
      <c r="E707">
        <v>435505</v>
      </c>
      <c r="F707">
        <v>339771</v>
      </c>
      <c r="G707">
        <v>-19818</v>
      </c>
      <c r="H707">
        <v>68638</v>
      </c>
      <c r="I707">
        <v>300780</v>
      </c>
      <c r="J707">
        <v>-7189</v>
      </c>
      <c r="K707">
        <v>-306276</v>
      </c>
      <c r="L707">
        <v>16890</v>
      </c>
      <c r="M707">
        <v>9.67</v>
      </c>
      <c r="N707">
        <v>1065567</v>
      </c>
      <c r="O707">
        <v>22955150</v>
      </c>
      <c r="P707" s="2">
        <v>4.6419518060217424</v>
      </c>
      <c r="Q707" s="4">
        <v>22.197630050000001</v>
      </c>
    </row>
    <row r="708" spans="1:17" x14ac:dyDescent="0.4">
      <c r="A708">
        <v>20210818</v>
      </c>
      <c r="B708" s="1">
        <v>0.70833333333333337</v>
      </c>
      <c r="C708">
        <v>-48315</v>
      </c>
      <c r="D708">
        <v>226347</v>
      </c>
      <c r="E708">
        <v>773207</v>
      </c>
      <c r="F708">
        <v>327497</v>
      </c>
      <c r="G708">
        <v>-6221</v>
      </c>
      <c r="H708">
        <v>74258</v>
      </c>
      <c r="I708">
        <v>201064</v>
      </c>
      <c r="J708">
        <v>-14236</v>
      </c>
      <c r="K708">
        <v>-109818</v>
      </c>
      <c r="L708">
        <v>16135</v>
      </c>
      <c r="M708">
        <v>9.57</v>
      </c>
      <c r="N708">
        <v>1439918</v>
      </c>
      <c r="O708">
        <v>22712150</v>
      </c>
      <c r="P708" s="2">
        <v>6.3398577413410884</v>
      </c>
      <c r="Q708" s="4">
        <v>21.73552755</v>
      </c>
    </row>
    <row r="709" spans="1:17" x14ac:dyDescent="0.4">
      <c r="A709">
        <v>20210818</v>
      </c>
      <c r="B709" s="1">
        <v>0.72916666666666663</v>
      </c>
      <c r="C709">
        <v>-74600</v>
      </c>
      <c r="D709">
        <v>198290</v>
      </c>
      <c r="E709">
        <v>695139</v>
      </c>
      <c r="F709">
        <v>237703</v>
      </c>
      <c r="G709">
        <v>-14334</v>
      </c>
      <c r="H709">
        <v>43004</v>
      </c>
      <c r="I709">
        <v>120606</v>
      </c>
      <c r="J709">
        <v>-45920</v>
      </c>
      <c r="K709">
        <v>53542</v>
      </c>
      <c r="L709">
        <v>13927</v>
      </c>
      <c r="M709">
        <v>9.6199999999999992</v>
      </c>
      <c r="N709">
        <v>1227357</v>
      </c>
      <c r="O709">
        <v>22538050</v>
      </c>
      <c r="P709" s="2">
        <v>5.4457106981304948</v>
      </c>
      <c r="Q709" s="4">
        <v>21.681604099999998</v>
      </c>
    </row>
    <row r="710" spans="1:17" x14ac:dyDescent="0.4">
      <c r="A710">
        <v>20210818</v>
      </c>
      <c r="B710" s="1">
        <v>0.75</v>
      </c>
      <c r="C710">
        <v>-81114</v>
      </c>
      <c r="D710">
        <v>334314</v>
      </c>
      <c r="E710">
        <v>762858</v>
      </c>
      <c r="F710">
        <v>100310</v>
      </c>
      <c r="G710">
        <v>-25633</v>
      </c>
      <c r="H710">
        <v>106324</v>
      </c>
      <c r="I710">
        <v>100143</v>
      </c>
      <c r="J710">
        <v>-34233</v>
      </c>
      <c r="K710">
        <v>90801</v>
      </c>
      <c r="L710">
        <v>15675</v>
      </c>
      <c r="M710">
        <v>9.57</v>
      </c>
      <c r="N710">
        <v>1369445</v>
      </c>
      <c r="O710">
        <v>22094000</v>
      </c>
      <c r="P710" s="2">
        <v>6.198266497691681</v>
      </c>
      <c r="Q710" s="4">
        <v>21.143958000000001</v>
      </c>
    </row>
    <row r="711" spans="1:17" x14ac:dyDescent="0.4">
      <c r="A711">
        <v>20210818</v>
      </c>
      <c r="B711" s="1">
        <v>0.77083333333333337</v>
      </c>
      <c r="C711">
        <v>-52246</v>
      </c>
      <c r="D711">
        <v>390401</v>
      </c>
      <c r="E711">
        <v>716978</v>
      </c>
      <c r="F711">
        <v>33860</v>
      </c>
      <c r="G711">
        <v>-17771</v>
      </c>
      <c r="H711">
        <v>26730</v>
      </c>
      <c r="I711">
        <v>60548</v>
      </c>
      <c r="J711">
        <v>-6005</v>
      </c>
      <c r="K711">
        <v>171914</v>
      </c>
      <c r="L711">
        <v>9318</v>
      </c>
      <c r="M711">
        <v>9.57</v>
      </c>
      <c r="N711">
        <v>1333727</v>
      </c>
      <c r="O711">
        <v>22176250</v>
      </c>
      <c r="P711" s="2">
        <v>6.0142134039794826</v>
      </c>
      <c r="Q711" s="4">
        <v>21.222671250000001</v>
      </c>
    </row>
    <row r="712" spans="1:17" x14ac:dyDescent="0.4">
      <c r="A712">
        <v>20210818</v>
      </c>
      <c r="B712" s="1">
        <v>0.79166666666666663</v>
      </c>
      <c r="C712">
        <v>17139</v>
      </c>
      <c r="D712">
        <v>375897</v>
      </c>
      <c r="E712">
        <v>747184</v>
      </c>
      <c r="F712">
        <v>37655</v>
      </c>
      <c r="G712">
        <v>-23625</v>
      </c>
      <c r="H712">
        <v>166610</v>
      </c>
      <c r="I712">
        <v>93688</v>
      </c>
      <c r="J712">
        <v>33400</v>
      </c>
      <c r="K712">
        <v>212191</v>
      </c>
      <c r="L712">
        <v>8156</v>
      </c>
      <c r="M712">
        <v>9.56</v>
      </c>
      <c r="N712">
        <v>1668295</v>
      </c>
      <c r="O712">
        <v>22032350</v>
      </c>
      <c r="P712" s="2">
        <v>7.5720247726638332</v>
      </c>
      <c r="Q712" s="4">
        <v>21.062926600000001</v>
      </c>
    </row>
    <row r="713" spans="1:17" x14ac:dyDescent="0.4">
      <c r="A713">
        <v>20210818</v>
      </c>
      <c r="B713" s="1">
        <v>0.8125</v>
      </c>
      <c r="C713">
        <v>-65617</v>
      </c>
      <c r="D713">
        <v>311197</v>
      </c>
      <c r="E713">
        <v>809447</v>
      </c>
      <c r="F713">
        <v>104368</v>
      </c>
      <c r="G713">
        <v>-10994</v>
      </c>
      <c r="H713">
        <v>221919</v>
      </c>
      <c r="I713">
        <v>119477</v>
      </c>
      <c r="J713">
        <v>50498</v>
      </c>
      <c r="K713">
        <v>171367</v>
      </c>
      <c r="L713">
        <v>12135</v>
      </c>
      <c r="M713">
        <v>9.25</v>
      </c>
      <c r="N713">
        <v>1723797</v>
      </c>
      <c r="O713">
        <v>21967550</v>
      </c>
      <c r="P713" s="2">
        <v>7.8470152565943856</v>
      </c>
      <c r="Q713" s="4">
        <v>20.319983749999999</v>
      </c>
    </row>
    <row r="714" spans="1:17" x14ac:dyDescent="0.4">
      <c r="A714">
        <v>20210818</v>
      </c>
      <c r="B714" s="1">
        <v>0.83333333333333337</v>
      </c>
      <c r="C714">
        <v>-58613</v>
      </c>
      <c r="D714">
        <v>408179</v>
      </c>
      <c r="E714">
        <v>465448</v>
      </c>
      <c r="F714">
        <v>113255</v>
      </c>
      <c r="G714">
        <v>21849</v>
      </c>
      <c r="H714">
        <v>132921</v>
      </c>
      <c r="I714">
        <v>145892</v>
      </c>
      <c r="J714">
        <v>51389</v>
      </c>
      <c r="K714">
        <v>228748</v>
      </c>
      <c r="L714">
        <v>11814</v>
      </c>
      <c r="M714">
        <v>8.86</v>
      </c>
      <c r="N714">
        <v>1520882</v>
      </c>
      <c r="O714">
        <v>21352750</v>
      </c>
      <c r="P714" s="2">
        <v>7.1226516490850127</v>
      </c>
      <c r="Q714" s="4">
        <v>18.918536499999998</v>
      </c>
    </row>
    <row r="715" spans="1:17" x14ac:dyDescent="0.4">
      <c r="A715">
        <v>20210818</v>
      </c>
      <c r="B715" s="1">
        <v>0.85416666666666663</v>
      </c>
      <c r="C715">
        <v>11281</v>
      </c>
      <c r="D715">
        <v>363147</v>
      </c>
      <c r="E715">
        <v>508641</v>
      </c>
      <c r="F715">
        <v>158074</v>
      </c>
      <c r="G715">
        <v>10076</v>
      </c>
      <c r="H715">
        <v>264454</v>
      </c>
      <c r="I715">
        <v>112619</v>
      </c>
      <c r="J715">
        <v>34720</v>
      </c>
      <c r="K715">
        <v>220633</v>
      </c>
      <c r="L715">
        <v>19521</v>
      </c>
      <c r="M715">
        <v>8.86</v>
      </c>
      <c r="N715">
        <v>1703166</v>
      </c>
      <c r="O715">
        <v>21433100</v>
      </c>
      <c r="P715" s="2">
        <v>7.946428654744297</v>
      </c>
      <c r="Q715" s="4">
        <v>18.989726600000001</v>
      </c>
    </row>
    <row r="716" spans="1:17" x14ac:dyDescent="0.4">
      <c r="A716">
        <v>20210818</v>
      </c>
      <c r="B716" s="1">
        <v>0.875</v>
      </c>
      <c r="C716">
        <v>-4497</v>
      </c>
      <c r="D716">
        <v>361295</v>
      </c>
      <c r="E716">
        <v>472501</v>
      </c>
      <c r="F716">
        <v>95564</v>
      </c>
      <c r="G716">
        <v>-21044</v>
      </c>
      <c r="H716">
        <v>293463</v>
      </c>
      <c r="I716">
        <v>88490</v>
      </c>
      <c r="J716">
        <v>42396</v>
      </c>
      <c r="K716">
        <v>254288</v>
      </c>
      <c r="L716">
        <v>18935</v>
      </c>
      <c r="M716">
        <v>7.82</v>
      </c>
      <c r="N716">
        <v>1601391</v>
      </c>
      <c r="O716">
        <v>21396550</v>
      </c>
      <c r="P716" s="2">
        <v>7.4843421018809106</v>
      </c>
      <c r="Q716" s="4">
        <v>16.732102099999999</v>
      </c>
    </row>
    <row r="717" spans="1:17" x14ac:dyDescent="0.4">
      <c r="A717">
        <v>20210818</v>
      </c>
      <c r="B717" s="1">
        <v>0.89583333333333337</v>
      </c>
      <c r="C717">
        <v>-44087</v>
      </c>
      <c r="D717">
        <v>318941</v>
      </c>
      <c r="E717">
        <v>389444</v>
      </c>
      <c r="F717">
        <v>124936</v>
      </c>
      <c r="G717">
        <v>-3969</v>
      </c>
      <c r="H717">
        <v>237212</v>
      </c>
      <c r="I717">
        <v>102049</v>
      </c>
      <c r="J717">
        <v>36332</v>
      </c>
      <c r="K717">
        <v>234342</v>
      </c>
      <c r="L717">
        <v>25522</v>
      </c>
      <c r="M717">
        <v>7.42</v>
      </c>
      <c r="N717">
        <v>1420722</v>
      </c>
      <c r="O717">
        <v>21367500</v>
      </c>
      <c r="P717" s="2">
        <v>6.6489856089856092</v>
      </c>
      <c r="Q717" s="4">
        <v>15.854685</v>
      </c>
    </row>
    <row r="718" spans="1:17" x14ac:dyDescent="0.4">
      <c r="A718">
        <v>20210818</v>
      </c>
      <c r="B718" s="1">
        <v>0.91666666666666663</v>
      </c>
      <c r="C718">
        <v>-79178</v>
      </c>
      <c r="D718">
        <v>346153</v>
      </c>
      <c r="E718">
        <v>342811</v>
      </c>
      <c r="F718">
        <v>99776</v>
      </c>
      <c r="G718">
        <v>-1486</v>
      </c>
      <c r="H718">
        <v>140708</v>
      </c>
      <c r="I718">
        <v>65341</v>
      </c>
      <c r="J718">
        <v>33611</v>
      </c>
      <c r="K718">
        <v>171412</v>
      </c>
      <c r="L718">
        <v>12441</v>
      </c>
      <c r="M718">
        <v>7.09</v>
      </c>
      <c r="N718">
        <v>1131589</v>
      </c>
      <c r="O718">
        <v>20935500</v>
      </c>
      <c r="P718" s="2">
        <v>5.4051204891213489</v>
      </c>
      <c r="Q718" s="4">
        <v>14.8432695</v>
      </c>
    </row>
    <row r="719" spans="1:17" x14ac:dyDescent="0.4">
      <c r="A719">
        <v>20210818</v>
      </c>
      <c r="B719" s="1">
        <v>0.9375</v>
      </c>
      <c r="C719">
        <v>-45959</v>
      </c>
      <c r="D719">
        <v>243174</v>
      </c>
      <c r="E719">
        <v>549776</v>
      </c>
      <c r="F719">
        <v>62213</v>
      </c>
      <c r="G719">
        <v>14659</v>
      </c>
      <c r="H719">
        <v>149959</v>
      </c>
      <c r="I719">
        <v>53767</v>
      </c>
      <c r="J719">
        <v>42927</v>
      </c>
      <c r="K719">
        <v>112518</v>
      </c>
      <c r="L719">
        <v>15388</v>
      </c>
      <c r="M719">
        <v>7.03</v>
      </c>
      <c r="N719">
        <v>1198422</v>
      </c>
      <c r="O719">
        <v>20754800</v>
      </c>
      <c r="P719" s="2">
        <v>5.7741919941411144</v>
      </c>
      <c r="Q719" s="4">
        <v>14.590624399999999</v>
      </c>
    </row>
    <row r="720" spans="1:17" x14ac:dyDescent="0.4">
      <c r="A720">
        <v>20210818</v>
      </c>
      <c r="B720" s="1">
        <v>0.95833333333333337</v>
      </c>
      <c r="C720">
        <v>-75637</v>
      </c>
      <c r="D720">
        <v>194655</v>
      </c>
      <c r="E720">
        <v>319306</v>
      </c>
      <c r="F720">
        <v>59866</v>
      </c>
      <c r="G720">
        <v>9490</v>
      </c>
      <c r="H720">
        <v>126201</v>
      </c>
      <c r="I720">
        <v>69654</v>
      </c>
      <c r="J720">
        <v>37258</v>
      </c>
      <c r="K720">
        <v>121485</v>
      </c>
      <c r="L720">
        <v>18008</v>
      </c>
      <c r="M720">
        <v>6.72</v>
      </c>
      <c r="N720">
        <v>880286</v>
      </c>
      <c r="O720">
        <v>20613850</v>
      </c>
      <c r="P720" s="2">
        <v>4.2703619168665723</v>
      </c>
      <c r="Q720" s="4">
        <v>13.8525072</v>
      </c>
    </row>
    <row r="721" spans="1:17" x14ac:dyDescent="0.4">
      <c r="A721">
        <v>20210818</v>
      </c>
      <c r="B721" s="1">
        <v>0.97916666666666663</v>
      </c>
      <c r="C721">
        <v>-60892</v>
      </c>
      <c r="D721">
        <v>236685</v>
      </c>
      <c r="E721">
        <v>474160</v>
      </c>
      <c r="F721">
        <v>32494</v>
      </c>
      <c r="G721">
        <v>3170</v>
      </c>
      <c r="H721">
        <v>135288</v>
      </c>
      <c r="I721">
        <v>154066</v>
      </c>
      <c r="J721">
        <v>51245</v>
      </c>
      <c r="K721">
        <v>125757</v>
      </c>
      <c r="L721">
        <v>20458</v>
      </c>
      <c r="M721">
        <v>6.46</v>
      </c>
      <c r="N721">
        <v>1172431</v>
      </c>
      <c r="O721">
        <v>19489150</v>
      </c>
      <c r="P721" s="2">
        <v>6.0158139272364366</v>
      </c>
      <c r="Q721" s="4">
        <v>12.5899909</v>
      </c>
    </row>
    <row r="722" spans="1:17" x14ac:dyDescent="0.4">
      <c r="A722">
        <v>20210819</v>
      </c>
      <c r="B722" s="1">
        <v>0</v>
      </c>
      <c r="C722">
        <v>-59653</v>
      </c>
      <c r="D722">
        <v>146803</v>
      </c>
      <c r="E722">
        <v>343182</v>
      </c>
      <c r="F722">
        <v>23260</v>
      </c>
      <c r="G722">
        <v>39237</v>
      </c>
      <c r="H722">
        <v>243013</v>
      </c>
      <c r="I722">
        <v>73276</v>
      </c>
      <c r="J722">
        <v>45783</v>
      </c>
      <c r="K722">
        <v>132793</v>
      </c>
      <c r="L722">
        <v>14942</v>
      </c>
      <c r="M722">
        <v>6.26</v>
      </c>
      <c r="N722">
        <v>1002636</v>
      </c>
      <c r="O722">
        <v>18776450</v>
      </c>
      <c r="P722" s="2">
        <v>5.3398592385674606</v>
      </c>
      <c r="Q722" s="4">
        <v>11.754057700000001</v>
      </c>
    </row>
    <row r="723" spans="1:17" x14ac:dyDescent="0.4">
      <c r="A723">
        <v>20210819</v>
      </c>
      <c r="B723" s="1">
        <v>2.0833333333333332E-2</v>
      </c>
      <c r="C723">
        <v>-36612</v>
      </c>
      <c r="D723">
        <v>177396</v>
      </c>
      <c r="E723">
        <v>387256</v>
      </c>
      <c r="F723">
        <v>60068</v>
      </c>
      <c r="G723">
        <v>23565</v>
      </c>
      <c r="H723">
        <v>241315</v>
      </c>
      <c r="I723">
        <v>59386</v>
      </c>
      <c r="J723">
        <v>35087</v>
      </c>
      <c r="K723">
        <v>138532</v>
      </c>
      <c r="L723">
        <v>13772</v>
      </c>
      <c r="M723">
        <v>6.26</v>
      </c>
      <c r="N723">
        <v>1099765</v>
      </c>
      <c r="O723">
        <v>19593800</v>
      </c>
      <c r="P723" s="2">
        <v>5.6128214026886054</v>
      </c>
      <c r="Q723" s="4">
        <v>12.2657188</v>
      </c>
    </row>
    <row r="724" spans="1:17" x14ac:dyDescent="0.4">
      <c r="A724">
        <v>20210819</v>
      </c>
      <c r="B724" s="1">
        <v>4.1666666666666664E-2</v>
      </c>
      <c r="C724">
        <v>-47883</v>
      </c>
      <c r="D724">
        <v>122819</v>
      </c>
      <c r="E724">
        <v>309128</v>
      </c>
      <c r="F724">
        <v>269341</v>
      </c>
      <c r="G724">
        <v>19585</v>
      </c>
      <c r="H724">
        <v>279029</v>
      </c>
      <c r="I724">
        <v>74879</v>
      </c>
      <c r="J724">
        <v>42936</v>
      </c>
      <c r="K724">
        <v>106738</v>
      </c>
      <c r="L724">
        <v>13656</v>
      </c>
      <c r="M724">
        <v>6.37</v>
      </c>
      <c r="N724">
        <v>1190228</v>
      </c>
      <c r="O724">
        <v>19470000</v>
      </c>
      <c r="P724" s="2">
        <v>6.1131381612737545</v>
      </c>
      <c r="Q724" s="4">
        <v>12.40239</v>
      </c>
    </row>
    <row r="725" spans="1:17" x14ac:dyDescent="0.4">
      <c r="A725">
        <v>20210819</v>
      </c>
      <c r="B725" s="1">
        <v>6.25E-2</v>
      </c>
      <c r="C725">
        <v>-52371</v>
      </c>
      <c r="D725">
        <v>145126</v>
      </c>
      <c r="E725">
        <v>358651</v>
      </c>
      <c r="F725">
        <v>216558</v>
      </c>
      <c r="G725">
        <v>8162</v>
      </c>
      <c r="H725">
        <v>248227</v>
      </c>
      <c r="I725">
        <v>37003</v>
      </c>
      <c r="J725">
        <v>19876</v>
      </c>
      <c r="K725">
        <v>61953</v>
      </c>
      <c r="L725">
        <v>8386</v>
      </c>
      <c r="M725">
        <v>6.19</v>
      </c>
      <c r="N725">
        <v>1051571</v>
      </c>
      <c r="O725">
        <v>19354250</v>
      </c>
      <c r="P725" s="2">
        <v>5.4332820956637429</v>
      </c>
      <c r="Q725" s="4">
        <v>11.980280750000002</v>
      </c>
    </row>
    <row r="726" spans="1:17" x14ac:dyDescent="0.4">
      <c r="A726">
        <v>20210819</v>
      </c>
      <c r="B726" s="1">
        <v>8.3333333333333329E-2</v>
      </c>
      <c r="C726">
        <v>-63991</v>
      </c>
      <c r="D726">
        <v>128840</v>
      </c>
      <c r="E726">
        <v>305583</v>
      </c>
      <c r="F726">
        <v>272318</v>
      </c>
      <c r="G726">
        <v>19520</v>
      </c>
      <c r="H726">
        <v>263469</v>
      </c>
      <c r="I726">
        <v>37778</v>
      </c>
      <c r="J726">
        <v>40892</v>
      </c>
      <c r="K726">
        <v>25752</v>
      </c>
      <c r="L726">
        <v>18734</v>
      </c>
      <c r="M726">
        <v>6.13</v>
      </c>
      <c r="N726">
        <v>1048895</v>
      </c>
      <c r="O726">
        <v>19387850</v>
      </c>
      <c r="P726" s="2">
        <v>5.4100635191627751</v>
      </c>
      <c r="Q726" s="4">
        <v>11.884752049999999</v>
      </c>
    </row>
    <row r="727" spans="1:17" x14ac:dyDescent="0.4">
      <c r="A727">
        <v>20210819</v>
      </c>
      <c r="B727" s="1">
        <v>0.10416666666666667</v>
      </c>
      <c r="C727">
        <v>-54888</v>
      </c>
      <c r="D727">
        <v>143961</v>
      </c>
      <c r="E727">
        <v>318163</v>
      </c>
      <c r="F727">
        <v>269573</v>
      </c>
      <c r="G727">
        <v>12473</v>
      </c>
      <c r="H727">
        <v>255391</v>
      </c>
      <c r="I727">
        <v>68683</v>
      </c>
      <c r="J727">
        <v>30288</v>
      </c>
      <c r="K727">
        <v>-15606</v>
      </c>
      <c r="L727">
        <v>3288</v>
      </c>
      <c r="M727">
        <v>6.19</v>
      </c>
      <c r="N727">
        <v>1031326</v>
      </c>
      <c r="O727">
        <v>19433250</v>
      </c>
      <c r="P727" s="2">
        <v>5.3070176115678027</v>
      </c>
      <c r="Q727" s="4">
        <v>12.029181750000001</v>
      </c>
    </row>
    <row r="728" spans="1:17" x14ac:dyDescent="0.4">
      <c r="A728">
        <v>20210819</v>
      </c>
      <c r="B728" s="1">
        <v>0.125</v>
      </c>
      <c r="C728">
        <v>-52289</v>
      </c>
      <c r="D728">
        <v>95981</v>
      </c>
      <c r="E728">
        <v>247585</v>
      </c>
      <c r="F728">
        <v>191933</v>
      </c>
      <c r="G728">
        <v>-8019</v>
      </c>
      <c r="H728">
        <v>347527</v>
      </c>
      <c r="I728">
        <v>-14482</v>
      </c>
      <c r="J728">
        <v>28653</v>
      </c>
      <c r="K728">
        <v>59882</v>
      </c>
      <c r="L728">
        <v>13815</v>
      </c>
      <c r="M728">
        <v>6.63</v>
      </c>
      <c r="N728">
        <v>910586</v>
      </c>
      <c r="O728">
        <v>19326650</v>
      </c>
      <c r="P728" s="2">
        <v>4.7115563224873425</v>
      </c>
      <c r="Q728" s="4">
        <v>12.813568950000001</v>
      </c>
    </row>
    <row r="729" spans="1:17" x14ac:dyDescent="0.4">
      <c r="A729">
        <v>20210819</v>
      </c>
      <c r="B729" s="1">
        <v>0.14583333333333334</v>
      </c>
      <c r="C729">
        <v>-70855</v>
      </c>
      <c r="D729">
        <v>149714</v>
      </c>
      <c r="E729">
        <v>247375</v>
      </c>
      <c r="F729">
        <v>199558</v>
      </c>
      <c r="G729">
        <v>-14781</v>
      </c>
      <c r="H729">
        <v>367711</v>
      </c>
      <c r="I729">
        <v>1641</v>
      </c>
      <c r="J729">
        <v>10897</v>
      </c>
      <c r="K729">
        <v>24065</v>
      </c>
      <c r="L729">
        <v>8294</v>
      </c>
      <c r="M729">
        <v>6.69</v>
      </c>
      <c r="N729">
        <v>923619</v>
      </c>
      <c r="O729">
        <v>19435250</v>
      </c>
      <c r="P729" s="2">
        <v>4.7522877246240727</v>
      </c>
      <c r="Q729" s="4">
        <v>13.002182250000001</v>
      </c>
    </row>
    <row r="730" spans="1:17" x14ac:dyDescent="0.4">
      <c r="A730">
        <v>20210819</v>
      </c>
      <c r="B730" s="1">
        <v>0.16666666666666666</v>
      </c>
      <c r="C730">
        <v>-95855</v>
      </c>
      <c r="D730">
        <v>74873</v>
      </c>
      <c r="E730">
        <v>222887</v>
      </c>
      <c r="F730">
        <v>175323</v>
      </c>
      <c r="G730">
        <v>-4360</v>
      </c>
      <c r="H730">
        <v>313826</v>
      </c>
      <c r="I730">
        <v>-38076</v>
      </c>
      <c r="J730">
        <v>-11859</v>
      </c>
      <c r="K730">
        <v>45792</v>
      </c>
      <c r="L730">
        <v>14715</v>
      </c>
      <c r="M730">
        <v>6.57</v>
      </c>
      <c r="N730">
        <v>697266</v>
      </c>
      <c r="O730">
        <v>19611300</v>
      </c>
      <c r="P730" s="2">
        <v>3.5554297777301862</v>
      </c>
      <c r="Q730" s="4">
        <v>12.8846241</v>
      </c>
    </row>
    <row r="731" spans="1:17" x14ac:dyDescent="0.4">
      <c r="A731">
        <v>20210819</v>
      </c>
      <c r="B731" s="1">
        <v>0.1875</v>
      </c>
      <c r="C731">
        <v>-64728</v>
      </c>
      <c r="D731">
        <v>54542</v>
      </c>
      <c r="E731">
        <v>226672</v>
      </c>
      <c r="F731">
        <v>124766</v>
      </c>
      <c r="G731">
        <v>19078</v>
      </c>
      <c r="H731">
        <v>286742</v>
      </c>
      <c r="I731">
        <v>-110078</v>
      </c>
      <c r="J731">
        <v>-10925</v>
      </c>
      <c r="K731">
        <v>83357</v>
      </c>
      <c r="L731">
        <v>5247</v>
      </c>
      <c r="M731">
        <v>6.48</v>
      </c>
      <c r="N731">
        <v>614673</v>
      </c>
      <c r="O731">
        <v>19678750</v>
      </c>
      <c r="P731" s="2">
        <v>3.1235368100107985</v>
      </c>
      <c r="Q731" s="4">
        <v>12.751830000000002</v>
      </c>
    </row>
    <row r="732" spans="1:17" x14ac:dyDescent="0.4">
      <c r="A732">
        <v>20210819</v>
      </c>
      <c r="B732" s="1">
        <v>0.20833333333333334</v>
      </c>
      <c r="C732">
        <v>-64632</v>
      </c>
      <c r="D732">
        <v>57440</v>
      </c>
      <c r="E732">
        <v>351611</v>
      </c>
      <c r="F732">
        <v>12211</v>
      </c>
      <c r="G732">
        <v>42975</v>
      </c>
      <c r="H732">
        <v>227454</v>
      </c>
      <c r="I732">
        <v>-116878</v>
      </c>
      <c r="J732">
        <v>-7314</v>
      </c>
      <c r="K732">
        <v>38501</v>
      </c>
      <c r="L732">
        <v>13575</v>
      </c>
      <c r="M732">
        <v>6.57</v>
      </c>
      <c r="N732">
        <v>554943</v>
      </c>
      <c r="O732">
        <v>19737400</v>
      </c>
      <c r="P732" s="2">
        <v>2.8116317245432527</v>
      </c>
      <c r="Q732" s="4">
        <v>12.9674718</v>
      </c>
    </row>
    <row r="733" spans="1:17" x14ac:dyDescent="0.4">
      <c r="A733">
        <v>20210819</v>
      </c>
      <c r="B733" s="1">
        <v>0.22916666666666666</v>
      </c>
      <c r="C733">
        <v>-56268</v>
      </c>
      <c r="D733">
        <v>105872</v>
      </c>
      <c r="E733">
        <v>442885</v>
      </c>
      <c r="F733">
        <v>110084</v>
      </c>
      <c r="G733">
        <v>26220</v>
      </c>
      <c r="H733">
        <v>300782</v>
      </c>
      <c r="I733">
        <v>-41333</v>
      </c>
      <c r="J733">
        <v>-1931</v>
      </c>
      <c r="K733">
        <v>82396</v>
      </c>
      <c r="L733">
        <v>2430</v>
      </c>
      <c r="M733">
        <v>6.48</v>
      </c>
      <c r="N733">
        <v>971137</v>
      </c>
      <c r="O733">
        <v>19835200</v>
      </c>
      <c r="P733" s="2">
        <v>4.896028272969267</v>
      </c>
      <c r="Q733" s="4">
        <v>12.853209600000001</v>
      </c>
    </row>
    <row r="734" spans="1:17" x14ac:dyDescent="0.4">
      <c r="A734">
        <v>20210819</v>
      </c>
      <c r="B734" s="1">
        <v>0.25</v>
      </c>
      <c r="C734">
        <v>386</v>
      </c>
      <c r="D734">
        <v>267473</v>
      </c>
      <c r="E734">
        <v>530826</v>
      </c>
      <c r="F734">
        <v>205353</v>
      </c>
      <c r="G734">
        <v>41958</v>
      </c>
      <c r="H734">
        <v>305836</v>
      </c>
      <c r="I734">
        <v>-50951</v>
      </c>
      <c r="J734">
        <v>11918</v>
      </c>
      <c r="K734">
        <v>98494</v>
      </c>
      <c r="L734">
        <v>6949</v>
      </c>
      <c r="M734">
        <v>6.37</v>
      </c>
      <c r="N734">
        <v>1418242</v>
      </c>
      <c r="O734">
        <v>20349300</v>
      </c>
      <c r="P734" s="2">
        <v>6.9694878939324694</v>
      </c>
      <c r="Q734" s="4">
        <v>12.9625041</v>
      </c>
    </row>
    <row r="735" spans="1:17" x14ac:dyDescent="0.4">
      <c r="A735">
        <v>20210819</v>
      </c>
      <c r="B735" s="1">
        <v>0.27083333333333331</v>
      </c>
      <c r="C735">
        <v>89054</v>
      </c>
      <c r="D735">
        <v>322895</v>
      </c>
      <c r="E735">
        <v>524582</v>
      </c>
      <c r="F735">
        <v>297059</v>
      </c>
      <c r="G735">
        <v>49812</v>
      </c>
      <c r="H735">
        <v>231470</v>
      </c>
      <c r="I735">
        <v>6121</v>
      </c>
      <c r="J735">
        <v>34405</v>
      </c>
      <c r="K735">
        <v>129843</v>
      </c>
      <c r="L735">
        <v>-9864</v>
      </c>
      <c r="M735">
        <v>6.37</v>
      </c>
      <c r="N735">
        <v>1675377</v>
      </c>
      <c r="O735">
        <v>20829300</v>
      </c>
      <c r="P735" s="2">
        <v>8.0433667958116697</v>
      </c>
      <c r="Q735" s="4">
        <v>13.2682641</v>
      </c>
    </row>
    <row r="736" spans="1:17" x14ac:dyDescent="0.4">
      <c r="A736">
        <v>20210819</v>
      </c>
      <c r="B736" s="1">
        <v>0.29166666666666669</v>
      </c>
      <c r="C736">
        <v>68178</v>
      </c>
      <c r="D736">
        <v>355979</v>
      </c>
      <c r="E736">
        <v>698227</v>
      </c>
      <c r="F736">
        <v>91708</v>
      </c>
      <c r="G736">
        <v>52319</v>
      </c>
      <c r="H736">
        <v>83006</v>
      </c>
      <c r="I736">
        <v>1078</v>
      </c>
      <c r="J736">
        <v>15317</v>
      </c>
      <c r="K736">
        <v>212842</v>
      </c>
      <c r="L736">
        <v>4917</v>
      </c>
      <c r="M736">
        <v>6.59</v>
      </c>
      <c r="N736">
        <v>1583571</v>
      </c>
      <c r="O736">
        <v>21828650</v>
      </c>
      <c r="P736" s="2">
        <v>7.2545530758887979</v>
      </c>
      <c r="Q736" s="4">
        <v>14.385080350000001</v>
      </c>
    </row>
    <row r="737" spans="1:17" x14ac:dyDescent="0.4">
      <c r="A737">
        <v>20210819</v>
      </c>
      <c r="B737" s="1">
        <v>0.3125</v>
      </c>
      <c r="C737">
        <v>108314</v>
      </c>
      <c r="D737">
        <v>317864</v>
      </c>
      <c r="E737">
        <v>777374</v>
      </c>
      <c r="F737">
        <v>-28915</v>
      </c>
      <c r="G737">
        <v>34290</v>
      </c>
      <c r="H737">
        <v>-67246</v>
      </c>
      <c r="I737">
        <v>82608</v>
      </c>
      <c r="J737">
        <v>18718</v>
      </c>
      <c r="K737">
        <v>386605</v>
      </c>
      <c r="L737">
        <v>-7687</v>
      </c>
      <c r="M737">
        <v>6.76</v>
      </c>
      <c r="N737">
        <v>1621925</v>
      </c>
      <c r="O737">
        <v>22113050</v>
      </c>
      <c r="P737" s="2">
        <v>7.3346960279111206</v>
      </c>
      <c r="Q737" s="4">
        <v>14.9484218</v>
      </c>
    </row>
    <row r="738" spans="1:17" x14ac:dyDescent="0.4">
      <c r="A738">
        <v>20210819</v>
      </c>
      <c r="B738" s="1">
        <v>0.33333333333333331</v>
      </c>
      <c r="C738">
        <v>83009</v>
      </c>
      <c r="D738">
        <v>170277</v>
      </c>
      <c r="E738">
        <v>806969</v>
      </c>
      <c r="F738">
        <v>-278121</v>
      </c>
      <c r="G738">
        <v>92470</v>
      </c>
      <c r="H738">
        <v>-240411</v>
      </c>
      <c r="I738">
        <v>-299133</v>
      </c>
      <c r="J738">
        <v>-207855</v>
      </c>
      <c r="K738">
        <v>574680</v>
      </c>
      <c r="L738">
        <v>5339</v>
      </c>
      <c r="M738">
        <v>6.96</v>
      </c>
      <c r="N738">
        <v>707224</v>
      </c>
      <c r="O738">
        <v>23271300</v>
      </c>
      <c r="P738" s="2">
        <v>3.0390395035945565</v>
      </c>
      <c r="Q738" s="4">
        <v>16.196824800000002</v>
      </c>
    </row>
    <row r="739" spans="1:17" x14ac:dyDescent="0.4">
      <c r="A739">
        <v>20210819</v>
      </c>
      <c r="B739" s="1">
        <v>0.35416666666666669</v>
      </c>
      <c r="C739">
        <v>19451</v>
      </c>
      <c r="D739">
        <v>85198</v>
      </c>
      <c r="E739">
        <v>170471</v>
      </c>
      <c r="F739">
        <v>-450713</v>
      </c>
      <c r="G739">
        <v>78549</v>
      </c>
      <c r="H739">
        <v>-124248</v>
      </c>
      <c r="I739">
        <v>-259725</v>
      </c>
      <c r="J739">
        <v>-151427</v>
      </c>
      <c r="K739">
        <v>756373</v>
      </c>
      <c r="L739">
        <v>-19336</v>
      </c>
      <c r="M739">
        <v>7.08</v>
      </c>
      <c r="N739">
        <v>104593</v>
      </c>
      <c r="O739">
        <v>24287100</v>
      </c>
      <c r="P739" s="2">
        <v>0.43065248629931113</v>
      </c>
      <c r="Q739" s="4">
        <v>17.195266799999999</v>
      </c>
    </row>
    <row r="740" spans="1:17" x14ac:dyDescent="0.4">
      <c r="A740">
        <v>20210819</v>
      </c>
      <c r="B740" s="1">
        <v>0.375</v>
      </c>
      <c r="C740">
        <v>106054</v>
      </c>
      <c r="D740">
        <v>202023</v>
      </c>
      <c r="E740">
        <v>416624</v>
      </c>
      <c r="F740">
        <v>-510294</v>
      </c>
      <c r="G740">
        <v>59655</v>
      </c>
      <c r="H740">
        <v>-541802</v>
      </c>
      <c r="I740">
        <v>-194808</v>
      </c>
      <c r="J740">
        <v>-173145</v>
      </c>
      <c r="K740">
        <v>713093</v>
      </c>
      <c r="L740">
        <v>-47373</v>
      </c>
      <c r="M740">
        <v>7.37</v>
      </c>
      <c r="N740">
        <v>30027</v>
      </c>
      <c r="O740">
        <v>24514300</v>
      </c>
      <c r="P740" s="2">
        <v>0.12248769085798901</v>
      </c>
      <c r="Q740" s="4">
        <v>18.067039099999999</v>
      </c>
    </row>
    <row r="741" spans="1:17" x14ac:dyDescent="0.4">
      <c r="A741">
        <v>20210819</v>
      </c>
      <c r="B741" s="1">
        <v>0.41666666666666669</v>
      </c>
      <c r="C741">
        <v>141604</v>
      </c>
      <c r="D741">
        <v>266259</v>
      </c>
      <c r="E741">
        <v>322982</v>
      </c>
      <c r="F741">
        <v>-654734</v>
      </c>
      <c r="G741">
        <v>-6459</v>
      </c>
      <c r="H741">
        <v>-803429</v>
      </c>
      <c r="I741">
        <v>142887</v>
      </c>
      <c r="J741">
        <v>-145432</v>
      </c>
      <c r="K741">
        <v>882601</v>
      </c>
      <c r="L741">
        <v>-56610</v>
      </c>
      <c r="M741">
        <v>7.31</v>
      </c>
      <c r="N741">
        <v>89669</v>
      </c>
      <c r="O741">
        <v>25061450</v>
      </c>
      <c r="P741" s="2">
        <v>0.35779653611423123</v>
      </c>
      <c r="Q741" s="4">
        <v>18.319919949999999</v>
      </c>
    </row>
    <row r="742" spans="1:17" x14ac:dyDescent="0.4">
      <c r="A742">
        <v>20210819</v>
      </c>
      <c r="B742" s="1">
        <v>0.47916666666666669</v>
      </c>
      <c r="C742">
        <v>88789</v>
      </c>
      <c r="D742">
        <v>328503</v>
      </c>
      <c r="E742">
        <v>21829</v>
      </c>
      <c r="F742">
        <v>-972041</v>
      </c>
      <c r="G742">
        <v>60968</v>
      </c>
      <c r="H742">
        <v>-691354</v>
      </c>
      <c r="I742">
        <v>316081</v>
      </c>
      <c r="J742">
        <v>-151161</v>
      </c>
      <c r="K742">
        <v>1043554</v>
      </c>
      <c r="L742">
        <v>-44118</v>
      </c>
      <c r="M742">
        <v>7.6</v>
      </c>
      <c r="N742">
        <v>1050</v>
      </c>
      <c r="O742">
        <v>25543650</v>
      </c>
      <c r="P742" s="2">
        <v>4.1106106605751334E-3</v>
      </c>
      <c r="Q742" s="4">
        <v>19.413174000000001</v>
      </c>
    </row>
    <row r="743" spans="1:17" x14ac:dyDescent="0.4">
      <c r="A743">
        <v>20210819</v>
      </c>
      <c r="B743" s="1">
        <v>0.5625</v>
      </c>
      <c r="C743">
        <v>93656</v>
      </c>
      <c r="D743">
        <v>268004</v>
      </c>
      <c r="E743">
        <v>-322440</v>
      </c>
      <c r="F743">
        <v>-1178455</v>
      </c>
      <c r="G743">
        <v>16899</v>
      </c>
      <c r="H743">
        <v>201865</v>
      </c>
      <c r="I743">
        <v>244966</v>
      </c>
      <c r="J743">
        <v>-141337</v>
      </c>
      <c r="K743">
        <v>1214517</v>
      </c>
      <c r="L743">
        <v>-5254</v>
      </c>
      <c r="M743">
        <v>8.86</v>
      </c>
      <c r="N743">
        <v>392421</v>
      </c>
      <c r="O743">
        <v>24630050</v>
      </c>
      <c r="P743" s="2">
        <v>1.5932610774237161</v>
      </c>
      <c r="Q743" s="4">
        <v>21.822224299999998</v>
      </c>
    </row>
    <row r="744" spans="1:17" x14ac:dyDescent="0.4">
      <c r="A744">
        <v>20210819</v>
      </c>
      <c r="B744" s="1">
        <v>0.58333333333333337</v>
      </c>
      <c r="C744">
        <v>91661</v>
      </c>
      <c r="D744">
        <v>240995</v>
      </c>
      <c r="E744">
        <v>-215547</v>
      </c>
      <c r="F744">
        <v>-251227</v>
      </c>
      <c r="G744">
        <v>17462</v>
      </c>
      <c r="H744">
        <v>284632</v>
      </c>
      <c r="I744">
        <v>124048</v>
      </c>
      <c r="J744">
        <v>-136069</v>
      </c>
      <c r="K744">
        <v>1288169</v>
      </c>
      <c r="L744">
        <v>-13763</v>
      </c>
      <c r="M744">
        <v>8.86</v>
      </c>
      <c r="N744">
        <v>1430361</v>
      </c>
      <c r="O744">
        <v>24438850</v>
      </c>
      <c r="P744" s="2">
        <v>5.8528163150066392</v>
      </c>
      <c r="Q744" s="4">
        <v>21.652821100000001</v>
      </c>
    </row>
    <row r="745" spans="1:17" x14ac:dyDescent="0.4">
      <c r="A745">
        <v>20210819</v>
      </c>
      <c r="B745" s="1">
        <v>0.60416666666666663</v>
      </c>
      <c r="C745">
        <v>144160</v>
      </c>
      <c r="D745">
        <v>261647</v>
      </c>
      <c r="E745">
        <v>-323982</v>
      </c>
      <c r="F745">
        <v>-38333</v>
      </c>
      <c r="G745">
        <v>42224</v>
      </c>
      <c r="H745">
        <v>429061</v>
      </c>
      <c r="I745">
        <v>98249</v>
      </c>
      <c r="J745">
        <v>-113508</v>
      </c>
      <c r="K745">
        <v>1218665</v>
      </c>
      <c r="L745">
        <v>-3472</v>
      </c>
      <c r="M745">
        <v>9.4700000000000006</v>
      </c>
      <c r="N745">
        <v>1714711</v>
      </c>
      <c r="O745">
        <v>24161500</v>
      </c>
      <c r="P745" s="2">
        <v>7.0968731245990524</v>
      </c>
      <c r="Q745" s="4">
        <v>22.880940500000001</v>
      </c>
    </row>
    <row r="746" spans="1:17" x14ac:dyDescent="0.4">
      <c r="A746">
        <v>20210819</v>
      </c>
      <c r="B746" s="1">
        <v>0.625</v>
      </c>
      <c r="C746">
        <v>114348</v>
      </c>
      <c r="D746">
        <v>117335</v>
      </c>
      <c r="E746">
        <v>-361145</v>
      </c>
      <c r="F746">
        <v>-296403</v>
      </c>
      <c r="G746">
        <v>77073</v>
      </c>
      <c r="H746">
        <v>492422</v>
      </c>
      <c r="I746">
        <v>78535</v>
      </c>
      <c r="J746">
        <v>-147802</v>
      </c>
      <c r="K746">
        <v>1059821</v>
      </c>
      <c r="L746">
        <v>24386</v>
      </c>
      <c r="M746">
        <v>9.2200000000000006</v>
      </c>
      <c r="N746">
        <v>1158570</v>
      </c>
      <c r="O746">
        <v>23774550</v>
      </c>
      <c r="P746" s="2">
        <v>4.8731521732272531</v>
      </c>
      <c r="Q746" s="4">
        <v>21.920135100000003</v>
      </c>
    </row>
    <row r="747" spans="1:17" x14ac:dyDescent="0.4">
      <c r="A747">
        <v>20210819</v>
      </c>
      <c r="B747" s="1">
        <v>0.64583333333333337</v>
      </c>
      <c r="C747">
        <v>101806</v>
      </c>
      <c r="D747">
        <v>143328</v>
      </c>
      <c r="E747">
        <v>-381563</v>
      </c>
      <c r="F747">
        <v>-112323</v>
      </c>
      <c r="G747">
        <v>107435</v>
      </c>
      <c r="H747">
        <v>527434</v>
      </c>
      <c r="I747">
        <v>-88619</v>
      </c>
      <c r="J747">
        <v>-206176</v>
      </c>
      <c r="K747">
        <v>884584</v>
      </c>
      <c r="L747">
        <v>25439</v>
      </c>
      <c r="M747">
        <v>9.64</v>
      </c>
      <c r="N747">
        <v>1001345</v>
      </c>
      <c r="O747">
        <v>23531150</v>
      </c>
      <c r="P747" s="2">
        <v>4.2554018821859536</v>
      </c>
      <c r="Q747" s="4">
        <v>22.684028600000001</v>
      </c>
    </row>
    <row r="748" spans="1:17" x14ac:dyDescent="0.4">
      <c r="A748">
        <v>20210819</v>
      </c>
      <c r="B748" s="1">
        <v>0.66666666666666663</v>
      </c>
      <c r="C748">
        <v>60063</v>
      </c>
      <c r="D748">
        <v>140441</v>
      </c>
      <c r="E748">
        <v>-44098</v>
      </c>
      <c r="F748">
        <v>87128</v>
      </c>
      <c r="G748">
        <v>72689</v>
      </c>
      <c r="H748">
        <v>473307</v>
      </c>
      <c r="I748">
        <v>333934</v>
      </c>
      <c r="J748">
        <v>-210342</v>
      </c>
      <c r="K748">
        <v>650692</v>
      </c>
      <c r="L748">
        <v>31010</v>
      </c>
      <c r="M748">
        <v>9.9700000000000006</v>
      </c>
      <c r="N748">
        <v>1594824</v>
      </c>
      <c r="O748">
        <v>23650050</v>
      </c>
      <c r="P748" s="2">
        <v>6.7434276037471381</v>
      </c>
      <c r="Q748" s="4">
        <v>23.579099850000002</v>
      </c>
    </row>
    <row r="749" spans="1:17" x14ac:dyDescent="0.4">
      <c r="A749">
        <v>20210819</v>
      </c>
      <c r="B749" s="1">
        <v>0.6875</v>
      </c>
      <c r="C749">
        <v>47007</v>
      </c>
      <c r="D749">
        <v>100279</v>
      </c>
      <c r="E749">
        <v>189865</v>
      </c>
      <c r="F749">
        <v>299386</v>
      </c>
      <c r="G749">
        <v>97137</v>
      </c>
      <c r="H749">
        <v>333586</v>
      </c>
      <c r="I749">
        <v>224595</v>
      </c>
      <c r="J749">
        <v>-169590</v>
      </c>
      <c r="K749">
        <v>396981</v>
      </c>
      <c r="L749">
        <v>41687</v>
      </c>
      <c r="M749">
        <v>9.9700000000000006</v>
      </c>
      <c r="N749">
        <v>1560933</v>
      </c>
      <c r="O749">
        <v>23213350</v>
      </c>
      <c r="P749" s="2">
        <v>6.7242901175401224</v>
      </c>
      <c r="Q749" s="4">
        <v>23.143709950000002</v>
      </c>
    </row>
    <row r="750" spans="1:17" x14ac:dyDescent="0.4">
      <c r="A750">
        <v>20210819</v>
      </c>
      <c r="B750" s="1">
        <v>0.70833333333333337</v>
      </c>
      <c r="C750">
        <v>-41363</v>
      </c>
      <c r="D750">
        <v>5051</v>
      </c>
      <c r="E750">
        <v>236262</v>
      </c>
      <c r="F750">
        <v>337268</v>
      </c>
      <c r="G750">
        <v>104652</v>
      </c>
      <c r="H750">
        <v>366184</v>
      </c>
      <c r="I750">
        <v>49366</v>
      </c>
      <c r="J750">
        <v>-132146</v>
      </c>
      <c r="K750">
        <v>212576</v>
      </c>
      <c r="L750">
        <v>57293</v>
      </c>
      <c r="M750">
        <v>9.9700000000000006</v>
      </c>
      <c r="N750">
        <v>1195143</v>
      </c>
      <c r="O750">
        <v>22908500</v>
      </c>
      <c r="P750" s="2">
        <v>5.2170286138332935</v>
      </c>
      <c r="Q750" s="4">
        <v>22.839774500000001</v>
      </c>
    </row>
    <row r="751" spans="1:17" x14ac:dyDescent="0.4">
      <c r="A751">
        <v>20210819</v>
      </c>
      <c r="B751" s="1">
        <v>0.72916666666666663</v>
      </c>
      <c r="C751">
        <v>-38913</v>
      </c>
      <c r="D751">
        <v>40575</v>
      </c>
      <c r="E751">
        <v>418213</v>
      </c>
      <c r="F751">
        <v>378202</v>
      </c>
      <c r="G751">
        <v>102803</v>
      </c>
      <c r="H751">
        <v>416341</v>
      </c>
      <c r="I751">
        <v>118179</v>
      </c>
      <c r="J751">
        <v>-89169</v>
      </c>
      <c r="K751">
        <v>-40897</v>
      </c>
      <c r="L751">
        <v>54339</v>
      </c>
      <c r="M751">
        <v>9.9700000000000006</v>
      </c>
      <c r="N751">
        <v>1359673</v>
      </c>
      <c r="O751">
        <v>22691000</v>
      </c>
      <c r="P751" s="2">
        <v>5.9921246309109337</v>
      </c>
      <c r="Q751" s="4">
        <v>22.622927000000001</v>
      </c>
    </row>
    <row r="752" spans="1:17" x14ac:dyDescent="0.4">
      <c r="A752">
        <v>20210819</v>
      </c>
      <c r="B752" s="1">
        <v>0.75</v>
      </c>
      <c r="C752">
        <v>-19508</v>
      </c>
      <c r="D752">
        <v>-154606</v>
      </c>
      <c r="E752">
        <v>574116</v>
      </c>
      <c r="F752">
        <v>374943</v>
      </c>
      <c r="G752">
        <v>100477</v>
      </c>
      <c r="H752">
        <v>596655</v>
      </c>
      <c r="I752">
        <v>178879</v>
      </c>
      <c r="J752">
        <v>-78634</v>
      </c>
      <c r="K752">
        <v>-3787</v>
      </c>
      <c r="L752">
        <v>52610</v>
      </c>
      <c r="M752">
        <v>9.9700000000000006</v>
      </c>
      <c r="N752">
        <v>1621145</v>
      </c>
      <c r="O752">
        <v>22616250</v>
      </c>
      <c r="P752" s="2">
        <v>7.1680539435140664</v>
      </c>
      <c r="Q752" s="4">
        <v>22.548401250000001</v>
      </c>
    </row>
    <row r="753" spans="1:17" x14ac:dyDescent="0.4">
      <c r="A753">
        <v>20210819</v>
      </c>
      <c r="B753" s="1">
        <v>0.77083333333333337</v>
      </c>
      <c r="C753">
        <v>-42019</v>
      </c>
      <c r="D753">
        <v>-79441</v>
      </c>
      <c r="E753">
        <v>510124</v>
      </c>
      <c r="F753">
        <v>255024</v>
      </c>
      <c r="G753">
        <v>93468</v>
      </c>
      <c r="H753">
        <v>766908</v>
      </c>
      <c r="I753">
        <v>89582</v>
      </c>
      <c r="J753">
        <v>-39755</v>
      </c>
      <c r="K753">
        <v>-95136</v>
      </c>
      <c r="L753">
        <v>43331</v>
      </c>
      <c r="M753">
        <v>9.9700000000000006</v>
      </c>
      <c r="N753">
        <v>1502086</v>
      </c>
      <c r="O753">
        <v>22703850</v>
      </c>
      <c r="P753" s="2">
        <v>6.615996846349848</v>
      </c>
      <c r="Q753" s="4">
        <v>22.635738450000002</v>
      </c>
    </row>
    <row r="754" spans="1:17" x14ac:dyDescent="0.4">
      <c r="A754">
        <v>20210819</v>
      </c>
      <c r="B754" s="1">
        <v>0.79166666666666663</v>
      </c>
      <c r="C754">
        <v>-38988</v>
      </c>
      <c r="D754">
        <v>-119149</v>
      </c>
      <c r="E754">
        <v>628230</v>
      </c>
      <c r="F754">
        <v>353906</v>
      </c>
      <c r="G754">
        <v>4884</v>
      </c>
      <c r="H754">
        <v>696107</v>
      </c>
      <c r="I754">
        <v>53658</v>
      </c>
      <c r="J754">
        <v>-521</v>
      </c>
      <c r="K754">
        <v>-5415</v>
      </c>
      <c r="L754">
        <v>39018</v>
      </c>
      <c r="M754">
        <v>9.81</v>
      </c>
      <c r="N754">
        <v>1611730</v>
      </c>
      <c r="O754">
        <v>22445400</v>
      </c>
      <c r="P754" s="2">
        <v>7.1806695358514441</v>
      </c>
      <c r="Q754" s="4">
        <v>22.018937399999999</v>
      </c>
    </row>
    <row r="755" spans="1:17" x14ac:dyDescent="0.4">
      <c r="A755">
        <v>20210819</v>
      </c>
      <c r="B755" s="1">
        <v>0.8125</v>
      </c>
      <c r="C755">
        <v>-40314</v>
      </c>
      <c r="D755">
        <v>-195906</v>
      </c>
      <c r="E755">
        <v>675059</v>
      </c>
      <c r="F755">
        <v>328287</v>
      </c>
      <c r="G755">
        <v>11218</v>
      </c>
      <c r="H755">
        <v>623425</v>
      </c>
      <c r="I755">
        <v>113263</v>
      </c>
      <c r="J755">
        <v>8776</v>
      </c>
      <c r="K755">
        <v>148764</v>
      </c>
      <c r="L755">
        <v>39958</v>
      </c>
      <c r="M755">
        <v>9.4600000000000009</v>
      </c>
      <c r="N755">
        <v>1712530</v>
      </c>
      <c r="O755">
        <v>22375050</v>
      </c>
      <c r="P755" s="2">
        <v>7.6537482597804249</v>
      </c>
      <c r="Q755" s="4">
        <v>21.166797300000002</v>
      </c>
    </row>
    <row r="756" spans="1:17" x14ac:dyDescent="0.4">
      <c r="A756">
        <v>20210819</v>
      </c>
      <c r="B756" s="1">
        <v>0.83333333333333337</v>
      </c>
      <c r="C756">
        <v>-2770</v>
      </c>
      <c r="D756">
        <v>-27052</v>
      </c>
      <c r="E756">
        <v>638332</v>
      </c>
      <c r="F756">
        <v>339300</v>
      </c>
      <c r="G756">
        <v>18021</v>
      </c>
      <c r="H756">
        <v>498463</v>
      </c>
      <c r="I756">
        <v>108204</v>
      </c>
      <c r="J756">
        <v>23228</v>
      </c>
      <c r="K756">
        <v>184077</v>
      </c>
      <c r="L756">
        <v>31092</v>
      </c>
      <c r="M756">
        <v>8.86</v>
      </c>
      <c r="N756">
        <v>1810895</v>
      </c>
      <c r="O756">
        <v>21609150</v>
      </c>
      <c r="P756" s="2">
        <v>8.3802231924902184</v>
      </c>
      <c r="Q756" s="4">
        <v>19.1457069</v>
      </c>
    </row>
    <row r="757" spans="1:17" x14ac:dyDescent="0.4">
      <c r="A757">
        <v>20210819</v>
      </c>
      <c r="B757" s="1">
        <v>0.85416666666666663</v>
      </c>
      <c r="C757">
        <v>37866</v>
      </c>
      <c r="D757">
        <v>-8179</v>
      </c>
      <c r="E757">
        <v>752690</v>
      </c>
      <c r="F757">
        <v>310246</v>
      </c>
      <c r="G757">
        <v>9708</v>
      </c>
      <c r="H757">
        <v>557122</v>
      </c>
      <c r="I757">
        <v>138307</v>
      </c>
      <c r="J757">
        <v>15463</v>
      </c>
      <c r="K757">
        <v>227055</v>
      </c>
      <c r="L757">
        <v>36162</v>
      </c>
      <c r="M757">
        <v>8.86</v>
      </c>
      <c r="N757">
        <v>2076440</v>
      </c>
      <c r="O757">
        <v>21675700</v>
      </c>
      <c r="P757" s="2">
        <v>9.5795752847658893</v>
      </c>
      <c r="Q757" s="4">
        <v>19.204670199999999</v>
      </c>
    </row>
    <row r="758" spans="1:17" x14ac:dyDescent="0.4">
      <c r="A758">
        <v>20210819</v>
      </c>
      <c r="B758" s="1">
        <v>0.875</v>
      </c>
      <c r="C758">
        <v>-9922</v>
      </c>
      <c r="D758">
        <v>-60699</v>
      </c>
      <c r="E758">
        <v>329082</v>
      </c>
      <c r="F758">
        <v>238667</v>
      </c>
      <c r="G758">
        <v>9553</v>
      </c>
      <c r="H758">
        <v>503118</v>
      </c>
      <c r="I758">
        <v>183289</v>
      </c>
      <c r="J758">
        <v>23783</v>
      </c>
      <c r="K758">
        <v>141785</v>
      </c>
      <c r="L758">
        <v>29605</v>
      </c>
      <c r="M758">
        <v>7.92</v>
      </c>
      <c r="N758">
        <v>1388261</v>
      </c>
      <c r="O758">
        <v>21365350</v>
      </c>
      <c r="P758" s="2">
        <v>6.4977217784871302</v>
      </c>
      <c r="Q758" s="4">
        <v>16.921357199999999</v>
      </c>
    </row>
    <row r="759" spans="1:17" x14ac:dyDescent="0.4">
      <c r="A759">
        <v>20210819</v>
      </c>
      <c r="B759" s="1">
        <v>0.89583333333333337</v>
      </c>
      <c r="C759">
        <v>63187</v>
      </c>
      <c r="D759">
        <v>-68404</v>
      </c>
      <c r="E759">
        <v>289110</v>
      </c>
      <c r="F759">
        <v>241667</v>
      </c>
      <c r="G759">
        <v>19907</v>
      </c>
      <c r="H759">
        <v>444238</v>
      </c>
      <c r="I759">
        <v>189235</v>
      </c>
      <c r="J759">
        <v>30998</v>
      </c>
      <c r="K759">
        <v>134876</v>
      </c>
      <c r="L759">
        <v>32532</v>
      </c>
      <c r="M759">
        <v>7.54</v>
      </c>
      <c r="N759">
        <v>1377346</v>
      </c>
      <c r="O759">
        <v>21111200</v>
      </c>
      <c r="P759" s="2">
        <v>6.5242430558187126</v>
      </c>
      <c r="Q759" s="4">
        <v>15.917844799999999</v>
      </c>
    </row>
    <row r="760" spans="1:17" x14ac:dyDescent="0.4">
      <c r="A760">
        <v>20210819</v>
      </c>
      <c r="B760" s="1">
        <v>0.91666666666666663</v>
      </c>
      <c r="C760">
        <v>46036</v>
      </c>
      <c r="D760">
        <v>37074</v>
      </c>
      <c r="E760">
        <v>272465</v>
      </c>
      <c r="F760">
        <v>227063</v>
      </c>
      <c r="G760">
        <v>17896</v>
      </c>
      <c r="H760">
        <v>413650</v>
      </c>
      <c r="I760">
        <v>200419</v>
      </c>
      <c r="J760">
        <v>34928</v>
      </c>
      <c r="K760">
        <v>128986</v>
      </c>
      <c r="L760">
        <v>20975</v>
      </c>
      <c r="M760">
        <v>7.31</v>
      </c>
      <c r="N760">
        <v>1399492</v>
      </c>
      <c r="O760">
        <v>20737650</v>
      </c>
      <c r="P760" s="2">
        <v>6.7485563696947342</v>
      </c>
      <c r="Q760" s="4">
        <v>15.15922215</v>
      </c>
    </row>
    <row r="761" spans="1:17" x14ac:dyDescent="0.4">
      <c r="A761">
        <v>20210819</v>
      </c>
      <c r="B761" s="1">
        <v>0.9375</v>
      </c>
      <c r="C761">
        <v>-26502</v>
      </c>
      <c r="D761">
        <v>-6815</v>
      </c>
      <c r="E761">
        <v>345102</v>
      </c>
      <c r="F761">
        <v>231121</v>
      </c>
      <c r="G761">
        <v>26639</v>
      </c>
      <c r="H761">
        <v>368038</v>
      </c>
      <c r="I761">
        <v>161814</v>
      </c>
      <c r="J761">
        <v>17261</v>
      </c>
      <c r="K761">
        <v>154072</v>
      </c>
      <c r="L761">
        <v>18867</v>
      </c>
      <c r="M761">
        <v>7.08</v>
      </c>
      <c r="N761">
        <v>1289597</v>
      </c>
      <c r="O761">
        <v>20688850</v>
      </c>
      <c r="P761" s="2">
        <v>6.2332947457205208</v>
      </c>
      <c r="Q761" s="4">
        <v>14.647705800000001</v>
      </c>
    </row>
    <row r="762" spans="1:17" x14ac:dyDescent="0.4">
      <c r="A762">
        <v>20210819</v>
      </c>
      <c r="B762" s="1">
        <v>0.95833333333333337</v>
      </c>
      <c r="C762">
        <v>28589</v>
      </c>
      <c r="D762">
        <v>5461</v>
      </c>
      <c r="E762">
        <v>209927</v>
      </c>
      <c r="F762">
        <v>192736</v>
      </c>
      <c r="G762">
        <v>31855</v>
      </c>
      <c r="H762">
        <v>353221</v>
      </c>
      <c r="I762">
        <v>127593</v>
      </c>
      <c r="J762">
        <v>17247</v>
      </c>
      <c r="K762">
        <v>138078</v>
      </c>
      <c r="L762">
        <v>22871</v>
      </c>
      <c r="M762">
        <v>6.85</v>
      </c>
      <c r="N762">
        <v>1127578</v>
      </c>
      <c r="O762">
        <v>20478050</v>
      </c>
      <c r="P762" s="2">
        <v>5.5062762323561083</v>
      </c>
      <c r="Q762" s="4">
        <v>14.02746425</v>
      </c>
    </row>
    <row r="763" spans="1:17" x14ac:dyDescent="0.4">
      <c r="A763">
        <v>20210819</v>
      </c>
      <c r="B763" s="1">
        <v>0.97916666666666663</v>
      </c>
      <c r="C763">
        <v>39252</v>
      </c>
      <c r="D763">
        <v>-35456</v>
      </c>
      <c r="E763">
        <v>241515</v>
      </c>
      <c r="F763">
        <v>195775</v>
      </c>
      <c r="G763">
        <v>50934</v>
      </c>
      <c r="H763">
        <v>409993</v>
      </c>
      <c r="I763">
        <v>116539</v>
      </c>
      <c r="J763">
        <v>13828</v>
      </c>
      <c r="K763">
        <v>54716</v>
      </c>
      <c r="L763">
        <v>26806</v>
      </c>
      <c r="M763">
        <v>6.72</v>
      </c>
      <c r="N763">
        <v>1113902</v>
      </c>
      <c r="O763">
        <v>19770750</v>
      </c>
      <c r="P763" s="2">
        <v>5.6340907653983789</v>
      </c>
      <c r="Q763" s="4">
        <v>13.285944000000001</v>
      </c>
    </row>
    <row r="764" spans="1:17" x14ac:dyDescent="0.4">
      <c r="A764">
        <v>20210820</v>
      </c>
      <c r="B764" s="1">
        <v>0</v>
      </c>
      <c r="C764">
        <v>50171</v>
      </c>
      <c r="D764">
        <v>55168</v>
      </c>
      <c r="E764">
        <v>62328</v>
      </c>
      <c r="F764">
        <v>152377</v>
      </c>
      <c r="G764">
        <v>33258</v>
      </c>
      <c r="H764">
        <v>371759</v>
      </c>
      <c r="I764">
        <v>-9093</v>
      </c>
      <c r="J764">
        <v>-13200</v>
      </c>
      <c r="K764">
        <v>-8427</v>
      </c>
      <c r="L764">
        <v>15723</v>
      </c>
      <c r="M764">
        <v>6.41</v>
      </c>
      <c r="N764">
        <v>710064</v>
      </c>
      <c r="O764">
        <v>18525350</v>
      </c>
      <c r="P764" s="2">
        <v>3.8329316315211317</v>
      </c>
      <c r="Q764" s="4">
        <v>11.87474935</v>
      </c>
    </row>
    <row r="765" spans="1:17" x14ac:dyDescent="0.4">
      <c r="A765">
        <v>20210820</v>
      </c>
      <c r="B765" s="1">
        <v>2.0833333333333332E-2</v>
      </c>
      <c r="C765">
        <v>60237</v>
      </c>
      <c r="D765">
        <v>59192</v>
      </c>
      <c r="E765">
        <v>108427</v>
      </c>
      <c r="F765">
        <v>199416</v>
      </c>
      <c r="G765">
        <v>38435</v>
      </c>
      <c r="H765">
        <v>337165</v>
      </c>
      <c r="I765">
        <v>25132</v>
      </c>
      <c r="J765">
        <v>-27912</v>
      </c>
      <c r="K765">
        <v>2045</v>
      </c>
      <c r="L765">
        <v>27646</v>
      </c>
      <c r="M765">
        <v>6.3</v>
      </c>
      <c r="N765">
        <v>829783</v>
      </c>
      <c r="O765">
        <v>19332950</v>
      </c>
      <c r="P765" s="2">
        <v>4.2920661357940721</v>
      </c>
      <c r="Q765" s="4">
        <v>12.1797585</v>
      </c>
    </row>
    <row r="766" spans="1:17" x14ac:dyDescent="0.4">
      <c r="A766">
        <v>20210820</v>
      </c>
      <c r="B766" s="1">
        <v>4.1666666666666664E-2</v>
      </c>
      <c r="C766">
        <v>70961</v>
      </c>
      <c r="D766">
        <v>-3034</v>
      </c>
      <c r="E766">
        <v>-47225</v>
      </c>
      <c r="F766">
        <v>136753</v>
      </c>
      <c r="G766">
        <v>33795</v>
      </c>
      <c r="H766">
        <v>333282</v>
      </c>
      <c r="I766">
        <v>18298</v>
      </c>
      <c r="J766">
        <v>-15697</v>
      </c>
      <c r="K766">
        <v>-51501</v>
      </c>
      <c r="L766">
        <v>14817</v>
      </c>
      <c r="M766">
        <v>6.19</v>
      </c>
      <c r="N766">
        <v>490449</v>
      </c>
      <c r="O766">
        <v>19157300</v>
      </c>
      <c r="P766" s="2">
        <v>2.5601154651229558</v>
      </c>
      <c r="Q766" s="4">
        <v>11.858368700000002</v>
      </c>
    </row>
    <row r="767" spans="1:17" x14ac:dyDescent="0.4">
      <c r="A767">
        <v>20210820</v>
      </c>
      <c r="B767" s="1">
        <v>6.25E-2</v>
      </c>
      <c r="C767">
        <v>40674</v>
      </c>
      <c r="D767">
        <v>40609</v>
      </c>
      <c r="E767">
        <v>136892</v>
      </c>
      <c r="F767">
        <v>90085</v>
      </c>
      <c r="G767">
        <v>45893</v>
      </c>
      <c r="H767">
        <v>249969</v>
      </c>
      <c r="I767">
        <v>14836</v>
      </c>
      <c r="J767">
        <v>-28526</v>
      </c>
      <c r="K767">
        <v>-48690</v>
      </c>
      <c r="L767">
        <v>26649</v>
      </c>
      <c r="M767">
        <v>6.02</v>
      </c>
      <c r="N767">
        <v>568391</v>
      </c>
      <c r="O767">
        <v>19207550</v>
      </c>
      <c r="P767" s="2">
        <v>2.9592061455000769</v>
      </c>
      <c r="Q767" s="4">
        <v>11.562945099999999</v>
      </c>
    </row>
    <row r="768" spans="1:17" x14ac:dyDescent="0.4">
      <c r="A768">
        <v>20210820</v>
      </c>
      <c r="B768" s="1">
        <v>8.3333333333333329E-2</v>
      </c>
      <c r="C768">
        <v>43277</v>
      </c>
      <c r="D768">
        <v>-20700</v>
      </c>
      <c r="E768">
        <v>58521</v>
      </c>
      <c r="F768">
        <v>66573</v>
      </c>
      <c r="G768">
        <v>29423</v>
      </c>
      <c r="H768">
        <v>283957</v>
      </c>
      <c r="I768">
        <v>56260</v>
      </c>
      <c r="J768">
        <v>-18710</v>
      </c>
      <c r="K768">
        <v>-60103</v>
      </c>
      <c r="L768">
        <v>22162</v>
      </c>
      <c r="M768">
        <v>6.02</v>
      </c>
      <c r="N768">
        <v>460660</v>
      </c>
      <c r="O768">
        <v>19155000</v>
      </c>
      <c r="P768" s="2">
        <v>2.4049073348995043</v>
      </c>
      <c r="Q768" s="4">
        <v>11.531309999999998</v>
      </c>
    </row>
    <row r="769" spans="1:17" x14ac:dyDescent="0.4">
      <c r="A769">
        <v>20210820</v>
      </c>
      <c r="B769" s="1">
        <v>0.10416666666666667</v>
      </c>
      <c r="C769">
        <v>42682</v>
      </c>
      <c r="D769">
        <v>3319</v>
      </c>
      <c r="E769">
        <v>59732</v>
      </c>
      <c r="F769">
        <v>88180</v>
      </c>
      <c r="G769">
        <v>46449</v>
      </c>
      <c r="H769">
        <v>231915</v>
      </c>
      <c r="I769">
        <v>3144</v>
      </c>
      <c r="J769">
        <v>-27317</v>
      </c>
      <c r="K769">
        <v>-49268</v>
      </c>
      <c r="L769">
        <v>15707</v>
      </c>
      <c r="M769">
        <v>6.02</v>
      </c>
      <c r="N769">
        <v>414543</v>
      </c>
      <c r="O769">
        <v>19129050</v>
      </c>
      <c r="P769" s="2">
        <v>2.1670861856704855</v>
      </c>
      <c r="Q769" s="4">
        <v>11.515688099999998</v>
      </c>
    </row>
    <row r="770" spans="1:17" x14ac:dyDescent="0.4">
      <c r="A770">
        <v>20210820</v>
      </c>
      <c r="B770" s="1">
        <v>0.125</v>
      </c>
      <c r="C770">
        <v>-5426</v>
      </c>
      <c r="D770">
        <v>-3458</v>
      </c>
      <c r="E770">
        <v>43752</v>
      </c>
      <c r="F770">
        <v>10049</v>
      </c>
      <c r="G770">
        <v>30694</v>
      </c>
      <c r="H770">
        <v>311026</v>
      </c>
      <c r="I770">
        <v>-17301</v>
      </c>
      <c r="J770">
        <v>-29929</v>
      </c>
      <c r="K770">
        <v>-124509</v>
      </c>
      <c r="L770">
        <v>18900</v>
      </c>
      <c r="M770">
        <v>6.28</v>
      </c>
      <c r="N770">
        <v>233798</v>
      </c>
      <c r="O770">
        <v>18954450</v>
      </c>
      <c r="P770" s="2">
        <v>1.2334728784005866</v>
      </c>
      <c r="Q770" s="4">
        <v>11.9033946</v>
      </c>
    </row>
    <row r="771" spans="1:17" x14ac:dyDescent="0.4">
      <c r="A771">
        <v>20210820</v>
      </c>
      <c r="B771" s="1">
        <v>0.14583333333333334</v>
      </c>
      <c r="C771">
        <v>-2605</v>
      </c>
      <c r="D771">
        <v>70227</v>
      </c>
      <c r="E771">
        <v>157803</v>
      </c>
      <c r="F771">
        <v>42314</v>
      </c>
      <c r="G771">
        <v>49180</v>
      </c>
      <c r="H771">
        <v>214383</v>
      </c>
      <c r="I771">
        <v>-70888</v>
      </c>
      <c r="J771">
        <v>-37397</v>
      </c>
      <c r="K771">
        <v>-99420</v>
      </c>
      <c r="L771">
        <v>14707</v>
      </c>
      <c r="M771">
        <v>6.27</v>
      </c>
      <c r="N771">
        <v>338304</v>
      </c>
      <c r="O771">
        <v>18875950</v>
      </c>
      <c r="P771" s="2">
        <v>1.7922488669444452</v>
      </c>
      <c r="Q771" s="4">
        <v>11.835220649999998</v>
      </c>
    </row>
    <row r="772" spans="1:17" x14ac:dyDescent="0.4">
      <c r="A772">
        <v>20210820</v>
      </c>
      <c r="B772" s="1">
        <v>0.16666666666666666</v>
      </c>
      <c r="C772">
        <v>-2139</v>
      </c>
      <c r="D772">
        <v>5816</v>
      </c>
      <c r="E772">
        <v>41405</v>
      </c>
      <c r="F772">
        <v>40424</v>
      </c>
      <c r="G772">
        <v>40023</v>
      </c>
      <c r="H772">
        <v>263877</v>
      </c>
      <c r="I772">
        <v>-273</v>
      </c>
      <c r="J772">
        <v>-33063</v>
      </c>
      <c r="K772">
        <v>-96838</v>
      </c>
      <c r="L772">
        <v>20081</v>
      </c>
      <c r="M772">
        <v>6.27</v>
      </c>
      <c r="N772">
        <v>279313</v>
      </c>
      <c r="O772">
        <v>18893350</v>
      </c>
      <c r="P772" s="2">
        <v>1.4783667269171428</v>
      </c>
      <c r="Q772" s="4">
        <v>11.846130449999999</v>
      </c>
    </row>
    <row r="773" spans="1:17" x14ac:dyDescent="0.4">
      <c r="A773">
        <v>20210820</v>
      </c>
      <c r="B773" s="1">
        <v>0.1875</v>
      </c>
      <c r="C773">
        <v>44089</v>
      </c>
      <c r="D773">
        <v>24250</v>
      </c>
      <c r="E773">
        <v>-359</v>
      </c>
      <c r="F773">
        <v>49252</v>
      </c>
      <c r="G773">
        <v>23702</v>
      </c>
      <c r="H773">
        <v>284716</v>
      </c>
      <c r="I773">
        <v>-89388</v>
      </c>
      <c r="J773">
        <v>-36666</v>
      </c>
      <c r="K773">
        <v>-72517</v>
      </c>
      <c r="L773">
        <v>7547</v>
      </c>
      <c r="M773">
        <v>6.27</v>
      </c>
      <c r="N773">
        <v>234626</v>
      </c>
      <c r="O773">
        <v>18953450</v>
      </c>
      <c r="P773" s="2">
        <v>1.2379065552709401</v>
      </c>
      <c r="Q773" s="4">
        <v>11.883813149999998</v>
      </c>
    </row>
    <row r="774" spans="1:17" x14ac:dyDescent="0.4">
      <c r="A774">
        <v>20210820</v>
      </c>
      <c r="B774" s="1">
        <v>0.20833333333333334</v>
      </c>
      <c r="C774">
        <v>43195</v>
      </c>
      <c r="D774">
        <v>-13029</v>
      </c>
      <c r="E774">
        <v>164443</v>
      </c>
      <c r="F774">
        <v>17666</v>
      </c>
      <c r="G774">
        <v>13567</v>
      </c>
      <c r="H774">
        <v>271924</v>
      </c>
      <c r="I774">
        <v>-45358</v>
      </c>
      <c r="J774">
        <v>-54573</v>
      </c>
      <c r="K774">
        <v>-44324</v>
      </c>
      <c r="L774">
        <v>23989</v>
      </c>
      <c r="M774">
        <v>6.26</v>
      </c>
      <c r="N774">
        <v>377500</v>
      </c>
      <c r="O774">
        <v>19050950</v>
      </c>
      <c r="P774" s="2">
        <v>1.9815284802070239</v>
      </c>
      <c r="Q774" s="4">
        <v>11.925894700000001</v>
      </c>
    </row>
    <row r="775" spans="1:17" x14ac:dyDescent="0.4">
      <c r="A775">
        <v>20210820</v>
      </c>
      <c r="B775" s="1">
        <v>0.22916666666666666</v>
      </c>
      <c r="C775">
        <v>39019</v>
      </c>
      <c r="D775">
        <v>98529</v>
      </c>
      <c r="E775">
        <v>137344</v>
      </c>
      <c r="F775">
        <v>72786</v>
      </c>
      <c r="G775">
        <v>7632</v>
      </c>
      <c r="H775">
        <v>326448</v>
      </c>
      <c r="I775">
        <v>-105838</v>
      </c>
      <c r="J775">
        <v>-56987</v>
      </c>
      <c r="K775">
        <v>42782</v>
      </c>
      <c r="L775">
        <v>16025</v>
      </c>
      <c r="M775">
        <v>6.26</v>
      </c>
      <c r="N775">
        <v>577740</v>
      </c>
      <c r="O775">
        <v>19302500</v>
      </c>
      <c r="P775" s="2">
        <v>2.9930837974355655</v>
      </c>
      <c r="Q775" s="4">
        <v>12.083365000000001</v>
      </c>
    </row>
    <row r="776" spans="1:17" x14ac:dyDescent="0.4">
      <c r="A776">
        <v>20210820</v>
      </c>
      <c r="B776" s="1">
        <v>0.25</v>
      </c>
      <c r="C776">
        <v>38840</v>
      </c>
      <c r="D776">
        <v>107966</v>
      </c>
      <c r="E776">
        <v>169182</v>
      </c>
      <c r="F776">
        <v>31207</v>
      </c>
      <c r="G776">
        <v>-2383</v>
      </c>
      <c r="H776">
        <v>234090</v>
      </c>
      <c r="I776">
        <v>-43233</v>
      </c>
      <c r="J776">
        <v>-44817</v>
      </c>
      <c r="K776">
        <v>6518</v>
      </c>
      <c r="L776">
        <v>25116</v>
      </c>
      <c r="M776">
        <v>6.06</v>
      </c>
      <c r="N776">
        <v>522486</v>
      </c>
      <c r="O776">
        <v>19826300</v>
      </c>
      <c r="P776" s="2">
        <v>2.6353177345243441</v>
      </c>
      <c r="Q776" s="4">
        <v>12.014737799999999</v>
      </c>
    </row>
    <row r="777" spans="1:17" x14ac:dyDescent="0.4">
      <c r="A777">
        <v>20210820</v>
      </c>
      <c r="B777" s="1">
        <v>0.27083333333333331</v>
      </c>
      <c r="C777">
        <v>7366</v>
      </c>
      <c r="D777">
        <v>242914</v>
      </c>
      <c r="E777">
        <v>208196</v>
      </c>
      <c r="F777">
        <v>-74851</v>
      </c>
      <c r="G777">
        <v>12570</v>
      </c>
      <c r="H777">
        <v>296570</v>
      </c>
      <c r="I777">
        <v>-112452</v>
      </c>
      <c r="J777">
        <v>-67186</v>
      </c>
      <c r="K777">
        <v>-10863</v>
      </c>
      <c r="L777">
        <v>14798</v>
      </c>
      <c r="M777">
        <v>6.19</v>
      </c>
      <c r="N777">
        <v>517062</v>
      </c>
      <c r="O777">
        <v>20263900</v>
      </c>
      <c r="P777" s="2">
        <v>2.5516410957416884</v>
      </c>
      <c r="Q777" s="4">
        <v>12.543354100000002</v>
      </c>
    </row>
    <row r="778" spans="1:17" x14ac:dyDescent="0.4">
      <c r="A778">
        <v>20210820</v>
      </c>
      <c r="B778" s="1">
        <v>0.29166666666666669</v>
      </c>
      <c r="C778">
        <v>130243</v>
      </c>
      <c r="D778">
        <v>367788</v>
      </c>
      <c r="E778">
        <v>361758</v>
      </c>
      <c r="F778">
        <v>55066</v>
      </c>
      <c r="G778">
        <v>54774</v>
      </c>
      <c r="H778">
        <v>350306</v>
      </c>
      <c r="I778">
        <v>49500</v>
      </c>
      <c r="J778">
        <v>-58263</v>
      </c>
      <c r="K778">
        <v>-205280</v>
      </c>
      <c r="L778">
        <v>19419</v>
      </c>
      <c r="M778">
        <v>6.19</v>
      </c>
      <c r="N778">
        <v>1125311</v>
      </c>
      <c r="O778">
        <v>21257950</v>
      </c>
      <c r="P778" s="2">
        <v>5.2936007470146462</v>
      </c>
      <c r="Q778" s="4">
        <v>13.158671050000002</v>
      </c>
    </row>
    <row r="779" spans="1:17" x14ac:dyDescent="0.4">
      <c r="A779">
        <v>20210820</v>
      </c>
      <c r="B779" s="1">
        <v>0.3125</v>
      </c>
      <c r="C779">
        <v>113109</v>
      </c>
      <c r="D779">
        <v>525044</v>
      </c>
      <c r="E779">
        <v>349346</v>
      </c>
      <c r="F779">
        <v>-463542</v>
      </c>
      <c r="G779">
        <v>46054</v>
      </c>
      <c r="H779">
        <v>279526</v>
      </c>
      <c r="I779">
        <v>178420</v>
      </c>
      <c r="J779">
        <v>-128063</v>
      </c>
      <c r="K779">
        <v>-436354</v>
      </c>
      <c r="L779">
        <v>29821</v>
      </c>
      <c r="M779">
        <v>6.44</v>
      </c>
      <c r="N779">
        <v>493361</v>
      </c>
      <c r="O779">
        <v>21920600</v>
      </c>
      <c r="P779" s="2">
        <v>2.2506728830415228</v>
      </c>
      <c r="Q779" s="4">
        <v>14.116866399999999</v>
      </c>
    </row>
    <row r="780" spans="1:17" x14ac:dyDescent="0.4">
      <c r="A780">
        <v>20210820</v>
      </c>
      <c r="B780" s="1">
        <v>0.33333333333333331</v>
      </c>
      <c r="C780">
        <v>106640</v>
      </c>
      <c r="D780">
        <v>522750</v>
      </c>
      <c r="E780">
        <v>744838</v>
      </c>
      <c r="F780">
        <v>-666878</v>
      </c>
      <c r="G780">
        <v>80590</v>
      </c>
      <c r="H780">
        <v>269887</v>
      </c>
      <c r="I780">
        <v>-58075</v>
      </c>
      <c r="J780">
        <v>-150587</v>
      </c>
      <c r="K780">
        <v>-582247</v>
      </c>
      <c r="L780">
        <v>45289</v>
      </c>
      <c r="M780">
        <v>6.63</v>
      </c>
      <c r="N780">
        <v>312207</v>
      </c>
      <c r="O780">
        <v>23430000</v>
      </c>
      <c r="P780" s="2">
        <v>1.3325096030729833</v>
      </c>
      <c r="Q780" s="4">
        <v>15.534090000000001</v>
      </c>
    </row>
    <row r="781" spans="1:17" x14ac:dyDescent="0.4">
      <c r="A781">
        <v>20210820</v>
      </c>
      <c r="B781" s="1">
        <v>0.625</v>
      </c>
      <c r="C781">
        <v>68020</v>
      </c>
      <c r="D781">
        <v>83546</v>
      </c>
      <c r="E781">
        <v>-120348</v>
      </c>
      <c r="F781">
        <v>-432924</v>
      </c>
      <c r="G781">
        <v>22144</v>
      </c>
      <c r="H781">
        <v>263756</v>
      </c>
      <c r="I781">
        <v>62684</v>
      </c>
      <c r="J781">
        <v>-268988</v>
      </c>
      <c r="K781">
        <v>402398</v>
      </c>
      <c r="L781">
        <v>961</v>
      </c>
      <c r="M781">
        <v>9.44</v>
      </c>
      <c r="N781">
        <v>81249</v>
      </c>
      <c r="O781">
        <v>23858400</v>
      </c>
      <c r="P781" s="2">
        <v>0.340546725681521</v>
      </c>
      <c r="Q781" s="4">
        <v>22.522329599999999</v>
      </c>
    </row>
    <row r="782" spans="1:17" x14ac:dyDescent="0.4">
      <c r="A782">
        <v>20210820</v>
      </c>
      <c r="B782" s="1">
        <v>0.70833333333333337</v>
      </c>
      <c r="C782">
        <v>43681</v>
      </c>
      <c r="D782">
        <v>-76438</v>
      </c>
      <c r="E782">
        <v>542614</v>
      </c>
      <c r="F782">
        <v>-381108</v>
      </c>
      <c r="G782">
        <v>7448</v>
      </c>
      <c r="H782">
        <v>568508</v>
      </c>
      <c r="I782">
        <v>-69784</v>
      </c>
      <c r="J782">
        <v>-144819</v>
      </c>
      <c r="K782">
        <v>178925</v>
      </c>
      <c r="L782">
        <v>-17584</v>
      </c>
      <c r="M782">
        <v>10.27</v>
      </c>
      <c r="N782">
        <v>651443</v>
      </c>
      <c r="O782">
        <v>22921650</v>
      </c>
      <c r="P782" s="2">
        <v>2.8420423486092843</v>
      </c>
      <c r="Q782" s="4">
        <v>23.54053455</v>
      </c>
    </row>
    <row r="783" spans="1:17" x14ac:dyDescent="0.4">
      <c r="A783">
        <v>20210820</v>
      </c>
      <c r="B783" s="1">
        <v>0.72916666666666663</v>
      </c>
      <c r="C783">
        <v>16900</v>
      </c>
      <c r="D783">
        <v>-91301</v>
      </c>
      <c r="E783">
        <v>623856</v>
      </c>
      <c r="F783">
        <v>-124264</v>
      </c>
      <c r="G783">
        <v>-2263</v>
      </c>
      <c r="H783">
        <v>548422</v>
      </c>
      <c r="I783">
        <v>-90145</v>
      </c>
      <c r="J783">
        <v>-105925</v>
      </c>
      <c r="K783">
        <v>162364</v>
      </c>
      <c r="L783">
        <v>-6634</v>
      </c>
      <c r="M783">
        <v>10.27</v>
      </c>
      <c r="N783">
        <v>931010</v>
      </c>
      <c r="O783">
        <v>22573800</v>
      </c>
      <c r="P783" s="2">
        <v>4.1242945361436707</v>
      </c>
      <c r="Q783" s="4">
        <v>23.183292600000001</v>
      </c>
    </row>
    <row r="784" spans="1:17" x14ac:dyDescent="0.4">
      <c r="A784">
        <v>20210820</v>
      </c>
      <c r="B784" s="1">
        <v>0.75</v>
      </c>
      <c r="C784">
        <v>28933</v>
      </c>
      <c r="D784">
        <v>-128875</v>
      </c>
      <c r="E784">
        <v>410866</v>
      </c>
      <c r="F784">
        <v>220148</v>
      </c>
      <c r="G784">
        <v>-9999</v>
      </c>
      <c r="H784">
        <v>486670</v>
      </c>
      <c r="I784">
        <v>18952</v>
      </c>
      <c r="J784">
        <v>-33641</v>
      </c>
      <c r="K784">
        <v>132560</v>
      </c>
      <c r="L784">
        <v>1273</v>
      </c>
      <c r="M784">
        <v>10.27</v>
      </c>
      <c r="N784">
        <v>1126887</v>
      </c>
      <c r="O784">
        <v>22181800</v>
      </c>
      <c r="P784" s="2">
        <v>5.080232442813478</v>
      </c>
      <c r="Q784" s="4">
        <v>22.780708600000001</v>
      </c>
    </row>
    <row r="785" spans="1:17" x14ac:dyDescent="0.4">
      <c r="A785">
        <v>20210820</v>
      </c>
      <c r="B785" s="1">
        <v>0.77083333333333337</v>
      </c>
      <c r="C785">
        <v>9698</v>
      </c>
      <c r="D785">
        <v>-101543</v>
      </c>
      <c r="E785">
        <v>436730</v>
      </c>
      <c r="F785">
        <v>252393</v>
      </c>
      <c r="G785">
        <v>-33110</v>
      </c>
      <c r="H785">
        <v>412026</v>
      </c>
      <c r="I785">
        <v>-35073</v>
      </c>
      <c r="J785">
        <v>1964</v>
      </c>
      <c r="K785">
        <v>186001</v>
      </c>
      <c r="L785">
        <v>1450</v>
      </c>
      <c r="M785">
        <v>10.27</v>
      </c>
      <c r="N785">
        <v>1130536</v>
      </c>
      <c r="O785">
        <v>22264600</v>
      </c>
      <c r="P785" s="2">
        <v>5.0777287712332582</v>
      </c>
      <c r="Q785" s="4">
        <v>22.865744200000002</v>
      </c>
    </row>
    <row r="786" spans="1:17" x14ac:dyDescent="0.4">
      <c r="A786">
        <v>20210820</v>
      </c>
      <c r="B786" s="1">
        <v>0.79166666666666663</v>
      </c>
      <c r="C786">
        <v>19284</v>
      </c>
      <c r="D786">
        <v>-10354</v>
      </c>
      <c r="E786">
        <v>397016</v>
      </c>
      <c r="F786">
        <v>416326</v>
      </c>
      <c r="G786">
        <v>-20328</v>
      </c>
      <c r="H786">
        <v>472372</v>
      </c>
      <c r="I786">
        <v>-46869</v>
      </c>
      <c r="J786">
        <v>27826</v>
      </c>
      <c r="K786">
        <v>175484</v>
      </c>
      <c r="L786">
        <v>-2061</v>
      </c>
      <c r="M786">
        <v>9.6199999999999992</v>
      </c>
      <c r="N786">
        <v>1428696</v>
      </c>
      <c r="O786">
        <v>22220200</v>
      </c>
      <c r="P786" s="2">
        <v>6.4297171042564871</v>
      </c>
      <c r="Q786" s="4">
        <v>21.375832399999997</v>
      </c>
    </row>
    <row r="787" spans="1:17" x14ac:dyDescent="0.4">
      <c r="A787">
        <v>20210820</v>
      </c>
      <c r="B787" s="1">
        <v>0.8125</v>
      </c>
      <c r="C787">
        <v>-3995</v>
      </c>
      <c r="D787">
        <v>40423</v>
      </c>
      <c r="E787">
        <v>546853</v>
      </c>
      <c r="F787">
        <v>463185</v>
      </c>
      <c r="G787">
        <v>4892</v>
      </c>
      <c r="H787">
        <v>469011</v>
      </c>
      <c r="I787">
        <v>1402</v>
      </c>
      <c r="J787">
        <v>28833</v>
      </c>
      <c r="K787">
        <v>183007</v>
      </c>
      <c r="L787">
        <v>19</v>
      </c>
      <c r="M787">
        <v>9.2799999999999994</v>
      </c>
      <c r="N787">
        <v>1733630</v>
      </c>
      <c r="O787">
        <v>22296050</v>
      </c>
      <c r="P787" s="2">
        <v>7.7755028357040823</v>
      </c>
      <c r="Q787" s="4">
        <v>20.6907344</v>
      </c>
    </row>
    <row r="788" spans="1:17" x14ac:dyDescent="0.4">
      <c r="A788">
        <v>20210820</v>
      </c>
      <c r="B788" s="1">
        <v>0.83333333333333337</v>
      </c>
      <c r="C788">
        <v>32946</v>
      </c>
      <c r="D788">
        <v>98913</v>
      </c>
      <c r="E788">
        <v>201158</v>
      </c>
      <c r="F788">
        <v>499949</v>
      </c>
      <c r="G788">
        <v>22948</v>
      </c>
      <c r="H788">
        <v>563705</v>
      </c>
      <c r="I788">
        <v>30141</v>
      </c>
      <c r="J788">
        <v>15964</v>
      </c>
      <c r="K788">
        <v>276445</v>
      </c>
      <c r="L788">
        <v>-8227</v>
      </c>
      <c r="M788">
        <v>8.86</v>
      </c>
      <c r="N788">
        <v>1733942</v>
      </c>
      <c r="O788">
        <v>21979800</v>
      </c>
      <c r="P788" s="2">
        <v>7.8887978962501935</v>
      </c>
      <c r="Q788" s="4">
        <v>19.474102800000001</v>
      </c>
    </row>
    <row r="789" spans="1:17" x14ac:dyDescent="0.4">
      <c r="A789">
        <v>20210820</v>
      </c>
      <c r="B789" s="1">
        <v>0.85416666666666663</v>
      </c>
      <c r="C789">
        <v>46309</v>
      </c>
      <c r="D789">
        <v>87941</v>
      </c>
      <c r="E789">
        <v>334938</v>
      </c>
      <c r="F789">
        <v>368793</v>
      </c>
      <c r="G789">
        <v>1330</v>
      </c>
      <c r="H789">
        <v>414929</v>
      </c>
      <c r="I789">
        <v>8134</v>
      </c>
      <c r="J789">
        <v>-2705</v>
      </c>
      <c r="K789">
        <v>261497</v>
      </c>
      <c r="L789">
        <v>-906</v>
      </c>
      <c r="M789">
        <v>8.86</v>
      </c>
      <c r="N789">
        <v>1520260</v>
      </c>
      <c r="O789">
        <v>21924350</v>
      </c>
      <c r="P789" s="2">
        <v>6.9341166328762309</v>
      </c>
      <c r="Q789" s="4">
        <v>19.4249741</v>
      </c>
    </row>
    <row r="790" spans="1:17" x14ac:dyDescent="0.4">
      <c r="A790">
        <v>20210820</v>
      </c>
      <c r="B790" s="1">
        <v>0.875</v>
      </c>
      <c r="C790">
        <v>72877</v>
      </c>
      <c r="D790">
        <v>102540</v>
      </c>
      <c r="E790">
        <v>250680</v>
      </c>
      <c r="F790">
        <v>321724</v>
      </c>
      <c r="G790">
        <v>19089</v>
      </c>
      <c r="H790">
        <v>427657</v>
      </c>
      <c r="I790">
        <v>30356</v>
      </c>
      <c r="J790">
        <v>12407</v>
      </c>
      <c r="K790">
        <v>270243</v>
      </c>
      <c r="L790">
        <v>-6941</v>
      </c>
      <c r="M790">
        <v>8.86</v>
      </c>
      <c r="N790">
        <v>1500632</v>
      </c>
      <c r="O790">
        <v>21242750</v>
      </c>
      <c r="P790" s="2">
        <v>7.0642077885396191</v>
      </c>
      <c r="Q790" s="4">
        <v>18.8210765</v>
      </c>
    </row>
    <row r="791" spans="1:17" x14ac:dyDescent="0.4">
      <c r="A791">
        <v>20210820</v>
      </c>
      <c r="B791" s="1">
        <v>0.89583333333333337</v>
      </c>
      <c r="C791">
        <v>9609</v>
      </c>
      <c r="D791">
        <v>51847</v>
      </c>
      <c r="E791">
        <v>269074</v>
      </c>
      <c r="F791">
        <v>264890</v>
      </c>
      <c r="G791">
        <v>40487</v>
      </c>
      <c r="H791">
        <v>469456</v>
      </c>
      <c r="I791">
        <v>-9554</v>
      </c>
      <c r="J791">
        <v>14932</v>
      </c>
      <c r="K791">
        <v>261666</v>
      </c>
      <c r="L791">
        <v>1954</v>
      </c>
      <c r="M791">
        <v>8.1300000000000008</v>
      </c>
      <c r="N791">
        <v>1374361</v>
      </c>
      <c r="O791">
        <v>20955800</v>
      </c>
      <c r="P791" s="2">
        <v>6.5583800188969166</v>
      </c>
      <c r="Q791" s="4">
        <v>17.037065400000003</v>
      </c>
    </row>
    <row r="792" spans="1:17" x14ac:dyDescent="0.4">
      <c r="A792">
        <v>20210820</v>
      </c>
      <c r="B792" s="1">
        <v>0.91666666666666663</v>
      </c>
      <c r="C792">
        <v>68418</v>
      </c>
      <c r="D792">
        <v>107568</v>
      </c>
      <c r="E792">
        <v>178444</v>
      </c>
      <c r="F792">
        <v>326281</v>
      </c>
      <c r="G792">
        <v>687</v>
      </c>
      <c r="H792">
        <v>353556</v>
      </c>
      <c r="I792">
        <v>-5282</v>
      </c>
      <c r="J792">
        <v>34815</v>
      </c>
      <c r="K792">
        <v>254937</v>
      </c>
      <c r="L792">
        <v>5181</v>
      </c>
      <c r="M792">
        <v>7.64</v>
      </c>
      <c r="N792">
        <v>1324605</v>
      </c>
      <c r="O792">
        <v>20420500</v>
      </c>
      <c r="P792" s="2">
        <v>6.4866433241105748</v>
      </c>
      <c r="Q792" s="4">
        <v>15.601262</v>
      </c>
    </row>
    <row r="793" spans="1:17" x14ac:dyDescent="0.4">
      <c r="A793">
        <v>20210820</v>
      </c>
      <c r="B793" s="1">
        <v>0.9375</v>
      </c>
      <c r="C793">
        <v>10207</v>
      </c>
      <c r="D793">
        <v>117462</v>
      </c>
      <c r="E793">
        <v>332092</v>
      </c>
      <c r="F793">
        <v>299412</v>
      </c>
      <c r="G793">
        <v>15382</v>
      </c>
      <c r="H793">
        <v>359133</v>
      </c>
      <c r="I793">
        <v>-37896</v>
      </c>
      <c r="J793">
        <v>26306</v>
      </c>
      <c r="K793">
        <v>223620</v>
      </c>
      <c r="L793">
        <v>10893</v>
      </c>
      <c r="M793">
        <v>7.42</v>
      </c>
      <c r="N793">
        <v>1356611</v>
      </c>
      <c r="O793">
        <v>20154350</v>
      </c>
      <c r="P793" s="2">
        <v>6.7311076765065607</v>
      </c>
      <c r="Q793" s="4">
        <v>14.9545277</v>
      </c>
    </row>
    <row r="794" spans="1:17" x14ac:dyDescent="0.4">
      <c r="A794">
        <v>20210820</v>
      </c>
      <c r="B794" s="1">
        <v>0.95833333333333337</v>
      </c>
      <c r="C794">
        <v>-13448</v>
      </c>
      <c r="D794">
        <v>118813</v>
      </c>
      <c r="E794">
        <v>113147</v>
      </c>
      <c r="F794">
        <v>229406</v>
      </c>
      <c r="G794">
        <v>5942</v>
      </c>
      <c r="H794">
        <v>133501</v>
      </c>
      <c r="I794">
        <v>62330</v>
      </c>
      <c r="J794">
        <v>50638</v>
      </c>
      <c r="K794">
        <v>159379</v>
      </c>
      <c r="L794">
        <v>-10446</v>
      </c>
      <c r="M794">
        <v>6.99</v>
      </c>
      <c r="N794">
        <v>849262</v>
      </c>
      <c r="O794">
        <v>19553850</v>
      </c>
      <c r="P794" s="2">
        <v>4.3431958412281979</v>
      </c>
      <c r="Q794" s="4">
        <v>13.66814115</v>
      </c>
    </row>
    <row r="795" spans="1:17" x14ac:dyDescent="0.4">
      <c r="A795">
        <v>20210820</v>
      </c>
      <c r="B795" s="1">
        <v>0.97916666666666663</v>
      </c>
      <c r="C795">
        <v>32977</v>
      </c>
      <c r="D795">
        <v>69482</v>
      </c>
      <c r="E795">
        <v>153461</v>
      </c>
      <c r="F795">
        <v>250463</v>
      </c>
      <c r="G795">
        <v>19407</v>
      </c>
      <c r="H795">
        <v>229275</v>
      </c>
      <c r="I795">
        <v>-454</v>
      </c>
      <c r="J795">
        <v>62298</v>
      </c>
      <c r="K795">
        <v>141222</v>
      </c>
      <c r="L795">
        <v>-2845</v>
      </c>
      <c r="M795">
        <v>6.83</v>
      </c>
      <c r="N795">
        <v>955286</v>
      </c>
      <c r="O795">
        <v>19090050</v>
      </c>
      <c r="P795" s="2">
        <v>5.0041042323095013</v>
      </c>
      <c r="Q795" s="4">
        <v>13.03850415</v>
      </c>
    </row>
    <row r="796" spans="1:17" x14ac:dyDescent="0.4">
      <c r="A796">
        <v>20210821</v>
      </c>
      <c r="B796" s="1">
        <v>0</v>
      </c>
      <c r="C796">
        <v>-13023</v>
      </c>
      <c r="D796">
        <v>117733</v>
      </c>
      <c r="E796">
        <v>-12598</v>
      </c>
      <c r="F796">
        <v>242746</v>
      </c>
      <c r="G796">
        <v>11846</v>
      </c>
      <c r="H796">
        <v>107308</v>
      </c>
      <c r="I796">
        <v>39228</v>
      </c>
      <c r="J796">
        <v>65807</v>
      </c>
      <c r="K796">
        <v>250603</v>
      </c>
      <c r="L796">
        <v>-10917</v>
      </c>
      <c r="M796">
        <v>7.15</v>
      </c>
      <c r="N796">
        <v>798733</v>
      </c>
      <c r="O796">
        <v>17596950</v>
      </c>
      <c r="P796" s="2">
        <v>4.5390422772128121</v>
      </c>
      <c r="Q796" s="4">
        <v>12.581819250000001</v>
      </c>
    </row>
    <row r="797" spans="1:17" x14ac:dyDescent="0.4">
      <c r="A797">
        <v>20210821</v>
      </c>
      <c r="B797" s="1">
        <v>2.0833333333333332E-2</v>
      </c>
      <c r="C797">
        <v>6068</v>
      </c>
      <c r="D797">
        <v>103820</v>
      </c>
      <c r="E797">
        <v>135571</v>
      </c>
      <c r="F797">
        <v>185417</v>
      </c>
      <c r="G797">
        <v>21203</v>
      </c>
      <c r="H797">
        <v>96254</v>
      </c>
      <c r="I797">
        <v>-4188</v>
      </c>
      <c r="J797">
        <v>50271</v>
      </c>
      <c r="K797">
        <v>203351</v>
      </c>
      <c r="L797">
        <v>-4120</v>
      </c>
      <c r="M797">
        <v>7.15</v>
      </c>
      <c r="N797">
        <v>793647</v>
      </c>
      <c r="O797">
        <v>18053200</v>
      </c>
      <c r="P797" s="2">
        <v>4.3961569140097048</v>
      </c>
      <c r="Q797" s="4">
        <v>12.908037999999999</v>
      </c>
    </row>
    <row r="798" spans="1:17" x14ac:dyDescent="0.4">
      <c r="A798">
        <v>20210821</v>
      </c>
      <c r="B798" s="1">
        <v>4.1666666666666664E-2</v>
      </c>
      <c r="C798">
        <v>32512</v>
      </c>
      <c r="D798">
        <v>17578</v>
      </c>
      <c r="E798">
        <v>-53640</v>
      </c>
      <c r="F798">
        <v>236841</v>
      </c>
      <c r="G798">
        <v>5625</v>
      </c>
      <c r="H798">
        <v>208668</v>
      </c>
      <c r="I798">
        <v>2421</v>
      </c>
      <c r="J798">
        <v>58331</v>
      </c>
      <c r="K798">
        <v>212646</v>
      </c>
      <c r="L798">
        <v>-5512</v>
      </c>
      <c r="M798">
        <v>8.01</v>
      </c>
      <c r="N798">
        <v>715470</v>
      </c>
      <c r="O798">
        <v>18035450</v>
      </c>
      <c r="P798" s="2">
        <v>3.9670205068351496</v>
      </c>
      <c r="Q798" s="4">
        <v>14.446395450000001</v>
      </c>
    </row>
    <row r="799" spans="1:17" x14ac:dyDescent="0.4">
      <c r="A799">
        <v>20210821</v>
      </c>
      <c r="B799" s="1">
        <v>6.25E-2</v>
      </c>
      <c r="C799">
        <v>4567</v>
      </c>
      <c r="D799">
        <v>8157</v>
      </c>
      <c r="E799">
        <v>38044</v>
      </c>
      <c r="F799">
        <v>199247</v>
      </c>
      <c r="G799">
        <v>16935</v>
      </c>
      <c r="H799">
        <v>102574</v>
      </c>
      <c r="I799">
        <v>60726</v>
      </c>
      <c r="J799">
        <v>24138</v>
      </c>
      <c r="K799">
        <v>199185</v>
      </c>
      <c r="L799">
        <v>-356</v>
      </c>
      <c r="M799">
        <v>7.95</v>
      </c>
      <c r="N799">
        <v>653217</v>
      </c>
      <c r="O799">
        <v>18131500</v>
      </c>
      <c r="P799" s="2">
        <v>3.6026638722664974</v>
      </c>
      <c r="Q799" s="4">
        <v>14.4145425</v>
      </c>
    </row>
    <row r="800" spans="1:17" x14ac:dyDescent="0.4">
      <c r="A800">
        <v>20210821</v>
      </c>
      <c r="B800" s="1">
        <v>8.3333333333333329E-2</v>
      </c>
      <c r="C800">
        <v>45990</v>
      </c>
      <c r="D800">
        <v>20729</v>
      </c>
      <c r="E800">
        <v>64006</v>
      </c>
      <c r="F800">
        <v>281043</v>
      </c>
      <c r="G800">
        <v>18248</v>
      </c>
      <c r="H800">
        <v>82726</v>
      </c>
      <c r="I800">
        <v>70004</v>
      </c>
      <c r="J800">
        <v>26049</v>
      </c>
      <c r="K800">
        <v>178595</v>
      </c>
      <c r="L800">
        <v>-2370</v>
      </c>
      <c r="M800">
        <v>6.88</v>
      </c>
      <c r="N800">
        <v>785020</v>
      </c>
      <c r="O800">
        <v>18074800</v>
      </c>
      <c r="P800" s="2">
        <v>4.3431739217031451</v>
      </c>
      <c r="Q800" s="4">
        <v>12.4354624</v>
      </c>
    </row>
    <row r="801" spans="1:17" x14ac:dyDescent="0.4">
      <c r="A801">
        <v>20210821</v>
      </c>
      <c r="B801" s="1">
        <v>0.10416666666666667</v>
      </c>
      <c r="C801">
        <v>53150</v>
      </c>
      <c r="D801">
        <v>5388</v>
      </c>
      <c r="E801">
        <v>24016</v>
      </c>
      <c r="F801">
        <v>303747</v>
      </c>
      <c r="G801">
        <v>21108</v>
      </c>
      <c r="H801">
        <v>64751</v>
      </c>
      <c r="I801">
        <v>85163</v>
      </c>
      <c r="J801">
        <v>24990</v>
      </c>
      <c r="K801">
        <v>215809</v>
      </c>
      <c r="L801">
        <v>-6272</v>
      </c>
      <c r="M801">
        <v>6.85</v>
      </c>
      <c r="N801">
        <v>791850</v>
      </c>
      <c r="O801">
        <v>18039700</v>
      </c>
      <c r="P801" s="2">
        <v>4.3894854127285932</v>
      </c>
      <c r="Q801" s="4">
        <v>12.3571945</v>
      </c>
    </row>
    <row r="802" spans="1:17" x14ac:dyDescent="0.4">
      <c r="A802">
        <v>20210821</v>
      </c>
      <c r="B802" s="1">
        <v>0.125</v>
      </c>
      <c r="C802">
        <v>43614</v>
      </c>
      <c r="D802">
        <v>2322</v>
      </c>
      <c r="E802">
        <v>94302</v>
      </c>
      <c r="F802">
        <v>285765</v>
      </c>
      <c r="G802">
        <v>10165</v>
      </c>
      <c r="H802">
        <v>99546</v>
      </c>
      <c r="I802">
        <v>2710</v>
      </c>
      <c r="J802">
        <v>24972</v>
      </c>
      <c r="K802">
        <v>166140</v>
      </c>
      <c r="L802">
        <v>-7614</v>
      </c>
      <c r="M802">
        <v>6.88</v>
      </c>
      <c r="N802">
        <v>721922</v>
      </c>
      <c r="O802">
        <v>17905050</v>
      </c>
      <c r="P802" s="2">
        <v>4.0319462944811661</v>
      </c>
      <c r="Q802" s="4">
        <v>12.318674400000001</v>
      </c>
    </row>
    <row r="803" spans="1:17" x14ac:dyDescent="0.4">
      <c r="A803">
        <v>20210821</v>
      </c>
      <c r="B803" s="1">
        <v>0.14583333333333334</v>
      </c>
      <c r="C803">
        <v>43231</v>
      </c>
      <c r="D803">
        <v>-12903</v>
      </c>
      <c r="E803">
        <v>29269</v>
      </c>
      <c r="F803">
        <v>292245</v>
      </c>
      <c r="G803">
        <v>10392</v>
      </c>
      <c r="H803">
        <v>84763</v>
      </c>
      <c r="I803">
        <v>7477</v>
      </c>
      <c r="J803">
        <v>25285</v>
      </c>
      <c r="K803">
        <v>185860</v>
      </c>
      <c r="L803">
        <v>-4640</v>
      </c>
      <c r="M803">
        <v>6.88</v>
      </c>
      <c r="N803">
        <v>660979</v>
      </c>
      <c r="O803">
        <v>17844200</v>
      </c>
      <c r="P803" s="2">
        <v>3.7041671803723339</v>
      </c>
      <c r="Q803" s="4">
        <v>12.2768096</v>
      </c>
    </row>
    <row r="804" spans="1:17" x14ac:dyDescent="0.4">
      <c r="A804">
        <v>20210821</v>
      </c>
      <c r="B804" s="1">
        <v>0.16666666666666666</v>
      </c>
      <c r="C804">
        <v>35638</v>
      </c>
      <c r="D804">
        <v>-691</v>
      </c>
      <c r="E804">
        <v>58100</v>
      </c>
      <c r="F804">
        <v>273767</v>
      </c>
      <c r="G804">
        <v>29610</v>
      </c>
      <c r="H804">
        <v>158861</v>
      </c>
      <c r="I804">
        <v>32201</v>
      </c>
      <c r="J804">
        <v>25982</v>
      </c>
      <c r="K804">
        <v>195122</v>
      </c>
      <c r="L804">
        <v>-3085</v>
      </c>
      <c r="M804">
        <v>6.89</v>
      </c>
      <c r="N804">
        <v>805505</v>
      </c>
      <c r="O804">
        <v>17884100</v>
      </c>
      <c r="P804" s="2">
        <v>4.5040287182469347</v>
      </c>
      <c r="Q804" s="4">
        <v>12.3221449</v>
      </c>
    </row>
    <row r="805" spans="1:17" x14ac:dyDescent="0.4">
      <c r="A805">
        <v>20210821</v>
      </c>
      <c r="B805" s="1">
        <v>0.1875</v>
      </c>
      <c r="C805">
        <v>75701</v>
      </c>
      <c r="D805">
        <v>-10482</v>
      </c>
      <c r="E805">
        <v>9235</v>
      </c>
      <c r="F805">
        <v>130808</v>
      </c>
      <c r="G805">
        <v>13647</v>
      </c>
      <c r="H805">
        <v>156214</v>
      </c>
      <c r="I805">
        <v>-14603</v>
      </c>
      <c r="J805">
        <v>32205</v>
      </c>
      <c r="K805">
        <v>159476</v>
      </c>
      <c r="L805">
        <v>-2908</v>
      </c>
      <c r="M805">
        <v>6.89</v>
      </c>
      <c r="N805">
        <v>549293</v>
      </c>
      <c r="O805">
        <v>17919800</v>
      </c>
      <c r="P805" s="2">
        <v>3.0652853268451659</v>
      </c>
      <c r="Q805" s="4">
        <v>12.3467422</v>
      </c>
    </row>
    <row r="806" spans="1:17" x14ac:dyDescent="0.4">
      <c r="A806">
        <v>20210821</v>
      </c>
      <c r="B806" s="1">
        <v>0.20833333333333334</v>
      </c>
      <c r="C806">
        <v>35461</v>
      </c>
      <c r="D806">
        <v>4061</v>
      </c>
      <c r="E806">
        <v>54603</v>
      </c>
      <c r="F806">
        <v>124661</v>
      </c>
      <c r="G806">
        <v>18718</v>
      </c>
      <c r="H806">
        <v>223762</v>
      </c>
      <c r="I806">
        <v>-12113</v>
      </c>
      <c r="J806">
        <v>35823</v>
      </c>
      <c r="K806">
        <v>168661</v>
      </c>
      <c r="L806">
        <v>-5895</v>
      </c>
      <c r="M806">
        <v>6.88</v>
      </c>
      <c r="N806">
        <v>647742</v>
      </c>
      <c r="O806">
        <v>17857050</v>
      </c>
      <c r="P806" s="2">
        <v>3.6273740623451243</v>
      </c>
      <c r="Q806" s="4">
        <v>12.2856504</v>
      </c>
    </row>
    <row r="807" spans="1:17" x14ac:dyDescent="0.4">
      <c r="A807">
        <v>20210821</v>
      </c>
      <c r="B807" s="1">
        <v>0.22916666666666666</v>
      </c>
      <c r="C807">
        <v>41195</v>
      </c>
      <c r="D807">
        <v>61716</v>
      </c>
      <c r="E807">
        <v>20123</v>
      </c>
      <c r="F807">
        <v>218706</v>
      </c>
      <c r="G807">
        <v>24676</v>
      </c>
      <c r="H807">
        <v>302933</v>
      </c>
      <c r="I807">
        <v>60954</v>
      </c>
      <c r="J807">
        <v>36077</v>
      </c>
      <c r="K807">
        <v>205891</v>
      </c>
      <c r="L807">
        <v>-1223</v>
      </c>
      <c r="M807">
        <v>6.88</v>
      </c>
      <c r="N807">
        <v>971048</v>
      </c>
      <c r="O807">
        <v>17903450</v>
      </c>
      <c r="P807" s="2">
        <v>5.4238037920065683</v>
      </c>
      <c r="Q807" s="4">
        <v>12.317573599999999</v>
      </c>
    </row>
    <row r="808" spans="1:17" x14ac:dyDescent="0.4">
      <c r="A808">
        <v>20210821</v>
      </c>
      <c r="B808" s="1">
        <v>0.25</v>
      </c>
      <c r="C808">
        <v>88149</v>
      </c>
      <c r="D808">
        <v>123575</v>
      </c>
      <c r="E808">
        <v>17508</v>
      </c>
      <c r="F808">
        <v>195845</v>
      </c>
      <c r="G808">
        <v>7792</v>
      </c>
      <c r="H808">
        <v>271603</v>
      </c>
      <c r="I808">
        <v>-17447</v>
      </c>
      <c r="J808">
        <v>12017</v>
      </c>
      <c r="K808">
        <v>198406</v>
      </c>
      <c r="L808">
        <v>-4455</v>
      </c>
      <c r="M808">
        <v>6.64</v>
      </c>
      <c r="N808">
        <v>892993</v>
      </c>
      <c r="O808">
        <v>18181150</v>
      </c>
      <c r="P808" s="2">
        <v>4.9116420028436041</v>
      </c>
      <c r="Q808" s="4">
        <v>12.0722836</v>
      </c>
    </row>
    <row r="809" spans="1:17" x14ac:dyDescent="0.4">
      <c r="A809">
        <v>20210821</v>
      </c>
      <c r="B809" s="1">
        <v>0.27083333333333331</v>
      </c>
      <c r="C809">
        <v>128279</v>
      </c>
      <c r="D809">
        <v>61270</v>
      </c>
      <c r="E809">
        <v>209379</v>
      </c>
      <c r="F809">
        <v>219666</v>
      </c>
      <c r="G809">
        <v>38378</v>
      </c>
      <c r="H809">
        <v>397459</v>
      </c>
      <c r="I809">
        <v>-60416</v>
      </c>
      <c r="J809">
        <v>-12812</v>
      </c>
      <c r="K809">
        <v>230551</v>
      </c>
      <c r="L809">
        <v>-10463</v>
      </c>
      <c r="M809">
        <v>6.7</v>
      </c>
      <c r="N809">
        <v>1201291</v>
      </c>
      <c r="O809">
        <v>18608650</v>
      </c>
      <c r="P809" s="2">
        <v>6.4555515848812242</v>
      </c>
      <c r="Q809" s="4">
        <v>12.467795499999999</v>
      </c>
    </row>
    <row r="810" spans="1:17" x14ac:dyDescent="0.4">
      <c r="A810">
        <v>20210821</v>
      </c>
      <c r="B810" s="1">
        <v>0.29166666666666669</v>
      </c>
      <c r="C810">
        <v>163282</v>
      </c>
      <c r="D810">
        <v>199522</v>
      </c>
      <c r="E810">
        <v>197104</v>
      </c>
      <c r="F810">
        <v>157686</v>
      </c>
      <c r="G810">
        <v>47524</v>
      </c>
      <c r="H810">
        <v>442899</v>
      </c>
      <c r="I810">
        <v>-138113</v>
      </c>
      <c r="J810">
        <v>-46184</v>
      </c>
      <c r="K810">
        <v>263176</v>
      </c>
      <c r="L810">
        <v>-14883</v>
      </c>
      <c r="M810">
        <v>6.63</v>
      </c>
      <c r="N810">
        <v>1272013</v>
      </c>
      <c r="O810">
        <v>19579550</v>
      </c>
      <c r="P810" s="2">
        <v>6.4966406275935862</v>
      </c>
      <c r="Q810" s="4">
        <v>12.981241649999999</v>
      </c>
    </row>
    <row r="811" spans="1:17" x14ac:dyDescent="0.4">
      <c r="A811">
        <v>20210821</v>
      </c>
      <c r="B811" s="1">
        <v>0.3125</v>
      </c>
      <c r="C811">
        <v>156124</v>
      </c>
      <c r="D811">
        <v>93423</v>
      </c>
      <c r="E811">
        <v>44442</v>
      </c>
      <c r="F811">
        <v>107202</v>
      </c>
      <c r="G811">
        <v>52828</v>
      </c>
      <c r="H811">
        <v>434792</v>
      </c>
      <c r="I811">
        <v>-259146</v>
      </c>
      <c r="J811">
        <v>-79376</v>
      </c>
      <c r="K811">
        <v>336415</v>
      </c>
      <c r="L811">
        <v>-25912</v>
      </c>
      <c r="M811">
        <v>6.63</v>
      </c>
      <c r="N811">
        <v>860792</v>
      </c>
      <c r="O811">
        <v>19875300</v>
      </c>
      <c r="P811" s="2">
        <v>4.3309635577827752</v>
      </c>
      <c r="Q811" s="4">
        <v>13.177323899999999</v>
      </c>
    </row>
    <row r="812" spans="1:17" x14ac:dyDescent="0.4">
      <c r="A812">
        <v>20210821</v>
      </c>
      <c r="B812" s="1">
        <v>0.33333333333333331</v>
      </c>
      <c r="C812">
        <v>210066</v>
      </c>
      <c r="D812">
        <v>206415</v>
      </c>
      <c r="E812">
        <v>57719</v>
      </c>
      <c r="F812">
        <v>381678</v>
      </c>
      <c r="G812">
        <v>57520</v>
      </c>
      <c r="H812">
        <v>175639</v>
      </c>
      <c r="I812">
        <v>-268239</v>
      </c>
      <c r="J812">
        <v>-106881</v>
      </c>
      <c r="K812">
        <v>451228</v>
      </c>
      <c r="L812">
        <v>-20578</v>
      </c>
      <c r="M812">
        <v>6.74</v>
      </c>
      <c r="N812">
        <v>1144567</v>
      </c>
      <c r="O812">
        <v>20682500</v>
      </c>
      <c r="P812" s="2">
        <v>5.5339876707361295</v>
      </c>
      <c r="Q812" s="4">
        <v>13.940004999999999</v>
      </c>
    </row>
    <row r="813" spans="1:17" x14ac:dyDescent="0.4">
      <c r="A813">
        <v>20210821</v>
      </c>
      <c r="B813" s="1">
        <v>0.35416666666666669</v>
      </c>
      <c r="C813">
        <v>196255</v>
      </c>
      <c r="D813">
        <v>153230</v>
      </c>
      <c r="E813">
        <v>-162892</v>
      </c>
      <c r="F813">
        <v>370334</v>
      </c>
      <c r="G813">
        <v>49355</v>
      </c>
      <c r="H813">
        <v>81342</v>
      </c>
      <c r="I813">
        <v>-343492</v>
      </c>
      <c r="J813">
        <v>-112445</v>
      </c>
      <c r="K813">
        <v>495888</v>
      </c>
      <c r="L813">
        <v>-28525</v>
      </c>
      <c r="M813">
        <v>6.93</v>
      </c>
      <c r="N813">
        <v>699050</v>
      </c>
      <c r="O813">
        <v>20879600</v>
      </c>
      <c r="P813" s="2">
        <v>3.3480047510488706</v>
      </c>
      <c r="Q813" s="4">
        <v>14.4695628</v>
      </c>
    </row>
    <row r="814" spans="1:17" x14ac:dyDescent="0.4">
      <c r="A814">
        <v>20210821</v>
      </c>
      <c r="B814" s="1">
        <v>0.375</v>
      </c>
      <c r="C814">
        <v>193815</v>
      </c>
      <c r="D814">
        <v>203912</v>
      </c>
      <c r="E814">
        <v>-145667</v>
      </c>
      <c r="F814">
        <v>393876</v>
      </c>
      <c r="G814">
        <v>79038</v>
      </c>
      <c r="H814">
        <v>-24078</v>
      </c>
      <c r="I814">
        <v>-396351</v>
      </c>
      <c r="J814">
        <v>-109244</v>
      </c>
      <c r="K814">
        <v>278839</v>
      </c>
      <c r="L814">
        <v>-16738</v>
      </c>
      <c r="M814">
        <v>8.39</v>
      </c>
      <c r="N814">
        <v>457402</v>
      </c>
      <c r="O814">
        <v>21365950</v>
      </c>
      <c r="P814" s="2">
        <v>2.1407987943433362</v>
      </c>
      <c r="Q814" s="4">
        <v>17.92603205</v>
      </c>
    </row>
    <row r="815" spans="1:17" x14ac:dyDescent="0.4">
      <c r="A815">
        <v>20210821</v>
      </c>
      <c r="B815" s="1">
        <v>0.39583333333333331</v>
      </c>
      <c r="C815">
        <v>128254</v>
      </c>
      <c r="D815">
        <v>217991</v>
      </c>
      <c r="E815">
        <v>-544750</v>
      </c>
      <c r="F815">
        <v>457598</v>
      </c>
      <c r="G815">
        <v>123810</v>
      </c>
      <c r="H815">
        <v>32689</v>
      </c>
      <c r="I815">
        <v>-377528</v>
      </c>
      <c r="J815">
        <v>-80420</v>
      </c>
      <c r="K815">
        <v>275008</v>
      </c>
      <c r="L815">
        <v>-9066</v>
      </c>
      <c r="M815">
        <v>7.95</v>
      </c>
      <c r="N815">
        <v>223586</v>
      </c>
      <c r="O815">
        <v>22353450</v>
      </c>
      <c r="P815" s="2">
        <v>1.0002303894924498</v>
      </c>
      <c r="Q815" s="4">
        <v>17.770992750000001</v>
      </c>
    </row>
    <row r="816" spans="1:17" x14ac:dyDescent="0.4">
      <c r="A816">
        <v>20210821</v>
      </c>
      <c r="B816" s="1">
        <v>0.41666666666666669</v>
      </c>
      <c r="C816">
        <v>103031</v>
      </c>
      <c r="D816">
        <v>184737</v>
      </c>
      <c r="E816">
        <v>-352228</v>
      </c>
      <c r="F816">
        <v>667179</v>
      </c>
      <c r="G816">
        <v>96563</v>
      </c>
      <c r="H816">
        <v>-2153</v>
      </c>
      <c r="I816">
        <v>-291599</v>
      </c>
      <c r="J816">
        <v>-78646</v>
      </c>
      <c r="K816">
        <v>363603</v>
      </c>
      <c r="L816">
        <v>-7468</v>
      </c>
      <c r="M816">
        <v>7.64</v>
      </c>
      <c r="N816">
        <v>683019</v>
      </c>
      <c r="O816">
        <v>22526700</v>
      </c>
      <c r="P816" s="2">
        <v>3.0320419768541331</v>
      </c>
      <c r="Q816" s="4">
        <v>17.2103988</v>
      </c>
    </row>
    <row r="817" spans="1:17" x14ac:dyDescent="0.4">
      <c r="A817">
        <v>20210821</v>
      </c>
      <c r="B817" s="1">
        <v>0.4375</v>
      </c>
      <c r="C817">
        <v>134978</v>
      </c>
      <c r="D817">
        <v>181630</v>
      </c>
      <c r="E817">
        <v>-231491</v>
      </c>
      <c r="F817">
        <v>696360</v>
      </c>
      <c r="G817">
        <v>89186</v>
      </c>
      <c r="H817">
        <v>86649</v>
      </c>
      <c r="I817">
        <v>-201013</v>
      </c>
      <c r="J817">
        <v>-70288</v>
      </c>
      <c r="K817">
        <v>627067</v>
      </c>
      <c r="L817">
        <v>-12556</v>
      </c>
      <c r="M817">
        <v>7.95</v>
      </c>
      <c r="N817">
        <v>1300522</v>
      </c>
      <c r="O817">
        <v>22624900</v>
      </c>
      <c r="P817" s="2">
        <v>5.7481889422715682</v>
      </c>
      <c r="Q817" s="4">
        <v>17.986795499999999</v>
      </c>
    </row>
    <row r="818" spans="1:17" x14ac:dyDescent="0.4">
      <c r="A818">
        <v>20210821</v>
      </c>
      <c r="B818" s="1">
        <v>0.45833333333333331</v>
      </c>
      <c r="C818">
        <v>80849</v>
      </c>
      <c r="D818">
        <v>221330</v>
      </c>
      <c r="E818">
        <v>143252</v>
      </c>
      <c r="F818">
        <v>485249</v>
      </c>
      <c r="G818">
        <v>73947</v>
      </c>
      <c r="H818">
        <v>49312</v>
      </c>
      <c r="I818">
        <v>-138076</v>
      </c>
      <c r="J818">
        <v>11548</v>
      </c>
      <c r="K818">
        <v>587924</v>
      </c>
      <c r="L818">
        <v>-16236</v>
      </c>
      <c r="M818">
        <v>7.63</v>
      </c>
      <c r="N818">
        <v>1499099</v>
      </c>
      <c r="O818">
        <v>22770650</v>
      </c>
      <c r="P818" s="2">
        <v>6.5834703884166679</v>
      </c>
      <c r="Q818" s="4">
        <v>17.374005950000001</v>
      </c>
    </row>
    <row r="819" spans="1:17" x14ac:dyDescent="0.4">
      <c r="A819">
        <v>20210821</v>
      </c>
      <c r="B819" s="1">
        <v>0.47916666666666669</v>
      </c>
      <c r="C819">
        <v>84110</v>
      </c>
      <c r="D819">
        <v>244364</v>
      </c>
      <c r="E819">
        <v>262055</v>
      </c>
      <c r="F819">
        <v>409078</v>
      </c>
      <c r="G819">
        <v>29221</v>
      </c>
      <c r="H819">
        <v>-45006</v>
      </c>
      <c r="I819">
        <v>-114729</v>
      </c>
      <c r="J819">
        <v>59722</v>
      </c>
      <c r="K819">
        <v>585625</v>
      </c>
      <c r="L819">
        <v>-15447</v>
      </c>
      <c r="M819">
        <v>7.24</v>
      </c>
      <c r="N819">
        <v>1498993</v>
      </c>
      <c r="O819">
        <v>22949400</v>
      </c>
      <c r="P819" s="2">
        <v>6.5317306770547381</v>
      </c>
      <c r="Q819" s="4">
        <v>16.615365600000001</v>
      </c>
    </row>
    <row r="820" spans="1:17" x14ac:dyDescent="0.4">
      <c r="A820">
        <v>20210821</v>
      </c>
      <c r="B820" s="1">
        <v>0.5</v>
      </c>
      <c r="C820">
        <v>131121</v>
      </c>
      <c r="D820">
        <v>307289</v>
      </c>
      <c r="E820">
        <v>430974</v>
      </c>
      <c r="F820">
        <v>199483</v>
      </c>
      <c r="G820">
        <v>16263</v>
      </c>
      <c r="H820">
        <v>-73716</v>
      </c>
      <c r="I820">
        <v>20466</v>
      </c>
      <c r="J820">
        <v>1438</v>
      </c>
      <c r="K820">
        <v>623462</v>
      </c>
      <c r="L820">
        <v>-19220</v>
      </c>
      <c r="M820">
        <v>7.15</v>
      </c>
      <c r="N820">
        <v>1637560</v>
      </c>
      <c r="O820">
        <v>23041950</v>
      </c>
      <c r="P820" s="2">
        <v>7.1068637854001073</v>
      </c>
      <c r="Q820" s="4">
        <v>16.474994250000002</v>
      </c>
    </row>
    <row r="821" spans="1:17" x14ac:dyDescent="0.4">
      <c r="A821">
        <v>20210821</v>
      </c>
      <c r="B821" s="1">
        <v>0.52083333333333337</v>
      </c>
      <c r="C821">
        <v>155290</v>
      </c>
      <c r="D821">
        <v>337793</v>
      </c>
      <c r="E821">
        <v>622344</v>
      </c>
      <c r="F821">
        <v>101090</v>
      </c>
      <c r="G821">
        <v>-2099</v>
      </c>
      <c r="H821">
        <v>-83633</v>
      </c>
      <c r="I821">
        <v>27106</v>
      </c>
      <c r="J821">
        <v>-102850</v>
      </c>
      <c r="K821">
        <v>582464</v>
      </c>
      <c r="L821">
        <v>-30078</v>
      </c>
      <c r="M821">
        <v>7.15</v>
      </c>
      <c r="N821">
        <v>1607427</v>
      </c>
      <c r="O821">
        <v>23096500</v>
      </c>
      <c r="P821" s="2">
        <v>6.9596129283657699</v>
      </c>
      <c r="Q821" s="4">
        <v>16.513997499999999</v>
      </c>
    </row>
    <row r="822" spans="1:17" x14ac:dyDescent="0.4">
      <c r="A822">
        <v>20210821</v>
      </c>
      <c r="B822" s="1">
        <v>0.54166666666666663</v>
      </c>
      <c r="C822">
        <v>147146</v>
      </c>
      <c r="D822">
        <v>301743</v>
      </c>
      <c r="E822">
        <v>496554</v>
      </c>
      <c r="F822">
        <v>36598</v>
      </c>
      <c r="G822">
        <v>-16847</v>
      </c>
      <c r="H822">
        <v>-72601</v>
      </c>
      <c r="I822">
        <v>-30251</v>
      </c>
      <c r="J822">
        <v>-92582</v>
      </c>
      <c r="K822">
        <v>547757</v>
      </c>
      <c r="L822">
        <v>-27654</v>
      </c>
      <c r="M822">
        <v>7.95</v>
      </c>
      <c r="N822">
        <v>1289863</v>
      </c>
      <c r="O822">
        <v>22390400</v>
      </c>
      <c r="P822" s="2">
        <v>5.7607858725167933</v>
      </c>
      <c r="Q822" s="4">
        <v>17.800367999999999</v>
      </c>
    </row>
    <row r="823" spans="1:17" x14ac:dyDescent="0.4">
      <c r="A823">
        <v>20210821</v>
      </c>
      <c r="B823" s="1">
        <v>0.5625</v>
      </c>
      <c r="C823">
        <v>184207</v>
      </c>
      <c r="D823">
        <v>375796</v>
      </c>
      <c r="E823">
        <v>91058</v>
      </c>
      <c r="F823">
        <v>155968</v>
      </c>
      <c r="G823">
        <v>22132</v>
      </c>
      <c r="H823">
        <v>183631</v>
      </c>
      <c r="I823">
        <v>-77844</v>
      </c>
      <c r="J823">
        <v>-119157</v>
      </c>
      <c r="K823">
        <v>484482</v>
      </c>
      <c r="L823">
        <v>-309</v>
      </c>
      <c r="M823">
        <v>7.97</v>
      </c>
      <c r="N823">
        <v>1299964</v>
      </c>
      <c r="O823">
        <v>22046000</v>
      </c>
      <c r="P823" s="2">
        <v>5.8965980223169732</v>
      </c>
      <c r="Q823" s="4">
        <v>17.570661999999999</v>
      </c>
    </row>
    <row r="824" spans="1:17" x14ac:dyDescent="0.4">
      <c r="A824">
        <v>20210821</v>
      </c>
      <c r="B824" s="1">
        <v>0.58333333333333337</v>
      </c>
      <c r="C824">
        <v>140101</v>
      </c>
      <c r="D824">
        <v>257339</v>
      </c>
      <c r="E824">
        <v>-217739</v>
      </c>
      <c r="F824">
        <v>271560</v>
      </c>
      <c r="G824">
        <v>51837</v>
      </c>
      <c r="H824">
        <v>171581</v>
      </c>
      <c r="I824">
        <v>-141788</v>
      </c>
      <c r="J824">
        <v>-86946</v>
      </c>
      <c r="K824">
        <v>549669</v>
      </c>
      <c r="L824">
        <v>19271</v>
      </c>
      <c r="M824">
        <v>7.65</v>
      </c>
      <c r="N824">
        <v>1014885</v>
      </c>
      <c r="O824">
        <v>21739750</v>
      </c>
      <c r="P824" s="2">
        <v>4.6683379523683577</v>
      </c>
      <c r="Q824" s="4">
        <v>16.63090875</v>
      </c>
    </row>
    <row r="825" spans="1:17" x14ac:dyDescent="0.4">
      <c r="A825">
        <v>20210821</v>
      </c>
      <c r="B825" s="1">
        <v>0.60416666666666663</v>
      </c>
      <c r="C825">
        <v>160074</v>
      </c>
      <c r="D825">
        <v>76087</v>
      </c>
      <c r="E825">
        <v>-270805</v>
      </c>
      <c r="F825">
        <v>121896</v>
      </c>
      <c r="G825">
        <v>62418</v>
      </c>
      <c r="H825">
        <v>205925</v>
      </c>
      <c r="I825">
        <v>-61183</v>
      </c>
      <c r="J825">
        <v>-46665</v>
      </c>
      <c r="K825">
        <v>485338</v>
      </c>
      <c r="L825">
        <v>15312</v>
      </c>
      <c r="M825">
        <v>8.14</v>
      </c>
      <c r="N825">
        <v>748397</v>
      </c>
      <c r="O825">
        <v>21385400</v>
      </c>
      <c r="P825" s="2">
        <v>3.4995697999569799</v>
      </c>
      <c r="Q825" s="4">
        <v>17.4077156</v>
      </c>
    </row>
    <row r="826" spans="1:17" x14ac:dyDescent="0.4">
      <c r="A826">
        <v>20210821</v>
      </c>
      <c r="B826" s="1">
        <v>0.625</v>
      </c>
      <c r="C826">
        <v>127872</v>
      </c>
      <c r="D826">
        <v>-50867</v>
      </c>
      <c r="E826">
        <v>-303076</v>
      </c>
      <c r="F826">
        <v>191741</v>
      </c>
      <c r="G826">
        <v>66008</v>
      </c>
      <c r="H826">
        <v>196796</v>
      </c>
      <c r="I826">
        <v>-10233</v>
      </c>
      <c r="J826">
        <v>-52469</v>
      </c>
      <c r="K826">
        <v>581931</v>
      </c>
      <c r="L826">
        <v>-1815</v>
      </c>
      <c r="M826">
        <v>8.39</v>
      </c>
      <c r="N826">
        <v>745888</v>
      </c>
      <c r="O826">
        <v>21239850</v>
      </c>
      <c r="P826" s="2">
        <v>3.5117385480594261</v>
      </c>
      <c r="Q826" s="4">
        <v>17.820234150000001</v>
      </c>
    </row>
    <row r="827" spans="1:17" x14ac:dyDescent="0.4">
      <c r="A827">
        <v>20210821</v>
      </c>
      <c r="B827" s="1">
        <v>0.66666666666666663</v>
      </c>
      <c r="C827">
        <v>76789</v>
      </c>
      <c r="D827">
        <v>14355</v>
      </c>
      <c r="E827">
        <v>-597479</v>
      </c>
      <c r="F827">
        <v>161519</v>
      </c>
      <c r="G827">
        <v>-10506</v>
      </c>
      <c r="H827">
        <v>274356</v>
      </c>
      <c r="I827">
        <v>10455</v>
      </c>
      <c r="J827">
        <v>-59257</v>
      </c>
      <c r="K827">
        <v>267130</v>
      </c>
      <c r="L827">
        <v>11876</v>
      </c>
      <c r="M827">
        <v>8.86</v>
      </c>
      <c r="N827">
        <v>149238</v>
      </c>
      <c r="O827">
        <v>21691550</v>
      </c>
      <c r="P827" s="2">
        <v>0.68800062697225417</v>
      </c>
      <c r="Q827" s="4">
        <v>19.218713300000001</v>
      </c>
    </row>
    <row r="828" spans="1:17" x14ac:dyDescent="0.4">
      <c r="A828">
        <v>20210821</v>
      </c>
      <c r="B828" s="1">
        <v>0.6875</v>
      </c>
      <c r="C828">
        <v>101567</v>
      </c>
      <c r="D828">
        <v>-94255</v>
      </c>
      <c r="E828">
        <v>-336019</v>
      </c>
      <c r="F828">
        <v>75893</v>
      </c>
      <c r="G828">
        <v>-33297</v>
      </c>
      <c r="H828">
        <v>296621</v>
      </c>
      <c r="I828">
        <v>9357</v>
      </c>
      <c r="J828">
        <v>24119</v>
      </c>
      <c r="K828">
        <v>121607</v>
      </c>
      <c r="L828">
        <v>4665</v>
      </c>
      <c r="M828">
        <v>8.99</v>
      </c>
      <c r="N828">
        <v>170258</v>
      </c>
      <c r="O828">
        <v>21195250</v>
      </c>
      <c r="P828" s="2">
        <v>0.80328375461483115</v>
      </c>
      <c r="Q828" s="4">
        <v>19.05452975</v>
      </c>
    </row>
    <row r="829" spans="1:17" x14ac:dyDescent="0.4">
      <c r="A829">
        <v>20210821</v>
      </c>
      <c r="B829" s="1">
        <v>0.70833333333333337</v>
      </c>
      <c r="C829">
        <v>58017</v>
      </c>
      <c r="D829">
        <v>74956</v>
      </c>
      <c r="E829">
        <v>-396510</v>
      </c>
      <c r="F829">
        <v>64078</v>
      </c>
      <c r="G829">
        <v>-36578</v>
      </c>
      <c r="H829">
        <v>418204</v>
      </c>
      <c r="I829">
        <v>27516</v>
      </c>
      <c r="J829">
        <v>12905</v>
      </c>
      <c r="K829">
        <v>36901</v>
      </c>
      <c r="L829">
        <v>4565</v>
      </c>
      <c r="M829">
        <v>8.98</v>
      </c>
      <c r="N829">
        <v>264054</v>
      </c>
      <c r="O829">
        <v>21136350</v>
      </c>
      <c r="P829" s="2">
        <v>1.2492885479280955</v>
      </c>
      <c r="Q829" s="4">
        <v>18.9804423</v>
      </c>
    </row>
    <row r="830" spans="1:17" x14ac:dyDescent="0.4">
      <c r="A830">
        <v>20210821</v>
      </c>
      <c r="B830" s="1">
        <v>0.72916666666666663</v>
      </c>
      <c r="C830">
        <v>75278</v>
      </c>
      <c r="D830">
        <v>38592</v>
      </c>
      <c r="E830">
        <v>-317035</v>
      </c>
      <c r="F830">
        <v>-6466</v>
      </c>
      <c r="G830">
        <v>-33030</v>
      </c>
      <c r="H830">
        <v>364768</v>
      </c>
      <c r="I830">
        <v>115518</v>
      </c>
      <c r="J830">
        <v>1635</v>
      </c>
      <c r="K830">
        <v>-100411</v>
      </c>
      <c r="L830">
        <v>-2332</v>
      </c>
      <c r="M830">
        <v>9.25</v>
      </c>
      <c r="N830">
        <v>136517</v>
      </c>
      <c r="O830">
        <v>20855000</v>
      </c>
      <c r="P830" s="2">
        <v>0.65460081515224167</v>
      </c>
      <c r="Q830" s="4">
        <v>19.290875</v>
      </c>
    </row>
    <row r="831" spans="1:17" x14ac:dyDescent="0.4">
      <c r="A831">
        <v>20210821</v>
      </c>
      <c r="B831" s="1">
        <v>0.8125</v>
      </c>
      <c r="C831">
        <v>1845</v>
      </c>
      <c r="D831">
        <v>24443</v>
      </c>
      <c r="E831">
        <v>-334381</v>
      </c>
      <c r="F831">
        <v>190120</v>
      </c>
      <c r="G831">
        <v>-852</v>
      </c>
      <c r="H831">
        <v>250142</v>
      </c>
      <c r="I831">
        <v>33158</v>
      </c>
      <c r="J831">
        <v>4667</v>
      </c>
      <c r="K831">
        <v>33459</v>
      </c>
      <c r="L831">
        <v>2866</v>
      </c>
      <c r="M831">
        <v>8.99</v>
      </c>
      <c r="N831">
        <v>205467</v>
      </c>
      <c r="O831">
        <v>20340250</v>
      </c>
      <c r="P831" s="2">
        <v>1.0101498260837503</v>
      </c>
      <c r="Q831" s="4">
        <v>18.285884750000001</v>
      </c>
    </row>
    <row r="832" spans="1:17" x14ac:dyDescent="0.4">
      <c r="A832">
        <v>20210821</v>
      </c>
      <c r="B832" s="1">
        <v>0.83333333333333337</v>
      </c>
      <c r="C832">
        <v>64864</v>
      </c>
      <c r="D832">
        <v>13855</v>
      </c>
      <c r="E832">
        <v>-529099</v>
      </c>
      <c r="F832">
        <v>241125</v>
      </c>
      <c r="G832">
        <v>13295</v>
      </c>
      <c r="H832">
        <v>319443</v>
      </c>
      <c r="I832">
        <v>15814</v>
      </c>
      <c r="J832">
        <v>13145</v>
      </c>
      <c r="K832">
        <v>108603</v>
      </c>
      <c r="L832">
        <v>-5527</v>
      </c>
      <c r="M832">
        <v>8.86</v>
      </c>
      <c r="N832">
        <v>255518</v>
      </c>
      <c r="O832">
        <v>20081050</v>
      </c>
      <c r="P832" s="2">
        <v>1.2724334633896135</v>
      </c>
      <c r="Q832" s="4">
        <v>17.791810300000002</v>
      </c>
    </row>
    <row r="833" spans="1:17" x14ac:dyDescent="0.4">
      <c r="A833">
        <v>20210821</v>
      </c>
      <c r="B833" s="1">
        <v>0.85416666666666663</v>
      </c>
      <c r="C833">
        <v>75146</v>
      </c>
      <c r="D833">
        <v>29799</v>
      </c>
      <c r="E833">
        <v>-87853</v>
      </c>
      <c r="F833">
        <v>198309</v>
      </c>
      <c r="G833">
        <v>20878</v>
      </c>
      <c r="H833">
        <v>193871</v>
      </c>
      <c r="I833">
        <v>39545</v>
      </c>
      <c r="J833">
        <v>7228</v>
      </c>
      <c r="K833">
        <v>118804</v>
      </c>
      <c r="L833">
        <v>-2473</v>
      </c>
      <c r="M833">
        <v>8.86</v>
      </c>
      <c r="N833">
        <v>593254</v>
      </c>
      <c r="O833">
        <v>19701750</v>
      </c>
      <c r="P833" s="2">
        <v>3.0111741342774119</v>
      </c>
      <c r="Q833" s="4">
        <v>17.455750500000001</v>
      </c>
    </row>
    <row r="834" spans="1:17" x14ac:dyDescent="0.4">
      <c r="A834">
        <v>20210821</v>
      </c>
      <c r="B834" s="1">
        <v>0.875</v>
      </c>
      <c r="C834">
        <v>95721</v>
      </c>
      <c r="D834">
        <v>44091</v>
      </c>
      <c r="E834">
        <v>-153141</v>
      </c>
      <c r="F834">
        <v>211816</v>
      </c>
      <c r="G834">
        <v>32370</v>
      </c>
      <c r="H834">
        <v>136417</v>
      </c>
      <c r="I834">
        <v>6582</v>
      </c>
      <c r="J834">
        <v>13570</v>
      </c>
      <c r="K834">
        <v>132470</v>
      </c>
      <c r="L834">
        <v>-10375</v>
      </c>
      <c r="M834">
        <v>7.77</v>
      </c>
      <c r="N834">
        <v>509521</v>
      </c>
      <c r="O834">
        <v>19697300</v>
      </c>
      <c r="P834" s="2">
        <v>2.5867555451762425</v>
      </c>
      <c r="Q834" s="4">
        <v>15.3048021</v>
      </c>
    </row>
    <row r="835" spans="1:17" x14ac:dyDescent="0.4">
      <c r="A835">
        <v>20210821</v>
      </c>
      <c r="B835" s="1">
        <v>0.89583333333333337</v>
      </c>
      <c r="C835">
        <v>47335</v>
      </c>
      <c r="D835">
        <v>42588</v>
      </c>
      <c r="E835">
        <v>-166744</v>
      </c>
      <c r="F835">
        <v>229747</v>
      </c>
      <c r="G835">
        <v>26760</v>
      </c>
      <c r="H835">
        <v>195902</v>
      </c>
      <c r="I835">
        <v>47598</v>
      </c>
      <c r="J835">
        <v>4913</v>
      </c>
      <c r="K835">
        <v>92093</v>
      </c>
      <c r="L835">
        <v>-4386</v>
      </c>
      <c r="M835">
        <v>7.41</v>
      </c>
      <c r="N835">
        <v>515806</v>
      </c>
      <c r="O835">
        <v>19896800</v>
      </c>
      <c r="P835" s="2">
        <v>2.5924068191870049</v>
      </c>
      <c r="Q835" s="4">
        <v>14.7435288</v>
      </c>
    </row>
    <row r="836" spans="1:17" x14ac:dyDescent="0.4">
      <c r="A836">
        <v>20210821</v>
      </c>
      <c r="B836" s="1">
        <v>0.91666666666666663</v>
      </c>
      <c r="C836">
        <v>87852</v>
      </c>
      <c r="D836">
        <v>41080</v>
      </c>
      <c r="E836">
        <v>-362687</v>
      </c>
      <c r="F836">
        <v>149485</v>
      </c>
      <c r="G836">
        <v>11456</v>
      </c>
      <c r="H836">
        <v>124236</v>
      </c>
      <c r="I836">
        <v>30020</v>
      </c>
      <c r="J836">
        <v>15220</v>
      </c>
      <c r="K836">
        <v>136608</v>
      </c>
      <c r="L836">
        <v>-115</v>
      </c>
      <c r="M836">
        <v>7.31</v>
      </c>
      <c r="N836">
        <v>233155</v>
      </c>
      <c r="O836">
        <v>19722250</v>
      </c>
      <c r="P836" s="2">
        <v>1.1821927011370406</v>
      </c>
      <c r="Q836" s="4">
        <v>14.41696475</v>
      </c>
    </row>
    <row r="837" spans="1:17" x14ac:dyDescent="0.4">
      <c r="A837">
        <v>20210821</v>
      </c>
      <c r="B837" s="1">
        <v>0.9375</v>
      </c>
      <c r="C837">
        <v>46747</v>
      </c>
      <c r="D837">
        <v>73825</v>
      </c>
      <c r="E837">
        <v>-322610</v>
      </c>
      <c r="F837">
        <v>191189</v>
      </c>
      <c r="G837">
        <v>2671</v>
      </c>
      <c r="H837">
        <v>125611</v>
      </c>
      <c r="I837">
        <v>34089</v>
      </c>
      <c r="J837">
        <v>-1403</v>
      </c>
      <c r="K837">
        <v>69982</v>
      </c>
      <c r="L837">
        <v>6251</v>
      </c>
      <c r="M837">
        <v>7.19</v>
      </c>
      <c r="N837">
        <v>226352</v>
      </c>
      <c r="O837">
        <v>19516600</v>
      </c>
      <c r="P837" s="2">
        <v>1.1597921769160613</v>
      </c>
      <c r="Q837" s="4">
        <v>14.032435400000001</v>
      </c>
    </row>
    <row r="838" spans="1:17" x14ac:dyDescent="0.4">
      <c r="A838">
        <v>20210821</v>
      </c>
      <c r="B838" s="1">
        <v>0.95833333333333337</v>
      </c>
      <c r="C838">
        <v>43633</v>
      </c>
      <c r="D838">
        <v>80407</v>
      </c>
      <c r="E838">
        <v>-398042</v>
      </c>
      <c r="F838">
        <v>138509</v>
      </c>
      <c r="G838">
        <v>15029</v>
      </c>
      <c r="H838">
        <v>90589</v>
      </c>
      <c r="I838">
        <v>92978</v>
      </c>
      <c r="J838">
        <v>-3278</v>
      </c>
      <c r="K838">
        <v>88667</v>
      </c>
      <c r="L838">
        <v>-12506</v>
      </c>
      <c r="M838">
        <v>7.12</v>
      </c>
      <c r="N838">
        <v>135986</v>
      </c>
      <c r="O838">
        <v>18953200</v>
      </c>
      <c r="P838" s="2">
        <v>0.71748306354599756</v>
      </c>
      <c r="Q838" s="4">
        <v>13.4946784</v>
      </c>
    </row>
    <row r="839" spans="1:17" x14ac:dyDescent="0.4">
      <c r="A839">
        <v>20210822</v>
      </c>
      <c r="B839" s="1">
        <v>0.25</v>
      </c>
      <c r="C839">
        <v>31161</v>
      </c>
      <c r="D839">
        <v>9803</v>
      </c>
      <c r="E839">
        <v>-253721</v>
      </c>
      <c r="F839">
        <v>180329</v>
      </c>
      <c r="G839">
        <v>71129</v>
      </c>
      <c r="H839">
        <v>61548</v>
      </c>
      <c r="I839">
        <v>8653</v>
      </c>
      <c r="J839">
        <v>48892</v>
      </c>
      <c r="K839">
        <v>-138428</v>
      </c>
      <c r="L839">
        <v>-8504</v>
      </c>
      <c r="M839">
        <v>6.3</v>
      </c>
      <c r="N839">
        <v>10862</v>
      </c>
      <c r="O839">
        <v>17764500</v>
      </c>
      <c r="P839" s="2">
        <v>6.1144417236623602E-2</v>
      </c>
      <c r="Q839" s="4">
        <v>11.191635</v>
      </c>
    </row>
    <row r="840" spans="1:17" x14ac:dyDescent="0.4">
      <c r="A840">
        <v>20210822</v>
      </c>
      <c r="B840" s="1">
        <v>0.27083333333333331</v>
      </c>
      <c r="C840">
        <v>41119</v>
      </c>
      <c r="D840">
        <v>-27006</v>
      </c>
      <c r="E840">
        <v>-334969</v>
      </c>
      <c r="F840">
        <v>309079</v>
      </c>
      <c r="G840">
        <v>68553</v>
      </c>
      <c r="H840">
        <v>68719</v>
      </c>
      <c r="I840">
        <v>65821</v>
      </c>
      <c r="J840">
        <v>61679</v>
      </c>
      <c r="K840">
        <v>-153256</v>
      </c>
      <c r="L840">
        <v>-1140</v>
      </c>
      <c r="M840">
        <v>6.22</v>
      </c>
      <c r="N840">
        <v>98599</v>
      </c>
      <c r="O840">
        <v>18283650</v>
      </c>
      <c r="P840" s="2">
        <v>0.53927416024699659</v>
      </c>
      <c r="Q840" s="4">
        <v>11.3724303</v>
      </c>
    </row>
    <row r="841" spans="1:17" x14ac:dyDescent="0.4">
      <c r="A841">
        <v>20210822</v>
      </c>
      <c r="B841" s="1">
        <v>0.29166666666666669</v>
      </c>
      <c r="C841">
        <v>29305</v>
      </c>
      <c r="D841">
        <v>107809</v>
      </c>
      <c r="E841">
        <v>-308429</v>
      </c>
      <c r="F841">
        <v>274684</v>
      </c>
      <c r="G841">
        <v>80221</v>
      </c>
      <c r="H841">
        <v>201735</v>
      </c>
      <c r="I841">
        <v>80207</v>
      </c>
      <c r="J841">
        <v>54485</v>
      </c>
      <c r="K841">
        <v>-230499</v>
      </c>
      <c r="L841">
        <v>10847</v>
      </c>
      <c r="M841">
        <v>6.04</v>
      </c>
      <c r="N841">
        <v>300365</v>
      </c>
      <c r="O841">
        <v>18854900</v>
      </c>
      <c r="P841" s="2">
        <v>1.5930341714885785</v>
      </c>
      <c r="Q841" s="4">
        <v>11.388359599999999</v>
      </c>
    </row>
    <row r="842" spans="1:17" x14ac:dyDescent="0.4">
      <c r="A842">
        <v>20210822</v>
      </c>
      <c r="B842" s="1">
        <v>0.3125</v>
      </c>
      <c r="C842">
        <v>-545</v>
      </c>
      <c r="D842">
        <v>158817</v>
      </c>
      <c r="E842">
        <v>-506655</v>
      </c>
      <c r="F842">
        <v>500861</v>
      </c>
      <c r="G842">
        <v>87093</v>
      </c>
      <c r="H842">
        <v>121423</v>
      </c>
      <c r="I842">
        <v>-45428</v>
      </c>
      <c r="J842">
        <v>84701</v>
      </c>
      <c r="K842">
        <v>-283120</v>
      </c>
      <c r="L842">
        <v>17574</v>
      </c>
      <c r="M842">
        <v>6.02</v>
      </c>
      <c r="N842">
        <v>134721</v>
      </c>
      <c r="O842">
        <v>19171250</v>
      </c>
      <c r="P842" s="2">
        <v>0.70272413118602073</v>
      </c>
      <c r="Q842" s="4">
        <v>11.541092499999998</v>
      </c>
    </row>
    <row r="843" spans="1:17" x14ac:dyDescent="0.4">
      <c r="A843">
        <v>20210822</v>
      </c>
      <c r="B843" s="1">
        <v>0.33333333333333331</v>
      </c>
      <c r="C843">
        <v>49415</v>
      </c>
      <c r="D843">
        <v>215447</v>
      </c>
      <c r="E843">
        <v>-351747</v>
      </c>
      <c r="F843">
        <v>425106</v>
      </c>
      <c r="G843">
        <v>98608</v>
      </c>
      <c r="H843">
        <v>135094</v>
      </c>
      <c r="I843">
        <v>-101064</v>
      </c>
      <c r="J843">
        <v>149960</v>
      </c>
      <c r="K843">
        <v>-337887</v>
      </c>
      <c r="L843">
        <v>34569</v>
      </c>
      <c r="M843">
        <v>6.01</v>
      </c>
      <c r="N843">
        <v>317501</v>
      </c>
      <c r="O843">
        <v>19752700</v>
      </c>
      <c r="P843" s="2">
        <v>1.6073802568762752</v>
      </c>
      <c r="Q843" s="4">
        <v>11.8713727</v>
      </c>
    </row>
    <row r="844" spans="1:17" x14ac:dyDescent="0.4">
      <c r="A844">
        <v>20210822</v>
      </c>
      <c r="B844" s="1">
        <v>0.35416666666666669</v>
      </c>
      <c r="C844">
        <v>26405</v>
      </c>
      <c r="D844">
        <v>189123</v>
      </c>
      <c r="E844">
        <v>-389765</v>
      </c>
      <c r="F844">
        <v>325863</v>
      </c>
      <c r="G844">
        <v>138903</v>
      </c>
      <c r="H844">
        <v>337502</v>
      </c>
      <c r="I844">
        <v>-265925</v>
      </c>
      <c r="J844">
        <v>148712</v>
      </c>
      <c r="K844">
        <v>-269875</v>
      </c>
      <c r="L844">
        <v>30122</v>
      </c>
      <c r="M844">
        <v>6.08</v>
      </c>
      <c r="N844">
        <v>271065</v>
      </c>
      <c r="O844">
        <v>20293700</v>
      </c>
      <c r="P844" s="2">
        <v>1.3357100972222906</v>
      </c>
      <c r="Q844" s="4">
        <v>12.3385696</v>
      </c>
    </row>
    <row r="845" spans="1:17" x14ac:dyDescent="0.4">
      <c r="A845">
        <v>20210822</v>
      </c>
      <c r="B845" s="1">
        <v>0.375</v>
      </c>
      <c r="C845">
        <v>71248</v>
      </c>
      <c r="D845">
        <v>125965</v>
      </c>
      <c r="E845">
        <v>-476273</v>
      </c>
      <c r="F845">
        <v>278082</v>
      </c>
      <c r="G845">
        <v>77504</v>
      </c>
      <c r="H845">
        <v>283795</v>
      </c>
      <c r="I845">
        <v>-249510</v>
      </c>
      <c r="J845">
        <v>76197</v>
      </c>
      <c r="K845">
        <v>-154673</v>
      </c>
      <c r="L845">
        <v>31391</v>
      </c>
      <c r="M845">
        <v>6.03</v>
      </c>
      <c r="N845">
        <v>63726</v>
      </c>
      <c r="O845">
        <v>21007300</v>
      </c>
      <c r="P845" s="2">
        <v>0.30335169203086548</v>
      </c>
      <c r="Q845" s="4">
        <v>12.6674019</v>
      </c>
    </row>
    <row r="846" spans="1:17" x14ac:dyDescent="0.4">
      <c r="A846">
        <v>20210822</v>
      </c>
      <c r="B846" s="1">
        <v>0.41666666666666669</v>
      </c>
      <c r="C846">
        <v>54609</v>
      </c>
      <c r="D846">
        <v>66317</v>
      </c>
      <c r="E846">
        <v>-400777</v>
      </c>
      <c r="F846">
        <v>269571</v>
      </c>
      <c r="G846">
        <v>84015</v>
      </c>
      <c r="H846">
        <v>304473</v>
      </c>
      <c r="I846">
        <v>-124221</v>
      </c>
      <c r="J846">
        <v>51020</v>
      </c>
      <c r="K846">
        <v>-295827</v>
      </c>
      <c r="L846">
        <v>11200</v>
      </c>
      <c r="M846">
        <v>5.97</v>
      </c>
      <c r="N846">
        <v>20380</v>
      </c>
      <c r="O846">
        <v>21758350</v>
      </c>
      <c r="P846" s="2">
        <v>9.3665190604986126E-2</v>
      </c>
      <c r="Q846" s="4">
        <v>12.989734950000001</v>
      </c>
    </row>
    <row r="847" spans="1:17" x14ac:dyDescent="0.4">
      <c r="A847">
        <v>20210822</v>
      </c>
      <c r="B847" s="1">
        <v>0.4375</v>
      </c>
      <c r="C847">
        <v>59381</v>
      </c>
      <c r="D847">
        <v>18732</v>
      </c>
      <c r="E847">
        <v>-465079</v>
      </c>
      <c r="F847">
        <v>464282</v>
      </c>
      <c r="G847">
        <v>95425</v>
      </c>
      <c r="H847">
        <v>368951</v>
      </c>
      <c r="I847">
        <v>-142964</v>
      </c>
      <c r="J847">
        <v>65824</v>
      </c>
      <c r="K847">
        <v>-253636</v>
      </c>
      <c r="L847">
        <v>11377</v>
      </c>
      <c r="M847">
        <v>5.97</v>
      </c>
      <c r="N847">
        <v>222293</v>
      </c>
      <c r="O847">
        <v>21987400</v>
      </c>
      <c r="P847" s="2">
        <v>1.0110017555509063</v>
      </c>
      <c r="Q847" s="4">
        <v>13.1264778</v>
      </c>
    </row>
    <row r="848" spans="1:17" x14ac:dyDescent="0.4">
      <c r="A848">
        <v>20210822</v>
      </c>
      <c r="B848" s="1">
        <v>0.45833333333333331</v>
      </c>
      <c r="C848">
        <v>21552</v>
      </c>
      <c r="D848">
        <v>78332</v>
      </c>
      <c r="E848">
        <v>-113573</v>
      </c>
      <c r="F848">
        <v>615425</v>
      </c>
      <c r="G848">
        <v>18543</v>
      </c>
      <c r="H848">
        <v>225812</v>
      </c>
      <c r="I848">
        <v>-204193</v>
      </c>
      <c r="J848">
        <v>-14165</v>
      </c>
      <c r="K848">
        <v>-215241</v>
      </c>
      <c r="L848">
        <v>4900</v>
      </c>
      <c r="M848">
        <v>6.01</v>
      </c>
      <c r="N848">
        <v>417392</v>
      </c>
      <c r="O848">
        <v>22273950</v>
      </c>
      <c r="P848" s="2">
        <v>1.873902024562325</v>
      </c>
      <c r="Q848" s="4">
        <v>13.38664395</v>
      </c>
    </row>
    <row r="849" spans="1:17" x14ac:dyDescent="0.4">
      <c r="A849">
        <v>20210822</v>
      </c>
      <c r="B849" s="1">
        <v>0.97916666666666663</v>
      </c>
      <c r="C849">
        <v>42239</v>
      </c>
      <c r="D849">
        <v>28527</v>
      </c>
      <c r="E849">
        <v>-147927</v>
      </c>
      <c r="F849">
        <v>157912</v>
      </c>
      <c r="G849">
        <v>58971</v>
      </c>
      <c r="H849">
        <v>73007</v>
      </c>
      <c r="I849">
        <v>-7052</v>
      </c>
      <c r="J849">
        <v>9458</v>
      </c>
      <c r="K849">
        <v>2757</v>
      </c>
      <c r="L849">
        <v>-29600</v>
      </c>
      <c r="M849">
        <v>6.36</v>
      </c>
      <c r="N849">
        <v>188292</v>
      </c>
      <c r="O849">
        <v>18390200</v>
      </c>
      <c r="P849" s="2">
        <v>1.0238714097725963</v>
      </c>
      <c r="Q849" s="4">
        <v>11.6961672</v>
      </c>
    </row>
    <row r="850" spans="1:17" x14ac:dyDescent="0.4">
      <c r="A850">
        <v>20210823</v>
      </c>
      <c r="B850" s="1">
        <v>0</v>
      </c>
      <c r="C850">
        <v>71934</v>
      </c>
      <c r="D850">
        <v>109266</v>
      </c>
      <c r="E850">
        <v>-301936</v>
      </c>
      <c r="F850">
        <v>99250</v>
      </c>
      <c r="G850">
        <v>5337</v>
      </c>
      <c r="H850">
        <v>16010</v>
      </c>
      <c r="I850">
        <v>17459</v>
      </c>
      <c r="J850">
        <v>12040</v>
      </c>
      <c r="K850">
        <v>95682</v>
      </c>
      <c r="L850">
        <v>-15847</v>
      </c>
      <c r="M850">
        <v>6.48</v>
      </c>
      <c r="N850">
        <v>109195</v>
      </c>
      <c r="O850">
        <v>17648600</v>
      </c>
      <c r="P850" s="2">
        <v>0.61871763199347252</v>
      </c>
      <c r="Q850" s="4">
        <v>11.436292800000002</v>
      </c>
    </row>
    <row r="851" spans="1:17" x14ac:dyDescent="0.4">
      <c r="A851">
        <v>20210823</v>
      </c>
      <c r="B851" s="1">
        <v>2.0833333333333332E-2</v>
      </c>
      <c r="C851">
        <v>80504</v>
      </c>
      <c r="D851">
        <v>70948</v>
      </c>
      <c r="E851">
        <v>-271219</v>
      </c>
      <c r="F851">
        <v>119712</v>
      </c>
      <c r="G851">
        <v>21990</v>
      </c>
      <c r="H851">
        <v>97951</v>
      </c>
      <c r="I851">
        <v>55569</v>
      </c>
      <c r="J851">
        <v>7768</v>
      </c>
      <c r="K851">
        <v>46394</v>
      </c>
      <c r="L851">
        <v>-5959</v>
      </c>
      <c r="M851">
        <v>6.4</v>
      </c>
      <c r="N851">
        <v>223658</v>
      </c>
      <c r="O851">
        <v>18209600</v>
      </c>
      <c r="P851" s="2">
        <v>1.2282422458483437</v>
      </c>
      <c r="Q851" s="4">
        <v>11.654144000000001</v>
      </c>
    </row>
    <row r="852" spans="1:17" x14ac:dyDescent="0.4">
      <c r="A852">
        <v>20210823</v>
      </c>
      <c r="B852" s="1">
        <v>4.1666666666666664E-2</v>
      </c>
      <c r="C852">
        <v>68735</v>
      </c>
      <c r="D852">
        <v>101534</v>
      </c>
      <c r="E852">
        <v>-314958</v>
      </c>
      <c r="F852">
        <v>114972</v>
      </c>
      <c r="G852">
        <v>4376</v>
      </c>
      <c r="H852">
        <v>6021</v>
      </c>
      <c r="I852">
        <v>38742</v>
      </c>
      <c r="J852">
        <v>14379</v>
      </c>
      <c r="K852">
        <v>44131</v>
      </c>
      <c r="L852">
        <v>-10933</v>
      </c>
      <c r="M852">
        <v>6.38</v>
      </c>
      <c r="N852">
        <v>66999</v>
      </c>
      <c r="O852">
        <v>18138950</v>
      </c>
      <c r="P852" s="2">
        <v>0.36936537120395613</v>
      </c>
      <c r="Q852" s="4">
        <v>11.572650100000001</v>
      </c>
    </row>
    <row r="853" spans="1:17" x14ac:dyDescent="0.4">
      <c r="A853">
        <v>20210823</v>
      </c>
      <c r="B853" s="1">
        <v>6.25E-2</v>
      </c>
      <c r="C853">
        <v>62720</v>
      </c>
      <c r="D853">
        <v>103582</v>
      </c>
      <c r="E853">
        <v>-241787</v>
      </c>
      <c r="F853">
        <v>107654</v>
      </c>
      <c r="G853">
        <v>1836</v>
      </c>
      <c r="H853">
        <v>-66033</v>
      </c>
      <c r="I853">
        <v>95217</v>
      </c>
      <c r="J853">
        <v>8055</v>
      </c>
      <c r="K853">
        <v>95370</v>
      </c>
      <c r="L853">
        <v>-6891</v>
      </c>
      <c r="M853">
        <v>6.38</v>
      </c>
      <c r="N853">
        <v>159723</v>
      </c>
      <c r="O853">
        <v>18163150</v>
      </c>
      <c r="P853" s="2">
        <v>0.8793794028018268</v>
      </c>
      <c r="Q853" s="4">
        <v>11.588089699999999</v>
      </c>
    </row>
    <row r="854" spans="1:17" x14ac:dyDescent="0.4">
      <c r="A854">
        <v>20210823</v>
      </c>
      <c r="B854" s="1">
        <v>0.16666666666666666</v>
      </c>
      <c r="C854">
        <v>-30453</v>
      </c>
      <c r="D854">
        <v>72779</v>
      </c>
      <c r="E854">
        <v>-102001</v>
      </c>
      <c r="F854">
        <v>232751</v>
      </c>
      <c r="G854">
        <v>-9756</v>
      </c>
      <c r="H854">
        <v>-201661</v>
      </c>
      <c r="I854">
        <v>100190</v>
      </c>
      <c r="J854">
        <v>-6929</v>
      </c>
      <c r="K854">
        <v>53765</v>
      </c>
      <c r="L854">
        <v>-5899</v>
      </c>
      <c r="M854">
        <v>6.49</v>
      </c>
      <c r="N854">
        <v>102786</v>
      </c>
      <c r="O854">
        <v>19134600</v>
      </c>
      <c r="P854" s="2">
        <v>0.53717349722492236</v>
      </c>
      <c r="Q854" s="4">
        <v>12.418355399999999</v>
      </c>
    </row>
    <row r="855" spans="1:17" x14ac:dyDescent="0.4">
      <c r="A855">
        <v>20210823</v>
      </c>
      <c r="B855" s="1">
        <v>0.22916666666666666</v>
      </c>
      <c r="C855">
        <v>13205</v>
      </c>
      <c r="D855">
        <v>142055</v>
      </c>
      <c r="E855">
        <v>-73487</v>
      </c>
      <c r="F855">
        <v>-20278</v>
      </c>
      <c r="G855">
        <v>-40286</v>
      </c>
      <c r="H855">
        <v>-57598</v>
      </c>
      <c r="I855">
        <v>86024</v>
      </c>
      <c r="J855">
        <v>-12180</v>
      </c>
      <c r="K855">
        <v>-4024</v>
      </c>
      <c r="L855">
        <v>-14970</v>
      </c>
      <c r="M855">
        <v>6.35</v>
      </c>
      <c r="N855">
        <v>18461</v>
      </c>
      <c r="O855">
        <v>19433150</v>
      </c>
      <c r="P855" s="2">
        <v>9.4997465670773912E-2</v>
      </c>
      <c r="Q855" s="4">
        <v>12.340050250000001</v>
      </c>
    </row>
    <row r="856" spans="1:17" x14ac:dyDescent="0.4">
      <c r="A856">
        <v>20210823</v>
      </c>
      <c r="B856" s="1">
        <v>0.35416666666666669</v>
      </c>
      <c r="C856">
        <v>-41600</v>
      </c>
      <c r="D856">
        <v>308197</v>
      </c>
      <c r="E856">
        <v>194491</v>
      </c>
      <c r="F856">
        <v>74118</v>
      </c>
      <c r="G856">
        <v>6286</v>
      </c>
      <c r="H856">
        <v>-364733</v>
      </c>
      <c r="I856">
        <v>98828</v>
      </c>
      <c r="J856">
        <v>57756</v>
      </c>
      <c r="K856">
        <v>376194</v>
      </c>
      <c r="L856">
        <v>-74340</v>
      </c>
      <c r="M856">
        <v>7.21</v>
      </c>
      <c r="N856">
        <v>635197</v>
      </c>
      <c r="O856">
        <v>22457600</v>
      </c>
      <c r="P856" s="2">
        <v>2.8284277928184669</v>
      </c>
      <c r="Q856" s="4">
        <v>16.191929600000002</v>
      </c>
    </row>
    <row r="857" spans="1:17" x14ac:dyDescent="0.4">
      <c r="A857">
        <v>20210823</v>
      </c>
      <c r="B857" s="1">
        <v>0.375</v>
      </c>
      <c r="C857">
        <v>-34669</v>
      </c>
      <c r="D857">
        <v>294405</v>
      </c>
      <c r="E857">
        <v>732238</v>
      </c>
      <c r="F857">
        <v>362355</v>
      </c>
      <c r="G857">
        <v>11019</v>
      </c>
      <c r="H857">
        <v>-320172</v>
      </c>
      <c r="I857">
        <v>140018</v>
      </c>
      <c r="J857">
        <v>67494</v>
      </c>
      <c r="K857">
        <v>232708</v>
      </c>
      <c r="L857">
        <v>-55756</v>
      </c>
      <c r="M857">
        <v>8.86</v>
      </c>
      <c r="N857">
        <v>1429640</v>
      </c>
      <c r="O857">
        <v>23413800</v>
      </c>
      <c r="P857" s="2">
        <v>6.1059716919081906</v>
      </c>
      <c r="Q857" s="4">
        <v>20.744626799999999</v>
      </c>
    </row>
    <row r="858" spans="1:17" x14ac:dyDescent="0.4">
      <c r="A858">
        <v>20210823</v>
      </c>
      <c r="B858" s="1">
        <v>0.39583333333333331</v>
      </c>
      <c r="C858">
        <v>-63600</v>
      </c>
      <c r="D858">
        <v>88747</v>
      </c>
      <c r="E858">
        <v>995445</v>
      </c>
      <c r="F858">
        <v>724515</v>
      </c>
      <c r="G858">
        <v>14797</v>
      </c>
      <c r="H858">
        <v>-179437</v>
      </c>
      <c r="I858">
        <v>141744</v>
      </c>
      <c r="J858">
        <v>35942</v>
      </c>
      <c r="K858">
        <v>173231</v>
      </c>
      <c r="L858">
        <v>-58371</v>
      </c>
      <c r="M858">
        <v>8.86</v>
      </c>
      <c r="N858">
        <v>1873013</v>
      </c>
      <c r="O858">
        <v>23431950</v>
      </c>
      <c r="P858" s="2">
        <v>7.993414973999176</v>
      </c>
      <c r="Q858" s="4">
        <v>20.760707700000001</v>
      </c>
    </row>
    <row r="859" spans="1:17" x14ac:dyDescent="0.4">
      <c r="A859">
        <v>20210823</v>
      </c>
      <c r="B859" s="1">
        <v>0.41666666666666669</v>
      </c>
      <c r="C859">
        <v>-24464</v>
      </c>
      <c r="D859">
        <v>121618</v>
      </c>
      <c r="E859">
        <v>1435599</v>
      </c>
      <c r="F859">
        <v>845187</v>
      </c>
      <c r="G859">
        <v>-925</v>
      </c>
      <c r="H859">
        <v>-120564</v>
      </c>
      <c r="I859">
        <v>164046</v>
      </c>
      <c r="J859">
        <v>78243</v>
      </c>
      <c r="K859">
        <v>106290</v>
      </c>
      <c r="L859">
        <v>-66963</v>
      </c>
      <c r="M859">
        <v>8.86</v>
      </c>
      <c r="N859">
        <v>2538067</v>
      </c>
      <c r="O859">
        <v>23755950</v>
      </c>
      <c r="P859" s="2">
        <v>10.683921291297549</v>
      </c>
      <c r="Q859" s="4">
        <v>21.047771699999998</v>
      </c>
    </row>
    <row r="860" spans="1:17" x14ac:dyDescent="0.4">
      <c r="A860">
        <v>20210823</v>
      </c>
      <c r="B860" s="1">
        <v>0.4375</v>
      </c>
      <c r="C860">
        <v>-18356</v>
      </c>
      <c r="D860">
        <v>93725</v>
      </c>
      <c r="E860">
        <v>1938002</v>
      </c>
      <c r="F860">
        <v>917005</v>
      </c>
      <c r="G860">
        <v>14944</v>
      </c>
      <c r="H860">
        <v>-157830</v>
      </c>
      <c r="I860">
        <v>33030</v>
      </c>
      <c r="J860">
        <v>45496</v>
      </c>
      <c r="K860">
        <v>258709</v>
      </c>
      <c r="L860">
        <v>-70798</v>
      </c>
      <c r="M860">
        <v>8.86</v>
      </c>
      <c r="N860">
        <v>3053927</v>
      </c>
      <c r="O860">
        <v>23945100</v>
      </c>
      <c r="P860" s="2">
        <v>12.753870311671282</v>
      </c>
      <c r="Q860" s="4">
        <v>21.215358599999998</v>
      </c>
    </row>
    <row r="861" spans="1:17" x14ac:dyDescent="0.4">
      <c r="A861">
        <v>20210823</v>
      </c>
      <c r="B861" s="1">
        <v>0.45833333333333331</v>
      </c>
      <c r="C861">
        <v>5378</v>
      </c>
      <c r="D861">
        <v>318613</v>
      </c>
      <c r="E861">
        <v>2190842</v>
      </c>
      <c r="F861">
        <v>977751</v>
      </c>
      <c r="G861">
        <v>88513</v>
      </c>
      <c r="H861">
        <v>-231264</v>
      </c>
      <c r="I861">
        <v>58865</v>
      </c>
      <c r="J861">
        <v>36994</v>
      </c>
      <c r="K861">
        <v>261107</v>
      </c>
      <c r="L861">
        <v>-64453</v>
      </c>
      <c r="M861">
        <v>8.86</v>
      </c>
      <c r="N861">
        <v>3642346</v>
      </c>
      <c r="O861">
        <v>24399450</v>
      </c>
      <c r="P861" s="2">
        <v>14.927984032426961</v>
      </c>
      <c r="Q861" s="4">
        <v>21.617912700000002</v>
      </c>
    </row>
    <row r="862" spans="1:17" x14ac:dyDescent="0.4">
      <c r="A862">
        <v>20210823</v>
      </c>
      <c r="B862" s="1">
        <v>0.47916666666666669</v>
      </c>
      <c r="C862">
        <v>44880</v>
      </c>
      <c r="D862">
        <v>272266</v>
      </c>
      <c r="E862">
        <v>2540706</v>
      </c>
      <c r="F862">
        <v>1026344</v>
      </c>
      <c r="G862">
        <v>107568</v>
      </c>
      <c r="H862">
        <v>-278810</v>
      </c>
      <c r="I862">
        <v>-4717</v>
      </c>
      <c r="J862">
        <v>-33088</v>
      </c>
      <c r="K862">
        <v>211072</v>
      </c>
      <c r="L862">
        <v>-63126</v>
      </c>
      <c r="M862">
        <v>8.86</v>
      </c>
      <c r="N862">
        <v>3823095</v>
      </c>
      <c r="O862">
        <v>24642550</v>
      </c>
      <c r="P862" s="2">
        <v>15.514202061069167</v>
      </c>
      <c r="Q862" s="4">
        <v>21.8332993</v>
      </c>
    </row>
    <row r="863" spans="1:17" x14ac:dyDescent="0.4">
      <c r="A863">
        <v>20210823</v>
      </c>
      <c r="B863" s="1">
        <v>0.5</v>
      </c>
      <c r="C863">
        <v>9343</v>
      </c>
      <c r="D863">
        <v>153724</v>
      </c>
      <c r="E863">
        <v>2348157</v>
      </c>
      <c r="F863">
        <v>870736</v>
      </c>
      <c r="G863">
        <v>85407</v>
      </c>
      <c r="H863">
        <v>-243290</v>
      </c>
      <c r="I863">
        <v>236040</v>
      </c>
      <c r="J863">
        <v>-104343</v>
      </c>
      <c r="K863">
        <v>68915</v>
      </c>
      <c r="L863">
        <v>-40271</v>
      </c>
      <c r="M863">
        <v>8.39</v>
      </c>
      <c r="N863">
        <v>3384418</v>
      </c>
      <c r="O863">
        <v>24737600</v>
      </c>
      <c r="P863" s="2">
        <v>13.681270616389625</v>
      </c>
      <c r="Q863" s="4">
        <v>20.754846400000002</v>
      </c>
    </row>
    <row r="864" spans="1:17" x14ac:dyDescent="0.4">
      <c r="A864">
        <v>20210823</v>
      </c>
      <c r="B864" s="1">
        <v>0.52083333333333337</v>
      </c>
      <c r="C864">
        <v>-17578</v>
      </c>
      <c r="D864">
        <v>135563</v>
      </c>
      <c r="E864">
        <v>2379210</v>
      </c>
      <c r="F864">
        <v>579964</v>
      </c>
      <c r="G864">
        <v>71537</v>
      </c>
      <c r="H864">
        <v>-436484</v>
      </c>
      <c r="I864">
        <v>487332</v>
      </c>
      <c r="J864">
        <v>-90900</v>
      </c>
      <c r="K864">
        <v>172758</v>
      </c>
      <c r="L864">
        <v>-41954</v>
      </c>
      <c r="M864">
        <v>8.39</v>
      </c>
      <c r="N864">
        <v>3239448</v>
      </c>
      <c r="O864">
        <v>24985450</v>
      </c>
      <c r="P864" s="2">
        <v>12.965337826615089</v>
      </c>
      <c r="Q864" s="4">
        <v>20.96279255</v>
      </c>
    </row>
    <row r="865" spans="1:17" x14ac:dyDescent="0.4">
      <c r="A865">
        <v>20210823</v>
      </c>
      <c r="B865" s="1">
        <v>0.54166666666666663</v>
      </c>
      <c r="C865">
        <v>-28103</v>
      </c>
      <c r="D865">
        <v>238270</v>
      </c>
      <c r="E865">
        <v>2194053</v>
      </c>
      <c r="F865">
        <v>268816</v>
      </c>
      <c r="G865">
        <v>127980</v>
      </c>
      <c r="H865">
        <v>-348283</v>
      </c>
      <c r="I865">
        <v>543514</v>
      </c>
      <c r="J865">
        <v>-5185</v>
      </c>
      <c r="K865">
        <v>224542</v>
      </c>
      <c r="L865">
        <v>-47651</v>
      </c>
      <c r="M865">
        <v>8.86</v>
      </c>
      <c r="N865">
        <v>3167953</v>
      </c>
      <c r="O865">
        <v>24150250</v>
      </c>
      <c r="P865" s="2">
        <v>13.117682011573379</v>
      </c>
      <c r="Q865" s="4">
        <v>21.397121500000001</v>
      </c>
    </row>
    <row r="866" spans="1:17" x14ac:dyDescent="0.4">
      <c r="A866">
        <v>20210823</v>
      </c>
      <c r="B866" s="1">
        <v>0.5625</v>
      </c>
      <c r="C866">
        <v>-30637</v>
      </c>
      <c r="D866">
        <v>176643</v>
      </c>
      <c r="E866">
        <v>1203346</v>
      </c>
      <c r="F866">
        <v>169198</v>
      </c>
      <c r="G866">
        <v>159081</v>
      </c>
      <c r="H866">
        <v>-209786</v>
      </c>
      <c r="I866">
        <v>602424</v>
      </c>
      <c r="J866">
        <v>59046</v>
      </c>
      <c r="K866">
        <v>199116</v>
      </c>
      <c r="L866">
        <v>-45483</v>
      </c>
      <c r="M866">
        <v>8.86</v>
      </c>
      <c r="N866">
        <v>2282948</v>
      </c>
      <c r="O866">
        <v>23939300</v>
      </c>
      <c r="P866" s="2">
        <v>9.5364024846173443</v>
      </c>
      <c r="Q866" s="4">
        <v>21.210219800000001</v>
      </c>
    </row>
    <row r="867" spans="1:17" x14ac:dyDescent="0.4">
      <c r="A867">
        <v>20210823</v>
      </c>
      <c r="B867" s="1">
        <v>0.58333333333333337</v>
      </c>
      <c r="C867">
        <v>-26894</v>
      </c>
      <c r="D867">
        <v>314435</v>
      </c>
      <c r="E867">
        <v>1241020</v>
      </c>
      <c r="F867">
        <v>39345</v>
      </c>
      <c r="G867">
        <v>137219</v>
      </c>
      <c r="H867">
        <v>-20124</v>
      </c>
      <c r="I867">
        <v>624529</v>
      </c>
      <c r="J867">
        <v>98340</v>
      </c>
      <c r="K867">
        <v>189387</v>
      </c>
      <c r="L867">
        <v>-51190</v>
      </c>
      <c r="M867">
        <v>9.6</v>
      </c>
      <c r="N867">
        <v>2546067</v>
      </c>
      <c r="O867">
        <v>23861400</v>
      </c>
      <c r="P867" s="2">
        <v>10.670233096130152</v>
      </c>
      <c r="Q867" s="4">
        <v>22.906943999999999</v>
      </c>
    </row>
    <row r="868" spans="1:17" x14ac:dyDescent="0.4">
      <c r="A868">
        <v>20210823</v>
      </c>
      <c r="B868" s="1">
        <v>0.60416666666666663</v>
      </c>
      <c r="C868">
        <v>-47939</v>
      </c>
      <c r="D868">
        <v>470237</v>
      </c>
      <c r="E868">
        <v>1170212</v>
      </c>
      <c r="F868">
        <v>83828</v>
      </c>
      <c r="G868">
        <v>130706</v>
      </c>
      <c r="H868">
        <v>31342</v>
      </c>
      <c r="I868">
        <v>549280</v>
      </c>
      <c r="J868">
        <v>127226</v>
      </c>
      <c r="K868">
        <v>153387</v>
      </c>
      <c r="L868">
        <v>-58766</v>
      </c>
      <c r="M868">
        <v>9.66</v>
      </c>
      <c r="N868">
        <v>2609513</v>
      </c>
      <c r="O868">
        <v>23558550</v>
      </c>
      <c r="P868" s="2">
        <v>11.076713125383353</v>
      </c>
      <c r="Q868" s="4">
        <v>22.7575593</v>
      </c>
    </row>
    <row r="869" spans="1:17" x14ac:dyDescent="0.4">
      <c r="A869">
        <v>20210823</v>
      </c>
      <c r="B869" s="1">
        <v>0.625</v>
      </c>
      <c r="C869">
        <v>-70410</v>
      </c>
      <c r="D869">
        <v>367388</v>
      </c>
      <c r="E869">
        <v>1436817</v>
      </c>
      <c r="F869">
        <v>271646</v>
      </c>
      <c r="G869">
        <v>42099</v>
      </c>
      <c r="H869">
        <v>6355</v>
      </c>
      <c r="I869">
        <v>298893</v>
      </c>
      <c r="J869">
        <v>57347</v>
      </c>
      <c r="K869">
        <v>208109</v>
      </c>
      <c r="L869">
        <v>-61502</v>
      </c>
      <c r="M869">
        <v>9.6300000000000008</v>
      </c>
      <c r="N869">
        <v>2556742</v>
      </c>
      <c r="O869">
        <v>23263300</v>
      </c>
      <c r="P869" s="2">
        <v>10.99045277325229</v>
      </c>
      <c r="Q869" s="4">
        <v>22.402557900000001</v>
      </c>
    </row>
    <row r="870" spans="1:17" x14ac:dyDescent="0.4">
      <c r="A870">
        <v>20210823</v>
      </c>
      <c r="B870" s="1">
        <v>0.64583333333333337</v>
      </c>
      <c r="C870">
        <v>-41727</v>
      </c>
      <c r="D870">
        <v>304099</v>
      </c>
      <c r="E870">
        <v>1107196</v>
      </c>
      <c r="F870">
        <v>173188</v>
      </c>
      <c r="G870">
        <v>25597</v>
      </c>
      <c r="H870">
        <v>-112765</v>
      </c>
      <c r="I870">
        <v>148583</v>
      </c>
      <c r="J870">
        <v>-17891</v>
      </c>
      <c r="K870">
        <v>36056</v>
      </c>
      <c r="L870">
        <v>-71190</v>
      </c>
      <c r="M870">
        <v>9.92</v>
      </c>
      <c r="N870">
        <v>1551146</v>
      </c>
      <c r="O870">
        <v>22859250</v>
      </c>
      <c r="P870" s="2">
        <v>6.7856381989785319</v>
      </c>
      <c r="Q870" s="4">
        <v>22.676376000000001</v>
      </c>
    </row>
    <row r="871" spans="1:17" x14ac:dyDescent="0.4">
      <c r="A871">
        <v>20210823</v>
      </c>
      <c r="B871" s="1">
        <v>0.66666666666666663</v>
      </c>
      <c r="C871">
        <v>-95711</v>
      </c>
      <c r="D871">
        <v>213922</v>
      </c>
      <c r="E871">
        <v>511832</v>
      </c>
      <c r="F871">
        <v>75841</v>
      </c>
      <c r="G871">
        <v>-16008</v>
      </c>
      <c r="H871">
        <v>-194969</v>
      </c>
      <c r="I871">
        <v>27140</v>
      </c>
      <c r="J871">
        <v>-58356</v>
      </c>
      <c r="K871">
        <v>19464</v>
      </c>
      <c r="L871">
        <v>-38221</v>
      </c>
      <c r="M871">
        <v>10.26</v>
      </c>
      <c r="N871">
        <v>444934</v>
      </c>
      <c r="O871">
        <v>23533550</v>
      </c>
      <c r="P871" s="2">
        <v>1.8906369842204003</v>
      </c>
      <c r="Q871" s="4">
        <v>24.1454223</v>
      </c>
    </row>
    <row r="872" spans="1:17" x14ac:dyDescent="0.4">
      <c r="A872">
        <v>20210823</v>
      </c>
      <c r="B872" s="1">
        <v>0.85416666666666663</v>
      </c>
      <c r="C872">
        <v>16835</v>
      </c>
      <c r="D872">
        <v>42526</v>
      </c>
      <c r="E872">
        <v>-53208</v>
      </c>
      <c r="F872">
        <v>103865</v>
      </c>
      <c r="G872">
        <v>-33191</v>
      </c>
      <c r="H872">
        <v>334</v>
      </c>
      <c r="I872">
        <v>25246</v>
      </c>
      <c r="J872">
        <v>3773</v>
      </c>
      <c r="K872">
        <v>30909</v>
      </c>
      <c r="L872">
        <v>-16048</v>
      </c>
      <c r="M872">
        <v>8.86</v>
      </c>
      <c r="N872">
        <v>121041</v>
      </c>
      <c r="O872">
        <v>21660000</v>
      </c>
      <c r="P872" s="2">
        <v>0.5588227146814404</v>
      </c>
      <c r="Q872" s="4">
        <v>19.190760000000001</v>
      </c>
    </row>
    <row r="873" spans="1:17" x14ac:dyDescent="0.4">
      <c r="A873">
        <v>20210823</v>
      </c>
      <c r="B873" s="1">
        <v>0.875</v>
      </c>
      <c r="C873">
        <v>30854</v>
      </c>
      <c r="D873">
        <v>32601</v>
      </c>
      <c r="E873">
        <v>-228940</v>
      </c>
      <c r="F873">
        <v>77462</v>
      </c>
      <c r="G873">
        <v>-22239</v>
      </c>
      <c r="H873">
        <v>52775</v>
      </c>
      <c r="I873">
        <v>7957</v>
      </c>
      <c r="J873">
        <v>17281</v>
      </c>
      <c r="K873">
        <v>82925</v>
      </c>
      <c r="L873">
        <v>-24903</v>
      </c>
      <c r="M873">
        <v>8.39</v>
      </c>
      <c r="N873">
        <v>25773</v>
      </c>
      <c r="O873">
        <v>21015800</v>
      </c>
      <c r="P873" s="2">
        <v>0.12263630221071765</v>
      </c>
      <c r="Q873" s="4">
        <v>17.6322562</v>
      </c>
    </row>
    <row r="874" spans="1:17" x14ac:dyDescent="0.4">
      <c r="A874">
        <v>20210823</v>
      </c>
      <c r="B874" s="1">
        <v>0.89583333333333337</v>
      </c>
      <c r="C874">
        <v>3543</v>
      </c>
      <c r="D874">
        <v>9098</v>
      </c>
      <c r="E874">
        <v>-64285</v>
      </c>
      <c r="F874">
        <v>109705</v>
      </c>
      <c r="G874">
        <v>-15284</v>
      </c>
      <c r="H874">
        <v>128930</v>
      </c>
      <c r="I874">
        <v>-33004</v>
      </c>
      <c r="J874">
        <v>47234</v>
      </c>
      <c r="K874">
        <v>46609</v>
      </c>
      <c r="L874">
        <v>-15497</v>
      </c>
      <c r="M874">
        <v>8.15</v>
      </c>
      <c r="N874">
        <v>217049</v>
      </c>
      <c r="O874">
        <v>20944450</v>
      </c>
      <c r="P874" s="2">
        <v>1.0363079479289263</v>
      </c>
      <c r="Q874" s="4">
        <v>17.069726750000001</v>
      </c>
    </row>
    <row r="875" spans="1:17" x14ac:dyDescent="0.4">
      <c r="A875">
        <v>20210823</v>
      </c>
      <c r="B875" s="1">
        <v>0.91666666666666663</v>
      </c>
      <c r="C875">
        <v>22427</v>
      </c>
      <c r="D875">
        <v>-5058</v>
      </c>
      <c r="E875">
        <v>-56986</v>
      </c>
      <c r="F875">
        <v>74443</v>
      </c>
      <c r="G875">
        <v>-2551</v>
      </c>
      <c r="H875">
        <v>5856</v>
      </c>
      <c r="I875">
        <v>14812</v>
      </c>
      <c r="J875">
        <v>36095</v>
      </c>
      <c r="K875">
        <v>7106</v>
      </c>
      <c r="L875">
        <v>-9366</v>
      </c>
      <c r="M875">
        <v>7.4</v>
      </c>
      <c r="N875">
        <v>86778</v>
      </c>
      <c r="O875">
        <v>20748900</v>
      </c>
      <c r="P875" s="2">
        <v>0.41822940011277704</v>
      </c>
      <c r="Q875" s="4">
        <v>15.354186</v>
      </c>
    </row>
    <row r="876" spans="1:17" x14ac:dyDescent="0.4">
      <c r="A876">
        <v>20210823</v>
      </c>
      <c r="B876" s="1">
        <v>0.9375</v>
      </c>
      <c r="C876">
        <v>32675</v>
      </c>
      <c r="D876">
        <v>349</v>
      </c>
      <c r="E876">
        <v>-133970</v>
      </c>
      <c r="F876">
        <v>48924</v>
      </c>
      <c r="G876">
        <v>11054</v>
      </c>
      <c r="H876">
        <v>41604</v>
      </c>
      <c r="I876">
        <v>26074</v>
      </c>
      <c r="J876">
        <v>50548</v>
      </c>
      <c r="K876">
        <v>-22</v>
      </c>
      <c r="L876">
        <v>2586</v>
      </c>
      <c r="M876">
        <v>7.37</v>
      </c>
      <c r="N876">
        <v>79822</v>
      </c>
      <c r="O876">
        <v>20705050</v>
      </c>
      <c r="P876" s="2">
        <v>0.38551947471752063</v>
      </c>
      <c r="Q876" s="4">
        <v>15.25962185</v>
      </c>
    </row>
    <row r="877" spans="1:17" x14ac:dyDescent="0.4">
      <c r="A877">
        <v>20210824</v>
      </c>
      <c r="B877" s="1">
        <v>2.0833333333333332E-2</v>
      </c>
      <c r="C877">
        <v>29471</v>
      </c>
      <c r="D877">
        <v>-42859</v>
      </c>
      <c r="E877">
        <v>-187868</v>
      </c>
      <c r="F877">
        <v>53559</v>
      </c>
      <c r="G877">
        <v>10475</v>
      </c>
      <c r="H877">
        <v>110870</v>
      </c>
      <c r="I877">
        <v>54374</v>
      </c>
      <c r="J877">
        <v>13510</v>
      </c>
      <c r="K877">
        <v>-5598</v>
      </c>
      <c r="L877">
        <v>5397</v>
      </c>
      <c r="M877">
        <v>6.76</v>
      </c>
      <c r="N877">
        <v>41331</v>
      </c>
      <c r="O877">
        <v>20290150</v>
      </c>
      <c r="P877" s="2">
        <v>0.20369982479183249</v>
      </c>
      <c r="Q877" s="4">
        <v>13.7161414</v>
      </c>
    </row>
    <row r="878" spans="1:17" x14ac:dyDescent="0.4">
      <c r="A878">
        <v>20210824</v>
      </c>
      <c r="B878" s="1">
        <v>6.25E-2</v>
      </c>
      <c r="C878">
        <v>-15263</v>
      </c>
      <c r="D878">
        <v>-61163</v>
      </c>
      <c r="E878">
        <v>-101877</v>
      </c>
      <c r="F878">
        <v>154462</v>
      </c>
      <c r="G878">
        <v>-4011</v>
      </c>
      <c r="H878">
        <v>67117</v>
      </c>
      <c r="I878">
        <v>72803</v>
      </c>
      <c r="J878">
        <v>-2861</v>
      </c>
      <c r="K878">
        <v>54496</v>
      </c>
      <c r="L878">
        <v>1473</v>
      </c>
      <c r="M878">
        <v>6.74</v>
      </c>
      <c r="N878">
        <v>165176</v>
      </c>
      <c r="O878">
        <v>20334100</v>
      </c>
      <c r="P878" s="2">
        <v>0.81231035551118569</v>
      </c>
      <c r="Q878" s="4">
        <v>13.705183399999999</v>
      </c>
    </row>
    <row r="879" spans="1:17" x14ac:dyDescent="0.4">
      <c r="A879">
        <v>20210824</v>
      </c>
      <c r="B879" s="1">
        <v>8.3333333333333329E-2</v>
      </c>
      <c r="C879">
        <v>2013</v>
      </c>
      <c r="D879">
        <v>-21228</v>
      </c>
      <c r="E879">
        <v>-178227</v>
      </c>
      <c r="F879">
        <v>64419</v>
      </c>
      <c r="G879">
        <v>-4018</v>
      </c>
      <c r="H879">
        <v>57255</v>
      </c>
      <c r="I879">
        <v>57856</v>
      </c>
      <c r="J879">
        <v>11557</v>
      </c>
      <c r="K879">
        <v>16760</v>
      </c>
      <c r="L879">
        <v>7875</v>
      </c>
      <c r="M879">
        <v>6.74</v>
      </c>
      <c r="N879">
        <v>14262</v>
      </c>
      <c r="O879">
        <v>20464300</v>
      </c>
      <c r="P879" s="2">
        <v>6.9692097946179449E-2</v>
      </c>
      <c r="Q879" s="4">
        <v>13.7929382</v>
      </c>
    </row>
    <row r="880" spans="1:17" x14ac:dyDescent="0.4">
      <c r="A880">
        <v>20210824</v>
      </c>
      <c r="B880" s="1">
        <v>0.14583333333333334</v>
      </c>
      <c r="C880">
        <v>19696</v>
      </c>
      <c r="D880">
        <v>-19030</v>
      </c>
      <c r="E880">
        <v>-167204</v>
      </c>
      <c r="F880">
        <v>168209</v>
      </c>
      <c r="G880">
        <v>-39269</v>
      </c>
      <c r="H880">
        <v>-33532</v>
      </c>
      <c r="I880">
        <v>56773</v>
      </c>
      <c r="J880">
        <v>10758</v>
      </c>
      <c r="K880">
        <v>231</v>
      </c>
      <c r="L880">
        <v>8786</v>
      </c>
      <c r="M880">
        <v>6.74</v>
      </c>
      <c r="N880">
        <v>5418</v>
      </c>
      <c r="O880">
        <v>20799950</v>
      </c>
      <c r="P880" s="2">
        <v>2.6048139538796967E-2</v>
      </c>
      <c r="Q880" s="4">
        <v>14.0191663</v>
      </c>
    </row>
    <row r="881" spans="1:17" x14ac:dyDescent="0.4">
      <c r="A881">
        <v>20210824</v>
      </c>
      <c r="B881" s="1">
        <v>0.16666666666666666</v>
      </c>
      <c r="C881">
        <v>9220</v>
      </c>
      <c r="D881">
        <v>-29556</v>
      </c>
      <c r="E881">
        <v>-127945</v>
      </c>
      <c r="F881">
        <v>81990</v>
      </c>
      <c r="G881">
        <v>-30627</v>
      </c>
      <c r="H881">
        <v>82346</v>
      </c>
      <c r="I881">
        <v>100457</v>
      </c>
      <c r="J881">
        <v>17462</v>
      </c>
      <c r="K881">
        <v>-40253</v>
      </c>
      <c r="L881">
        <v>9399</v>
      </c>
      <c r="M881">
        <v>6.74</v>
      </c>
      <c r="N881">
        <v>72493</v>
      </c>
      <c r="O881">
        <v>20710600</v>
      </c>
      <c r="P881" s="2">
        <v>0.3500284878274893</v>
      </c>
      <c r="Q881" s="4">
        <v>13.9589444</v>
      </c>
    </row>
    <row r="882" spans="1:17" x14ac:dyDescent="0.4">
      <c r="A882">
        <v>20210824</v>
      </c>
      <c r="B882" s="1">
        <v>0.1875</v>
      </c>
      <c r="C882">
        <v>34695</v>
      </c>
      <c r="D882">
        <v>-54387</v>
      </c>
      <c r="E882">
        <v>-158276</v>
      </c>
      <c r="F882">
        <v>189112</v>
      </c>
      <c r="G882">
        <v>-38996</v>
      </c>
      <c r="H882">
        <v>34665</v>
      </c>
      <c r="I882">
        <v>56376</v>
      </c>
      <c r="J882">
        <v>6004</v>
      </c>
      <c r="K882">
        <v>-43196</v>
      </c>
      <c r="L882">
        <v>8015</v>
      </c>
      <c r="M882">
        <v>6.63</v>
      </c>
      <c r="N882">
        <v>34012</v>
      </c>
      <c r="O882">
        <v>20677450</v>
      </c>
      <c r="P882" s="2">
        <v>0.16448836776294951</v>
      </c>
      <c r="Q882" s="4">
        <v>13.709149350000001</v>
      </c>
    </row>
    <row r="883" spans="1:17" x14ac:dyDescent="0.4">
      <c r="A883">
        <v>20210824</v>
      </c>
      <c r="B883" s="1">
        <v>0.22916666666666666</v>
      </c>
      <c r="C883">
        <v>2976</v>
      </c>
      <c r="D883">
        <v>-58261</v>
      </c>
      <c r="E883">
        <v>-53678</v>
      </c>
      <c r="F883">
        <v>215460</v>
      </c>
      <c r="G883">
        <v>-16755</v>
      </c>
      <c r="H883">
        <v>51516</v>
      </c>
      <c r="I883">
        <v>84707</v>
      </c>
      <c r="J883">
        <v>25648</v>
      </c>
      <c r="K883">
        <v>-94313</v>
      </c>
      <c r="L883">
        <v>13442</v>
      </c>
      <c r="M883">
        <v>6.74</v>
      </c>
      <c r="N883">
        <v>170742</v>
      </c>
      <c r="O883">
        <v>20828700</v>
      </c>
      <c r="P883" s="2">
        <v>0.81974391104581656</v>
      </c>
      <c r="Q883" s="4">
        <v>14.038543799999999</v>
      </c>
    </row>
    <row r="884" spans="1:17" x14ac:dyDescent="0.4">
      <c r="A884">
        <v>20210824</v>
      </c>
      <c r="B884" s="1">
        <v>0.25</v>
      </c>
      <c r="C884">
        <v>-8214</v>
      </c>
      <c r="D884">
        <v>-31765</v>
      </c>
      <c r="E884">
        <v>124306</v>
      </c>
      <c r="F884">
        <v>78284</v>
      </c>
      <c r="G884">
        <v>-24344</v>
      </c>
      <c r="H884">
        <v>27631</v>
      </c>
      <c r="I884">
        <v>-11006</v>
      </c>
      <c r="J884">
        <v>22480</v>
      </c>
      <c r="K884">
        <v>-178503</v>
      </c>
      <c r="L884">
        <v>8887</v>
      </c>
      <c r="M884">
        <v>6.63</v>
      </c>
      <c r="N884">
        <v>7756</v>
      </c>
      <c r="O884">
        <v>21187000</v>
      </c>
      <c r="P884" s="2">
        <v>3.6607353565865863E-2</v>
      </c>
      <c r="Q884" s="4">
        <v>14.046981000000001</v>
      </c>
    </row>
    <row r="885" spans="1:17" x14ac:dyDescent="0.4">
      <c r="A885">
        <v>20210824</v>
      </c>
      <c r="B885" s="1">
        <v>0.33333333333333331</v>
      </c>
      <c r="C885">
        <v>-39719</v>
      </c>
      <c r="D885">
        <v>210971</v>
      </c>
      <c r="E885">
        <v>644910</v>
      </c>
      <c r="F885">
        <v>-52702</v>
      </c>
      <c r="G885">
        <v>-13945</v>
      </c>
      <c r="H885">
        <v>-261294</v>
      </c>
      <c r="I885">
        <v>-222389</v>
      </c>
      <c r="J885">
        <v>27535</v>
      </c>
      <c r="K885">
        <v>-263593</v>
      </c>
      <c r="L885">
        <v>4571</v>
      </c>
      <c r="M885">
        <v>7.17</v>
      </c>
      <c r="N885">
        <v>34345</v>
      </c>
      <c r="O885">
        <v>23105550</v>
      </c>
      <c r="P885" s="2">
        <v>0.14864394052511193</v>
      </c>
      <c r="Q885" s="4">
        <v>16.566679350000001</v>
      </c>
    </row>
    <row r="886" spans="1:17" x14ac:dyDescent="0.4">
      <c r="A886">
        <v>20210824</v>
      </c>
      <c r="B886" s="1">
        <v>0.39583333333333331</v>
      </c>
      <c r="C886">
        <v>-55353</v>
      </c>
      <c r="D886">
        <v>74010</v>
      </c>
      <c r="E886">
        <v>339753</v>
      </c>
      <c r="F886">
        <v>52761</v>
      </c>
      <c r="G886">
        <v>-11332</v>
      </c>
      <c r="H886">
        <v>-153253</v>
      </c>
      <c r="I886">
        <v>-366408</v>
      </c>
      <c r="J886">
        <v>-25417</v>
      </c>
      <c r="K886">
        <v>230189</v>
      </c>
      <c r="L886">
        <v>2547</v>
      </c>
      <c r="M886">
        <v>8.86</v>
      </c>
      <c r="N886">
        <v>87497</v>
      </c>
      <c r="O886">
        <v>24193500</v>
      </c>
      <c r="P886" s="2">
        <v>0.36165498997664663</v>
      </c>
      <c r="Q886" s="4">
        <v>21.435441000000001</v>
      </c>
    </row>
    <row r="887" spans="1:17" x14ac:dyDescent="0.4">
      <c r="A887">
        <v>20210824</v>
      </c>
      <c r="B887" s="1">
        <v>0.41666666666666669</v>
      </c>
      <c r="C887">
        <v>-13473</v>
      </c>
      <c r="D887">
        <v>7712</v>
      </c>
      <c r="E887">
        <v>203746</v>
      </c>
      <c r="F887">
        <v>97243</v>
      </c>
      <c r="G887">
        <v>15515</v>
      </c>
      <c r="H887">
        <v>-122121</v>
      </c>
      <c r="I887">
        <v>-368908</v>
      </c>
      <c r="J887">
        <v>-50046</v>
      </c>
      <c r="K887">
        <v>315876</v>
      </c>
      <c r="L887">
        <v>-2484</v>
      </c>
      <c r="M887">
        <v>8.86</v>
      </c>
      <c r="N887">
        <v>83060</v>
      </c>
      <c r="O887">
        <v>24468750</v>
      </c>
      <c r="P887" s="2">
        <v>0.33945338441890166</v>
      </c>
      <c r="Q887" s="4">
        <v>21.679312500000002</v>
      </c>
    </row>
    <row r="888" spans="1:17" x14ac:dyDescent="0.4">
      <c r="A888">
        <v>20210824</v>
      </c>
      <c r="B888" s="1">
        <v>0.4375</v>
      </c>
      <c r="C888">
        <v>-95681</v>
      </c>
      <c r="D888">
        <v>34987</v>
      </c>
      <c r="E888">
        <v>32228</v>
      </c>
      <c r="F888">
        <v>169436</v>
      </c>
      <c r="G888">
        <v>5713</v>
      </c>
      <c r="H888">
        <v>-185616</v>
      </c>
      <c r="I888">
        <v>-311518</v>
      </c>
      <c r="J888">
        <v>-63570</v>
      </c>
      <c r="K888">
        <v>535465</v>
      </c>
      <c r="L888">
        <v>-2741</v>
      </c>
      <c r="M888">
        <v>8.86</v>
      </c>
      <c r="N888">
        <v>118703</v>
      </c>
      <c r="O888">
        <v>24601450</v>
      </c>
      <c r="P888" s="2">
        <v>0.48250408004406242</v>
      </c>
      <c r="Q888" s="4">
        <v>21.7968847</v>
      </c>
    </row>
    <row r="889" spans="1:17" x14ac:dyDescent="0.4">
      <c r="A889">
        <v>20210824</v>
      </c>
      <c r="B889" s="1">
        <v>0.5</v>
      </c>
      <c r="C889">
        <v>18116</v>
      </c>
      <c r="D889">
        <v>32874</v>
      </c>
      <c r="E889">
        <v>-801318</v>
      </c>
      <c r="F889">
        <v>595313</v>
      </c>
      <c r="G889">
        <v>-32001</v>
      </c>
      <c r="H889">
        <v>6378</v>
      </c>
      <c r="I889">
        <v>-147478</v>
      </c>
      <c r="J889">
        <v>-195189</v>
      </c>
      <c r="K889">
        <v>565893</v>
      </c>
      <c r="L889">
        <v>14245</v>
      </c>
      <c r="M889">
        <v>8.67</v>
      </c>
      <c r="N889">
        <v>56833</v>
      </c>
      <c r="O889">
        <v>24974300</v>
      </c>
      <c r="P889" s="2">
        <v>0.22756593778404199</v>
      </c>
      <c r="Q889" s="4">
        <v>21.652718100000001</v>
      </c>
    </row>
    <row r="890" spans="1:17" x14ac:dyDescent="0.4">
      <c r="A890">
        <v>20210824</v>
      </c>
      <c r="B890" s="1">
        <v>0.58333333333333337</v>
      </c>
      <c r="C890">
        <v>90823</v>
      </c>
      <c r="D890">
        <v>58106</v>
      </c>
      <c r="E890">
        <v>-635297</v>
      </c>
      <c r="F890">
        <v>317444</v>
      </c>
      <c r="G890">
        <v>-7146</v>
      </c>
      <c r="H890">
        <v>53483</v>
      </c>
      <c r="I890">
        <v>-111719</v>
      </c>
      <c r="J890">
        <v>-98538</v>
      </c>
      <c r="K890">
        <v>654497</v>
      </c>
      <c r="L890">
        <v>23918</v>
      </c>
      <c r="M890">
        <v>10.32</v>
      </c>
      <c r="N890">
        <v>345571</v>
      </c>
      <c r="O890">
        <v>23535700</v>
      </c>
      <c r="P890" s="2">
        <v>1.4682843510071932</v>
      </c>
      <c r="Q890" s="4">
        <v>24.2888424</v>
      </c>
    </row>
    <row r="891" spans="1:17" x14ac:dyDescent="0.4">
      <c r="A891">
        <v>20210824</v>
      </c>
      <c r="B891" s="1">
        <v>0.60416666666666663</v>
      </c>
      <c r="C891">
        <v>133640</v>
      </c>
      <c r="D891">
        <v>212725</v>
      </c>
      <c r="E891">
        <v>-246583</v>
      </c>
      <c r="F891">
        <v>333011</v>
      </c>
      <c r="G891">
        <v>-8701</v>
      </c>
      <c r="H891">
        <v>131309</v>
      </c>
      <c r="I891">
        <v>-72516</v>
      </c>
      <c r="J891">
        <v>-96540</v>
      </c>
      <c r="K891">
        <v>588235</v>
      </c>
      <c r="L891">
        <v>23774</v>
      </c>
      <c r="M891">
        <v>10.32</v>
      </c>
      <c r="N891">
        <v>998354</v>
      </c>
      <c r="O891">
        <v>23281200</v>
      </c>
      <c r="P891" s="2">
        <v>4.28824115595416</v>
      </c>
      <c r="Q891" s="4">
        <v>24.026198399999998</v>
      </c>
    </row>
    <row r="892" spans="1:17" x14ac:dyDescent="0.4">
      <c r="A892">
        <v>20210824</v>
      </c>
      <c r="B892" s="1">
        <v>0.625</v>
      </c>
      <c r="C892">
        <v>97684</v>
      </c>
      <c r="D892">
        <v>97837</v>
      </c>
      <c r="E892">
        <v>-282466</v>
      </c>
      <c r="F892">
        <v>390286</v>
      </c>
      <c r="G892">
        <v>8027</v>
      </c>
      <c r="H892">
        <v>144300</v>
      </c>
      <c r="I892">
        <v>-110846</v>
      </c>
      <c r="J892">
        <v>-58885</v>
      </c>
      <c r="K892">
        <v>406839</v>
      </c>
      <c r="L892">
        <v>16506</v>
      </c>
      <c r="M892">
        <v>10.32</v>
      </c>
      <c r="N892">
        <v>709282</v>
      </c>
      <c r="O892">
        <v>22973550</v>
      </c>
      <c r="P892" s="2">
        <v>3.0873852756757225</v>
      </c>
      <c r="Q892" s="4">
        <v>23.7087036</v>
      </c>
    </row>
    <row r="893" spans="1:17" x14ac:dyDescent="0.4">
      <c r="A893">
        <v>20210824</v>
      </c>
      <c r="B893" s="1">
        <v>0.64583333333333337</v>
      </c>
      <c r="C893">
        <v>68181</v>
      </c>
      <c r="D893">
        <v>-13685</v>
      </c>
      <c r="E893">
        <v>-247759</v>
      </c>
      <c r="F893">
        <v>306633</v>
      </c>
      <c r="G893">
        <v>3486</v>
      </c>
      <c r="H893">
        <v>253687</v>
      </c>
      <c r="I893">
        <v>-120429</v>
      </c>
      <c r="J893">
        <v>-73915</v>
      </c>
      <c r="K893">
        <v>277422</v>
      </c>
      <c r="L893">
        <v>7791</v>
      </c>
      <c r="M893">
        <v>10.32</v>
      </c>
      <c r="N893">
        <v>461412</v>
      </c>
      <c r="O893">
        <v>22818100</v>
      </c>
      <c r="P893" s="2">
        <v>2.0221315534597535</v>
      </c>
      <c r="Q893" s="4">
        <v>23.5482792</v>
      </c>
    </row>
    <row r="894" spans="1:17" x14ac:dyDescent="0.4">
      <c r="A894">
        <v>20210824</v>
      </c>
      <c r="B894" s="1">
        <v>0.66666666666666663</v>
      </c>
      <c r="C894">
        <v>97562</v>
      </c>
      <c r="D894">
        <v>-97198</v>
      </c>
      <c r="E894">
        <v>-397453</v>
      </c>
      <c r="F894">
        <v>197746</v>
      </c>
      <c r="G894">
        <v>23568</v>
      </c>
      <c r="H894">
        <v>347782</v>
      </c>
      <c r="I894">
        <v>-68511</v>
      </c>
      <c r="J894">
        <v>-81227</v>
      </c>
      <c r="K894">
        <v>157725</v>
      </c>
      <c r="L894">
        <v>-4709</v>
      </c>
      <c r="M894">
        <v>10.26</v>
      </c>
      <c r="N894">
        <v>175285</v>
      </c>
      <c r="O894">
        <v>23330600</v>
      </c>
      <c r="P894" s="2">
        <v>0.75130943910572379</v>
      </c>
      <c r="Q894" s="4">
        <v>23.937195599999999</v>
      </c>
    </row>
    <row r="895" spans="1:17" x14ac:dyDescent="0.4">
      <c r="A895">
        <v>20210824</v>
      </c>
      <c r="B895" s="1">
        <v>0.6875</v>
      </c>
      <c r="C895">
        <v>75850</v>
      </c>
      <c r="D895">
        <v>52</v>
      </c>
      <c r="E895">
        <v>-423369</v>
      </c>
      <c r="F895">
        <v>124808</v>
      </c>
      <c r="G895">
        <v>53992</v>
      </c>
      <c r="H895">
        <v>444025</v>
      </c>
      <c r="I895">
        <v>-55316</v>
      </c>
      <c r="J895">
        <v>-84860</v>
      </c>
      <c r="K895">
        <v>67242</v>
      </c>
      <c r="L895">
        <v>-13251</v>
      </c>
      <c r="M895">
        <v>10.26</v>
      </c>
      <c r="N895">
        <v>189173</v>
      </c>
      <c r="O895">
        <v>23158450</v>
      </c>
      <c r="P895" s="2">
        <v>0.81686382292424575</v>
      </c>
      <c r="Q895" s="4">
        <v>23.760569700000001</v>
      </c>
    </row>
    <row r="896" spans="1:17" x14ac:dyDescent="0.4">
      <c r="A896">
        <v>20210824</v>
      </c>
      <c r="B896" s="1">
        <v>0.70833333333333337</v>
      </c>
      <c r="C896">
        <v>33435</v>
      </c>
      <c r="D896">
        <v>58809</v>
      </c>
      <c r="E896">
        <v>-296800</v>
      </c>
      <c r="F896">
        <v>145094</v>
      </c>
      <c r="G896">
        <v>101879</v>
      </c>
      <c r="H896">
        <v>384059</v>
      </c>
      <c r="I896">
        <v>-15957</v>
      </c>
      <c r="J896">
        <v>-96161</v>
      </c>
      <c r="K896">
        <v>40340</v>
      </c>
      <c r="L896">
        <v>1945</v>
      </c>
      <c r="M896">
        <v>10.32</v>
      </c>
      <c r="N896">
        <v>356643</v>
      </c>
      <c r="O896">
        <v>22824850</v>
      </c>
      <c r="P896" s="2">
        <v>1.5625206737393673</v>
      </c>
      <c r="Q896" s="4">
        <v>23.555245200000002</v>
      </c>
    </row>
    <row r="897" spans="1:17" x14ac:dyDescent="0.4">
      <c r="A897">
        <v>20210824</v>
      </c>
      <c r="B897" s="1">
        <v>0.72916666666666663</v>
      </c>
      <c r="C897">
        <v>46620</v>
      </c>
      <c r="D897">
        <v>-50521</v>
      </c>
      <c r="E897">
        <v>-146475</v>
      </c>
      <c r="F897">
        <v>87131</v>
      </c>
      <c r="G897">
        <v>105429</v>
      </c>
      <c r="H897">
        <v>310008</v>
      </c>
      <c r="I897">
        <v>-59060</v>
      </c>
      <c r="J897">
        <v>-82466</v>
      </c>
      <c r="K897">
        <v>-87215</v>
      </c>
      <c r="L897">
        <v>-770</v>
      </c>
      <c r="M897">
        <v>10.32</v>
      </c>
      <c r="N897">
        <v>122681</v>
      </c>
      <c r="O897">
        <v>22682600</v>
      </c>
      <c r="P897" s="2">
        <v>0.54085951345965633</v>
      </c>
      <c r="Q897" s="4">
        <v>23.408443200000001</v>
      </c>
    </row>
    <row r="898" spans="1:17" x14ac:dyDescent="0.4">
      <c r="A898">
        <v>20210824</v>
      </c>
      <c r="B898" s="1">
        <v>0.75</v>
      </c>
      <c r="C898">
        <v>61183</v>
      </c>
      <c r="D898">
        <v>-18219</v>
      </c>
      <c r="E898">
        <v>-258181</v>
      </c>
      <c r="F898">
        <v>97887</v>
      </c>
      <c r="G898">
        <v>73633</v>
      </c>
      <c r="H898">
        <v>380569</v>
      </c>
      <c r="I898">
        <v>24195</v>
      </c>
      <c r="J898">
        <v>-61664</v>
      </c>
      <c r="K898">
        <v>176857</v>
      </c>
      <c r="L898">
        <v>-949</v>
      </c>
      <c r="M898">
        <v>10.32</v>
      </c>
      <c r="N898">
        <v>475311</v>
      </c>
      <c r="O898">
        <v>22442050</v>
      </c>
      <c r="P898" s="2">
        <v>2.1179482266548733</v>
      </c>
      <c r="Q898" s="4">
        <v>23.160195600000002</v>
      </c>
    </row>
    <row r="899" spans="1:17" x14ac:dyDescent="0.4">
      <c r="A899">
        <v>20210824</v>
      </c>
      <c r="B899" s="1">
        <v>0.77083333333333337</v>
      </c>
      <c r="C899">
        <v>38095</v>
      </c>
      <c r="D899">
        <v>-15279</v>
      </c>
      <c r="E899">
        <v>-338891</v>
      </c>
      <c r="F899">
        <v>98670</v>
      </c>
      <c r="G899">
        <v>70097</v>
      </c>
      <c r="H899">
        <v>288022</v>
      </c>
      <c r="I899">
        <v>-5336</v>
      </c>
      <c r="J899">
        <v>-29166</v>
      </c>
      <c r="K899">
        <v>64437</v>
      </c>
      <c r="L899">
        <v>-3041</v>
      </c>
      <c r="M899">
        <v>10.32</v>
      </c>
      <c r="N899">
        <v>167608</v>
      </c>
      <c r="O899">
        <v>22449100</v>
      </c>
      <c r="P899" s="2">
        <v>0.74661344998240464</v>
      </c>
      <c r="Q899" s="4">
        <v>23.167471200000001</v>
      </c>
    </row>
    <row r="900" spans="1:17" x14ac:dyDescent="0.4">
      <c r="A900">
        <v>20210824</v>
      </c>
      <c r="B900" s="1">
        <v>0.79166666666666663</v>
      </c>
      <c r="C900">
        <v>44389</v>
      </c>
      <c r="D900">
        <v>135502</v>
      </c>
      <c r="E900">
        <v>-212390</v>
      </c>
      <c r="F900">
        <v>123048</v>
      </c>
      <c r="G900">
        <v>24144</v>
      </c>
      <c r="H900">
        <v>312111</v>
      </c>
      <c r="I900">
        <v>14683</v>
      </c>
      <c r="J900">
        <v>-9323</v>
      </c>
      <c r="K900">
        <v>122297</v>
      </c>
      <c r="L900">
        <v>-14057</v>
      </c>
      <c r="M900">
        <v>9.85</v>
      </c>
      <c r="N900">
        <v>540404</v>
      </c>
      <c r="O900">
        <v>22304300</v>
      </c>
      <c r="P900" s="2">
        <v>2.4228691328577896</v>
      </c>
      <c r="Q900" s="4">
        <v>21.969735499999999</v>
      </c>
    </row>
    <row r="901" spans="1:17" x14ac:dyDescent="0.4">
      <c r="A901">
        <v>20210824</v>
      </c>
      <c r="B901" s="1">
        <v>0.8125</v>
      </c>
      <c r="C901">
        <v>49333</v>
      </c>
      <c r="D901">
        <v>81763</v>
      </c>
      <c r="E901">
        <v>-169166</v>
      </c>
      <c r="F901">
        <v>77280</v>
      </c>
      <c r="G901">
        <v>-2233</v>
      </c>
      <c r="H901">
        <v>270802</v>
      </c>
      <c r="I901">
        <v>69449</v>
      </c>
      <c r="J901">
        <v>-6556</v>
      </c>
      <c r="K901">
        <v>205785</v>
      </c>
      <c r="L901">
        <v>-9417</v>
      </c>
      <c r="M901">
        <v>9.64</v>
      </c>
      <c r="N901">
        <v>567040</v>
      </c>
      <c r="O901">
        <v>22070900</v>
      </c>
      <c r="P901" s="2">
        <v>2.5691747957718083</v>
      </c>
      <c r="Q901" s="4">
        <v>21.276347600000001</v>
      </c>
    </row>
    <row r="902" spans="1:17" x14ac:dyDescent="0.4">
      <c r="A902">
        <v>20210824</v>
      </c>
      <c r="B902" s="1">
        <v>0.83333333333333337</v>
      </c>
      <c r="C902">
        <v>72108</v>
      </c>
      <c r="D902">
        <v>96101</v>
      </c>
      <c r="E902">
        <v>-230956</v>
      </c>
      <c r="F902">
        <v>25201</v>
      </c>
      <c r="G902">
        <v>15195</v>
      </c>
      <c r="H902">
        <v>281235</v>
      </c>
      <c r="I902">
        <v>73171</v>
      </c>
      <c r="J902">
        <v>-4319</v>
      </c>
      <c r="K902">
        <v>225852</v>
      </c>
      <c r="L902">
        <v>-11565</v>
      </c>
      <c r="M902">
        <v>8.99</v>
      </c>
      <c r="N902">
        <v>542023</v>
      </c>
      <c r="O902">
        <v>21516100</v>
      </c>
      <c r="P902" s="2">
        <v>2.519150775465814</v>
      </c>
      <c r="Q902" s="4">
        <v>19.3429739</v>
      </c>
    </row>
    <row r="903" spans="1:17" x14ac:dyDescent="0.4">
      <c r="A903">
        <v>20210824</v>
      </c>
      <c r="B903" s="1">
        <v>0.85416666666666663</v>
      </c>
      <c r="C903">
        <v>16063</v>
      </c>
      <c r="D903">
        <v>139313</v>
      </c>
      <c r="E903">
        <v>-138730</v>
      </c>
      <c r="F903">
        <v>9435</v>
      </c>
      <c r="G903">
        <v>12943</v>
      </c>
      <c r="H903">
        <v>184753</v>
      </c>
      <c r="I903">
        <v>74853</v>
      </c>
      <c r="J903">
        <v>-2176</v>
      </c>
      <c r="K903">
        <v>307409</v>
      </c>
      <c r="L903">
        <v>-2959</v>
      </c>
      <c r="M903">
        <v>8.86</v>
      </c>
      <c r="N903">
        <v>600904</v>
      </c>
      <c r="O903">
        <v>21597050</v>
      </c>
      <c r="P903" s="2">
        <v>2.782342958876328</v>
      </c>
      <c r="Q903" s="4">
        <v>19.134986300000001</v>
      </c>
    </row>
    <row r="904" spans="1:17" x14ac:dyDescent="0.4">
      <c r="A904">
        <v>20210824</v>
      </c>
      <c r="B904" s="1">
        <v>0.875</v>
      </c>
      <c r="C904">
        <v>59313</v>
      </c>
      <c r="D904">
        <v>115928</v>
      </c>
      <c r="E904">
        <v>-225318</v>
      </c>
      <c r="F904">
        <v>-20677</v>
      </c>
      <c r="G904">
        <v>4594</v>
      </c>
      <c r="H904">
        <v>173408</v>
      </c>
      <c r="I904">
        <v>149758</v>
      </c>
      <c r="J904">
        <v>-11517</v>
      </c>
      <c r="K904">
        <v>220561</v>
      </c>
      <c r="L904">
        <v>-3608</v>
      </c>
      <c r="M904">
        <v>8.86</v>
      </c>
      <c r="N904">
        <v>462442</v>
      </c>
      <c r="O904">
        <v>21200800</v>
      </c>
      <c r="P904" s="2">
        <v>2.1812478774385871</v>
      </c>
      <c r="Q904" s="4">
        <v>18.783908799999999</v>
      </c>
    </row>
    <row r="905" spans="1:17" x14ac:dyDescent="0.4">
      <c r="A905">
        <v>20210824</v>
      </c>
      <c r="B905" s="1">
        <v>0.89583333333333337</v>
      </c>
      <c r="C905">
        <v>10177</v>
      </c>
      <c r="D905">
        <v>120410</v>
      </c>
      <c r="E905">
        <v>-74183</v>
      </c>
      <c r="F905">
        <v>6195</v>
      </c>
      <c r="G905">
        <v>-194</v>
      </c>
      <c r="H905">
        <v>202515</v>
      </c>
      <c r="I905">
        <v>147151</v>
      </c>
      <c r="J905">
        <v>-6946</v>
      </c>
      <c r="K905">
        <v>174017</v>
      </c>
      <c r="L905">
        <v>6842</v>
      </c>
      <c r="M905">
        <v>8.39</v>
      </c>
      <c r="N905">
        <v>585984</v>
      </c>
      <c r="O905">
        <v>21164300</v>
      </c>
      <c r="P905" s="2">
        <v>2.7687379218778791</v>
      </c>
      <c r="Q905" s="4">
        <v>17.756847700000002</v>
      </c>
    </row>
    <row r="906" spans="1:17" x14ac:dyDescent="0.4">
      <c r="A906">
        <v>20210824</v>
      </c>
      <c r="B906" s="1">
        <v>0.91666666666666663</v>
      </c>
      <c r="C906">
        <v>31600</v>
      </c>
      <c r="D906">
        <v>77058</v>
      </c>
      <c r="E906">
        <v>-133440</v>
      </c>
      <c r="F906">
        <v>-59345</v>
      </c>
      <c r="G906">
        <v>-5452</v>
      </c>
      <c r="H906">
        <v>146027</v>
      </c>
      <c r="I906">
        <v>77541</v>
      </c>
      <c r="J906">
        <v>-4730</v>
      </c>
      <c r="K906">
        <v>79493</v>
      </c>
      <c r="L906">
        <v>6050</v>
      </c>
      <c r="M906">
        <v>7.57</v>
      </c>
      <c r="N906">
        <v>214802</v>
      </c>
      <c r="O906">
        <v>21060900</v>
      </c>
      <c r="P906" s="2">
        <v>1.0199089307674412</v>
      </c>
      <c r="Q906" s="4">
        <v>15.9431013</v>
      </c>
    </row>
    <row r="907" spans="1:17" x14ac:dyDescent="0.4">
      <c r="A907">
        <v>20210824</v>
      </c>
      <c r="B907" s="1">
        <v>0.97916666666666663</v>
      </c>
      <c r="C907">
        <v>14893</v>
      </c>
      <c r="D907">
        <v>140738</v>
      </c>
      <c r="E907">
        <v>-44742</v>
      </c>
      <c r="F907">
        <v>-93195</v>
      </c>
      <c r="G907">
        <v>5896</v>
      </c>
      <c r="H907">
        <v>30340</v>
      </c>
      <c r="I907">
        <v>63351</v>
      </c>
      <c r="J907">
        <v>-21917</v>
      </c>
      <c r="K907">
        <v>5674</v>
      </c>
      <c r="L907">
        <v>9881</v>
      </c>
      <c r="M907">
        <v>6.78</v>
      </c>
      <c r="N907">
        <v>110919</v>
      </c>
      <c r="O907">
        <v>19815750</v>
      </c>
      <c r="P907" s="2">
        <v>0.55975171265281409</v>
      </c>
      <c r="Q907" s="4">
        <v>13.435078499999999</v>
      </c>
    </row>
    <row r="908" spans="1:17" x14ac:dyDescent="0.4">
      <c r="A908">
        <v>20210825</v>
      </c>
      <c r="B908" s="1">
        <v>0</v>
      </c>
      <c r="C908">
        <v>1860</v>
      </c>
      <c r="D908">
        <v>274135</v>
      </c>
      <c r="E908">
        <v>-53434</v>
      </c>
      <c r="F908">
        <v>-24401</v>
      </c>
      <c r="G908">
        <v>22955</v>
      </c>
      <c r="H908">
        <v>54261</v>
      </c>
      <c r="I908">
        <v>91131</v>
      </c>
      <c r="J908">
        <v>-16514</v>
      </c>
      <c r="K908">
        <v>-29630</v>
      </c>
      <c r="L908">
        <v>200</v>
      </c>
      <c r="M908">
        <v>6.91</v>
      </c>
      <c r="N908">
        <v>320563</v>
      </c>
      <c r="O908">
        <v>18980550</v>
      </c>
      <c r="P908" s="2">
        <v>1.6889025871220802</v>
      </c>
      <c r="Q908" s="4">
        <v>13.115560049999999</v>
      </c>
    </row>
    <row r="909" spans="1:17" x14ac:dyDescent="0.4">
      <c r="A909">
        <v>20210825</v>
      </c>
      <c r="B909" s="1">
        <v>2.0833333333333332E-2</v>
      </c>
      <c r="C909">
        <v>31658</v>
      </c>
      <c r="D909">
        <v>198912</v>
      </c>
      <c r="E909">
        <v>3472</v>
      </c>
      <c r="F909">
        <v>-55771</v>
      </c>
      <c r="G909">
        <v>7354</v>
      </c>
      <c r="H909">
        <v>93761</v>
      </c>
      <c r="I909">
        <v>97407</v>
      </c>
      <c r="J909">
        <v>-27203</v>
      </c>
      <c r="K909">
        <v>13144</v>
      </c>
      <c r="L909">
        <v>9153</v>
      </c>
      <c r="M909">
        <v>6.81</v>
      </c>
      <c r="N909">
        <v>371887</v>
      </c>
      <c r="O909">
        <v>20393000</v>
      </c>
      <c r="P909" s="2">
        <v>1.8236012357181386</v>
      </c>
      <c r="Q909" s="4">
        <v>13.887632999999999</v>
      </c>
    </row>
    <row r="910" spans="1:17" x14ac:dyDescent="0.4">
      <c r="A910">
        <v>20210825</v>
      </c>
      <c r="B910" s="1">
        <v>4.1666666666666664E-2</v>
      </c>
      <c r="C910">
        <v>21372</v>
      </c>
      <c r="D910">
        <v>209157</v>
      </c>
      <c r="E910">
        <v>-66947</v>
      </c>
      <c r="F910">
        <v>-24144</v>
      </c>
      <c r="G910">
        <v>32023</v>
      </c>
      <c r="H910">
        <v>43288</v>
      </c>
      <c r="I910">
        <v>105487</v>
      </c>
      <c r="J910">
        <v>-21966</v>
      </c>
      <c r="K910">
        <v>71265</v>
      </c>
      <c r="L910">
        <v>2248</v>
      </c>
      <c r="M910">
        <v>6.59</v>
      </c>
      <c r="N910">
        <v>371783</v>
      </c>
      <c r="O910">
        <v>20382950</v>
      </c>
      <c r="P910" s="2">
        <v>1.8239901486291239</v>
      </c>
      <c r="Q910" s="4">
        <v>13.43236405</v>
      </c>
    </row>
    <row r="911" spans="1:17" x14ac:dyDescent="0.4">
      <c r="A911">
        <v>20210825</v>
      </c>
      <c r="B911" s="1">
        <v>6.25E-2</v>
      </c>
      <c r="C911">
        <v>21118</v>
      </c>
      <c r="D911">
        <v>236888</v>
      </c>
      <c r="E911">
        <v>-56277</v>
      </c>
      <c r="F911">
        <v>-63034</v>
      </c>
      <c r="G911">
        <v>16092</v>
      </c>
      <c r="H911">
        <v>37684</v>
      </c>
      <c r="I911">
        <v>53001</v>
      </c>
      <c r="J911">
        <v>-16930</v>
      </c>
      <c r="K911">
        <v>47771</v>
      </c>
      <c r="L911">
        <v>8113</v>
      </c>
      <c r="M911">
        <v>6.59</v>
      </c>
      <c r="N911">
        <v>284426</v>
      </c>
      <c r="O911">
        <v>20333700</v>
      </c>
      <c r="P911" s="2">
        <v>1.3987911693395694</v>
      </c>
      <c r="Q911" s="4">
        <v>13.3999083</v>
      </c>
    </row>
    <row r="912" spans="1:17" x14ac:dyDescent="0.4">
      <c r="A912">
        <v>20210825</v>
      </c>
      <c r="B912" s="1">
        <v>8.3333333333333329E-2</v>
      </c>
      <c r="C912">
        <v>43650</v>
      </c>
      <c r="D912">
        <v>292261</v>
      </c>
      <c r="E912">
        <v>-116511</v>
      </c>
      <c r="F912">
        <v>-1741</v>
      </c>
      <c r="G912">
        <v>12794</v>
      </c>
      <c r="H912">
        <v>-1970</v>
      </c>
      <c r="I912">
        <v>70125</v>
      </c>
      <c r="J912">
        <v>-10328</v>
      </c>
      <c r="K912">
        <v>89311</v>
      </c>
      <c r="L912">
        <v>9705</v>
      </c>
      <c r="M912">
        <v>6.59</v>
      </c>
      <c r="N912">
        <v>387296</v>
      </c>
      <c r="O912">
        <v>20522300</v>
      </c>
      <c r="P912" s="2">
        <v>1.8871958796041379</v>
      </c>
      <c r="Q912" s="4">
        <v>13.5241957</v>
      </c>
    </row>
    <row r="913" spans="1:17" x14ac:dyDescent="0.4">
      <c r="A913">
        <v>20210825</v>
      </c>
      <c r="B913" s="1">
        <v>0.10416666666666667</v>
      </c>
      <c r="C913">
        <v>44810</v>
      </c>
      <c r="D913">
        <v>316871</v>
      </c>
      <c r="E913">
        <v>-154418</v>
      </c>
      <c r="F913">
        <v>-99956</v>
      </c>
      <c r="G913">
        <v>16632</v>
      </c>
      <c r="H913">
        <v>-16659</v>
      </c>
      <c r="I913">
        <v>75118</v>
      </c>
      <c r="J913">
        <v>-8272</v>
      </c>
      <c r="K913">
        <v>39110</v>
      </c>
      <c r="L913">
        <v>3925</v>
      </c>
      <c r="M913">
        <v>6.59</v>
      </c>
      <c r="N913">
        <v>217161</v>
      </c>
      <c r="O913">
        <v>20894900</v>
      </c>
      <c r="P913" s="2">
        <v>1.0393014563362351</v>
      </c>
      <c r="Q913" s="4">
        <v>13.769739100000001</v>
      </c>
    </row>
    <row r="914" spans="1:17" x14ac:dyDescent="0.4">
      <c r="A914">
        <v>20210825</v>
      </c>
      <c r="B914" s="1">
        <v>0.125</v>
      </c>
      <c r="C914">
        <v>27739</v>
      </c>
      <c r="D914">
        <v>337378</v>
      </c>
      <c r="E914">
        <v>-170292</v>
      </c>
      <c r="F914">
        <v>-100609</v>
      </c>
      <c r="G914">
        <v>-5803</v>
      </c>
      <c r="H914">
        <v>-7328</v>
      </c>
      <c r="I914">
        <v>74306</v>
      </c>
      <c r="J914">
        <v>-9660</v>
      </c>
      <c r="K914">
        <v>63697</v>
      </c>
      <c r="L914">
        <v>11614</v>
      </c>
      <c r="M914">
        <v>6.63</v>
      </c>
      <c r="N914">
        <v>221042</v>
      </c>
      <c r="O914">
        <v>21308500</v>
      </c>
      <c r="P914" s="2">
        <v>1.0373419058122346</v>
      </c>
      <c r="Q914" s="4">
        <v>14.1275355</v>
      </c>
    </row>
    <row r="915" spans="1:17" x14ac:dyDescent="0.4">
      <c r="A915">
        <v>20210825</v>
      </c>
      <c r="B915" s="1">
        <v>0.14583333333333334</v>
      </c>
      <c r="C915">
        <v>34360</v>
      </c>
      <c r="D915">
        <v>363372</v>
      </c>
      <c r="E915">
        <v>-153688</v>
      </c>
      <c r="F915">
        <v>-177698</v>
      </c>
      <c r="G915">
        <v>4899</v>
      </c>
      <c r="H915">
        <v>-57630</v>
      </c>
      <c r="I915">
        <v>54768</v>
      </c>
      <c r="J915">
        <v>-9811</v>
      </c>
      <c r="K915">
        <v>96069</v>
      </c>
      <c r="L915">
        <v>15397</v>
      </c>
      <c r="M915">
        <v>6.59</v>
      </c>
      <c r="N915">
        <v>170038</v>
      </c>
      <c r="O915">
        <v>21349850</v>
      </c>
      <c r="P915" s="2">
        <v>0.79643650892160833</v>
      </c>
      <c r="Q915" s="4">
        <v>14.069551150000001</v>
      </c>
    </row>
    <row r="916" spans="1:17" x14ac:dyDescent="0.4">
      <c r="A916">
        <v>20210825</v>
      </c>
      <c r="B916" s="1">
        <v>0.16666666666666666</v>
      </c>
      <c r="C916">
        <v>21602</v>
      </c>
      <c r="D916">
        <v>361863</v>
      </c>
      <c r="E916">
        <v>-276672</v>
      </c>
      <c r="F916">
        <v>-149981</v>
      </c>
      <c r="G916">
        <v>20175</v>
      </c>
      <c r="H916">
        <v>-67804</v>
      </c>
      <c r="I916">
        <v>8355</v>
      </c>
      <c r="J916">
        <v>-6403</v>
      </c>
      <c r="K916">
        <v>96464</v>
      </c>
      <c r="L916">
        <v>8222</v>
      </c>
      <c r="M916">
        <v>6.59</v>
      </c>
      <c r="N916">
        <v>15821</v>
      </c>
      <c r="O916">
        <v>21459100</v>
      </c>
      <c r="P916" s="2">
        <v>7.3726297934209734E-2</v>
      </c>
      <c r="Q916" s="4">
        <v>14.1415469</v>
      </c>
    </row>
    <row r="917" spans="1:17" x14ac:dyDescent="0.4">
      <c r="A917">
        <v>20210825</v>
      </c>
      <c r="B917" s="1">
        <v>0.1875</v>
      </c>
      <c r="C917">
        <v>55552</v>
      </c>
      <c r="D917">
        <v>356881</v>
      </c>
      <c r="E917">
        <v>-310619</v>
      </c>
      <c r="F917">
        <v>-182174</v>
      </c>
      <c r="G917">
        <v>22287</v>
      </c>
      <c r="H917">
        <v>-33983</v>
      </c>
      <c r="I917">
        <v>30030</v>
      </c>
      <c r="J917">
        <v>-4264</v>
      </c>
      <c r="K917">
        <v>71182</v>
      </c>
      <c r="L917">
        <v>5126</v>
      </c>
      <c r="M917">
        <v>6.59</v>
      </c>
      <c r="N917">
        <v>10018</v>
      </c>
      <c r="O917">
        <v>21387150</v>
      </c>
      <c r="P917" s="2">
        <v>4.684121072700196E-2</v>
      </c>
      <c r="Q917" s="4">
        <v>14.09413185</v>
      </c>
    </row>
    <row r="918" spans="1:17" x14ac:dyDescent="0.4">
      <c r="A918">
        <v>20210825</v>
      </c>
      <c r="B918" s="1">
        <v>0.89583333333333337</v>
      </c>
      <c r="C918">
        <v>33335</v>
      </c>
      <c r="D918">
        <v>377803</v>
      </c>
      <c r="E918">
        <v>-463609</v>
      </c>
      <c r="F918">
        <v>2507</v>
      </c>
      <c r="G918">
        <v>38636</v>
      </c>
      <c r="H918">
        <v>-15811</v>
      </c>
      <c r="I918">
        <v>-24512</v>
      </c>
      <c r="J918">
        <v>32250</v>
      </c>
      <c r="K918">
        <v>119854</v>
      </c>
      <c r="L918">
        <v>-17963</v>
      </c>
      <c r="M918">
        <v>8.86</v>
      </c>
      <c r="N918">
        <v>82490</v>
      </c>
      <c r="O918">
        <v>21741200</v>
      </c>
      <c r="P918" s="2">
        <v>0.37941787941787941</v>
      </c>
      <c r="Q918" s="4">
        <v>19.262703200000001</v>
      </c>
    </row>
    <row r="919" spans="1:17" x14ac:dyDescent="0.4">
      <c r="A919">
        <v>20210825</v>
      </c>
      <c r="B919" s="1">
        <v>0.9375</v>
      </c>
      <c r="C919">
        <v>21350</v>
      </c>
      <c r="D919">
        <v>297977</v>
      </c>
      <c r="E919">
        <v>-179869</v>
      </c>
      <c r="F919">
        <v>-22384</v>
      </c>
      <c r="G919">
        <v>34616</v>
      </c>
      <c r="H919">
        <v>-105517</v>
      </c>
      <c r="I919">
        <v>41041</v>
      </c>
      <c r="J919">
        <v>24326</v>
      </c>
      <c r="K919">
        <v>-32726</v>
      </c>
      <c r="L919">
        <v>-14479</v>
      </c>
      <c r="M919">
        <v>7.95</v>
      </c>
      <c r="N919">
        <v>64335</v>
      </c>
      <c r="O919">
        <v>21329150</v>
      </c>
      <c r="P919" s="2">
        <v>0.30162946015195169</v>
      </c>
      <c r="Q919" s="4">
        <v>16.956674249999999</v>
      </c>
    </row>
    <row r="920" spans="1:17" x14ac:dyDescent="0.4">
      <c r="A920">
        <v>20210826</v>
      </c>
      <c r="B920" s="1">
        <v>0.14583333333333334</v>
      </c>
      <c r="C920">
        <v>-5929</v>
      </c>
      <c r="D920">
        <v>337185</v>
      </c>
      <c r="E920">
        <v>-289945</v>
      </c>
      <c r="F920">
        <v>38829</v>
      </c>
      <c r="G920">
        <v>41682</v>
      </c>
      <c r="H920">
        <v>-65226</v>
      </c>
      <c r="I920">
        <v>17432</v>
      </c>
      <c r="J920">
        <v>6808</v>
      </c>
      <c r="K920">
        <v>-11879</v>
      </c>
      <c r="L920">
        <v>-7881</v>
      </c>
      <c r="M920">
        <v>6.85</v>
      </c>
      <c r="N920">
        <v>61076</v>
      </c>
      <c r="O920">
        <v>21471800</v>
      </c>
      <c r="P920" s="2">
        <v>0.28444750789407502</v>
      </c>
      <c r="Q920" s="4">
        <v>14.708183</v>
      </c>
    </row>
    <row r="921" spans="1:17" x14ac:dyDescent="0.4">
      <c r="A921">
        <v>20210826</v>
      </c>
      <c r="B921" s="1">
        <v>0.16666666666666666</v>
      </c>
      <c r="C921">
        <v>-30246</v>
      </c>
      <c r="D921">
        <v>323644</v>
      </c>
      <c r="E921">
        <v>-308800</v>
      </c>
      <c r="F921">
        <v>41969</v>
      </c>
      <c r="G921">
        <v>39709</v>
      </c>
      <c r="H921">
        <v>-17989</v>
      </c>
      <c r="I921">
        <v>37274</v>
      </c>
      <c r="J921">
        <v>22424</v>
      </c>
      <c r="K921">
        <v>9483</v>
      </c>
      <c r="L921">
        <v>-11391</v>
      </c>
      <c r="M921">
        <v>6.76</v>
      </c>
      <c r="N921">
        <v>106077</v>
      </c>
      <c r="O921">
        <v>21457450</v>
      </c>
      <c r="P921" s="2">
        <v>0.49435976781956847</v>
      </c>
      <c r="Q921" s="4">
        <v>14.505236200000001</v>
      </c>
    </row>
    <row r="922" spans="1:17" x14ac:dyDescent="0.4">
      <c r="A922">
        <v>20210826</v>
      </c>
      <c r="B922" s="1">
        <v>0.1875</v>
      </c>
      <c r="C922">
        <v>-3067</v>
      </c>
      <c r="D922">
        <v>328789</v>
      </c>
      <c r="E922">
        <v>-296619</v>
      </c>
      <c r="F922">
        <v>127028</v>
      </c>
      <c r="G922">
        <v>29163</v>
      </c>
      <c r="H922">
        <v>-66167</v>
      </c>
      <c r="I922">
        <v>-2239</v>
      </c>
      <c r="J922">
        <v>11375</v>
      </c>
      <c r="K922">
        <v>28357</v>
      </c>
      <c r="L922">
        <v>-15661</v>
      </c>
      <c r="M922">
        <v>6.85</v>
      </c>
      <c r="N922">
        <v>140959</v>
      </c>
      <c r="O922">
        <v>21373800</v>
      </c>
      <c r="P922" s="2">
        <v>0.65949433418484316</v>
      </c>
      <c r="Q922" s="4">
        <v>14.641052999999999</v>
      </c>
    </row>
    <row r="923" spans="1:17" x14ac:dyDescent="0.4">
      <c r="A923">
        <v>20210826</v>
      </c>
      <c r="B923" s="1">
        <v>0.22916666666666666</v>
      </c>
      <c r="C923">
        <v>6903</v>
      </c>
      <c r="D923">
        <v>203210</v>
      </c>
      <c r="E923">
        <v>-207986</v>
      </c>
      <c r="F923">
        <v>106808</v>
      </c>
      <c r="G923">
        <v>48095</v>
      </c>
      <c r="H923">
        <v>30510</v>
      </c>
      <c r="I923">
        <v>508</v>
      </c>
      <c r="J923">
        <v>10349</v>
      </c>
      <c r="K923">
        <v>65661</v>
      </c>
      <c r="L923">
        <v>-14725</v>
      </c>
      <c r="M923">
        <v>6.91</v>
      </c>
      <c r="N923">
        <v>249333</v>
      </c>
      <c r="O923">
        <v>21283250</v>
      </c>
      <c r="P923" s="2">
        <v>1.1714987137772661</v>
      </c>
      <c r="Q923" s="4">
        <v>14.70672575</v>
      </c>
    </row>
    <row r="924" spans="1:17" x14ac:dyDescent="0.4">
      <c r="A924">
        <v>20210827</v>
      </c>
      <c r="B924" s="1">
        <v>0.1875</v>
      </c>
      <c r="C924">
        <v>-27727</v>
      </c>
      <c r="D924">
        <v>31407</v>
      </c>
      <c r="E924">
        <v>111721</v>
      </c>
      <c r="F924">
        <v>-7795</v>
      </c>
      <c r="G924">
        <v>22558</v>
      </c>
      <c r="H924">
        <v>-79242</v>
      </c>
      <c r="I924">
        <v>96479</v>
      </c>
      <c r="J924">
        <v>30475</v>
      </c>
      <c r="K924">
        <v>-10877</v>
      </c>
      <c r="L924">
        <v>-20205</v>
      </c>
      <c r="M924">
        <v>6.98</v>
      </c>
      <c r="N924">
        <v>146794</v>
      </c>
      <c r="O924">
        <v>21301150</v>
      </c>
      <c r="P924" s="2">
        <v>0.689136502019844</v>
      </c>
      <c r="Q924" s="4">
        <v>14.868202699999999</v>
      </c>
    </row>
    <row r="925" spans="1:17" x14ac:dyDescent="0.4">
      <c r="A925">
        <v>20210827</v>
      </c>
      <c r="B925" s="1">
        <v>0.22916666666666666</v>
      </c>
      <c r="C925">
        <v>13982</v>
      </c>
      <c r="D925">
        <v>75925</v>
      </c>
      <c r="E925">
        <v>-255988</v>
      </c>
      <c r="F925">
        <v>139803</v>
      </c>
      <c r="G925">
        <v>30839</v>
      </c>
      <c r="H925">
        <v>-93697</v>
      </c>
      <c r="I925">
        <v>118024</v>
      </c>
      <c r="J925">
        <v>39605</v>
      </c>
      <c r="K925">
        <v>-10654</v>
      </c>
      <c r="L925">
        <v>-18338</v>
      </c>
      <c r="M925">
        <v>6.98</v>
      </c>
      <c r="N925">
        <v>39501</v>
      </c>
      <c r="O925">
        <v>21532550</v>
      </c>
      <c r="P925" s="2">
        <v>0.18344784988308399</v>
      </c>
      <c r="Q925" s="4">
        <v>15.0297199</v>
      </c>
    </row>
    <row r="926" spans="1:17" x14ac:dyDescent="0.4">
      <c r="A926">
        <v>20210827</v>
      </c>
      <c r="B926" s="1">
        <v>0.25</v>
      </c>
      <c r="C926">
        <v>69662</v>
      </c>
      <c r="D926">
        <v>49250</v>
      </c>
      <c r="E926">
        <v>-69424</v>
      </c>
      <c r="F926">
        <v>29146</v>
      </c>
      <c r="G926">
        <v>21968</v>
      </c>
      <c r="H926">
        <v>-157358</v>
      </c>
      <c r="I926">
        <v>110200</v>
      </c>
      <c r="J926">
        <v>52465</v>
      </c>
      <c r="K926">
        <v>-48750</v>
      </c>
      <c r="L926">
        <v>-9577</v>
      </c>
      <c r="M926">
        <v>7.07</v>
      </c>
      <c r="N926">
        <v>47582</v>
      </c>
      <c r="O926">
        <v>21918850</v>
      </c>
      <c r="P926" s="2">
        <v>0.21708255679472235</v>
      </c>
      <c r="Q926" s="4">
        <v>15.49662695</v>
      </c>
    </row>
    <row r="927" spans="1:17" x14ac:dyDescent="0.4">
      <c r="A927">
        <v>20210827</v>
      </c>
      <c r="B927" s="1">
        <v>0.29166666666666669</v>
      </c>
      <c r="C927">
        <v>145265</v>
      </c>
      <c r="D927">
        <v>226402</v>
      </c>
      <c r="E927">
        <v>191581</v>
      </c>
      <c r="F927">
        <v>179480</v>
      </c>
      <c r="G927">
        <v>17175</v>
      </c>
      <c r="H927">
        <v>-116653</v>
      </c>
      <c r="I927">
        <v>-17470</v>
      </c>
      <c r="J927">
        <v>57491</v>
      </c>
      <c r="K927">
        <v>-116537</v>
      </c>
      <c r="L927">
        <v>3579</v>
      </c>
      <c r="M927">
        <v>7.07</v>
      </c>
      <c r="N927">
        <v>570313</v>
      </c>
      <c r="O927">
        <v>22912350</v>
      </c>
      <c r="P927" s="2">
        <v>2.4891074027762321</v>
      </c>
      <c r="Q927" s="4">
        <v>16.19903145</v>
      </c>
    </row>
    <row r="928" spans="1:17" x14ac:dyDescent="0.4">
      <c r="A928">
        <v>20210827</v>
      </c>
      <c r="B928" s="1">
        <v>0.3125</v>
      </c>
      <c r="C928">
        <v>160020</v>
      </c>
      <c r="D928">
        <v>336568</v>
      </c>
      <c r="E928">
        <v>-105325</v>
      </c>
      <c r="F928">
        <v>-10706</v>
      </c>
      <c r="G928">
        <v>34025</v>
      </c>
      <c r="H928">
        <v>-141782</v>
      </c>
      <c r="I928">
        <v>-28405</v>
      </c>
      <c r="J928">
        <v>94316</v>
      </c>
      <c r="K928">
        <v>576</v>
      </c>
      <c r="L928">
        <v>-5589</v>
      </c>
      <c r="M928">
        <v>7.25</v>
      </c>
      <c r="N928">
        <v>333698</v>
      </c>
      <c r="O928">
        <v>23367550</v>
      </c>
      <c r="P928" s="2">
        <v>1.4280401668125242</v>
      </c>
      <c r="Q928" s="4">
        <v>16.94147375</v>
      </c>
    </row>
    <row r="929" spans="1:17" x14ac:dyDescent="0.4">
      <c r="A929">
        <v>20210827</v>
      </c>
      <c r="B929" s="1">
        <v>0.33333333333333331</v>
      </c>
      <c r="C929">
        <v>142239</v>
      </c>
      <c r="D929">
        <v>251546</v>
      </c>
      <c r="E929">
        <v>394877</v>
      </c>
      <c r="F929">
        <v>80154</v>
      </c>
      <c r="G929">
        <v>108285</v>
      </c>
      <c r="H929">
        <v>-131702</v>
      </c>
      <c r="I929">
        <v>95203</v>
      </c>
      <c r="J929">
        <v>139199</v>
      </c>
      <c r="K929">
        <v>-32819</v>
      </c>
      <c r="L929">
        <v>7463</v>
      </c>
      <c r="M929">
        <v>7.21</v>
      </c>
      <c r="N929">
        <v>1054445</v>
      </c>
      <c r="O929">
        <v>24303250</v>
      </c>
      <c r="P929" s="2">
        <v>4.3386995566436584</v>
      </c>
      <c r="Q929" s="4">
        <v>17.522643250000002</v>
      </c>
    </row>
    <row r="930" spans="1:17" x14ac:dyDescent="0.4">
      <c r="A930">
        <v>20210827</v>
      </c>
      <c r="B930" s="1">
        <v>0.35416666666666669</v>
      </c>
      <c r="C930">
        <v>268473</v>
      </c>
      <c r="D930">
        <v>305544</v>
      </c>
      <c r="E930">
        <v>-179683</v>
      </c>
      <c r="F930">
        <v>28270</v>
      </c>
      <c r="G930">
        <v>140874</v>
      </c>
      <c r="H930">
        <v>-116370</v>
      </c>
      <c r="I930">
        <v>205398</v>
      </c>
      <c r="J930">
        <v>148452</v>
      </c>
      <c r="K930">
        <v>137850</v>
      </c>
      <c r="L930">
        <v>-11441</v>
      </c>
      <c r="M930">
        <v>7.65</v>
      </c>
      <c r="N930">
        <v>927367</v>
      </c>
      <c r="O930">
        <v>24541800</v>
      </c>
      <c r="P930" s="2">
        <v>3.7787244619384071</v>
      </c>
      <c r="Q930" s="4">
        <v>18.774477000000001</v>
      </c>
    </row>
    <row r="931" spans="1:17" x14ac:dyDescent="0.4">
      <c r="A931">
        <v>20210827</v>
      </c>
      <c r="B931" s="1">
        <v>0.375</v>
      </c>
      <c r="C931">
        <v>209262</v>
      </c>
      <c r="D931">
        <v>370445</v>
      </c>
      <c r="E931">
        <v>-325406</v>
      </c>
      <c r="F931">
        <v>6757</v>
      </c>
      <c r="G931">
        <v>135619</v>
      </c>
      <c r="H931">
        <v>86184</v>
      </c>
      <c r="I931">
        <v>130490</v>
      </c>
      <c r="J931">
        <v>129899</v>
      </c>
      <c r="K931">
        <v>156801</v>
      </c>
      <c r="L931">
        <v>-20907</v>
      </c>
      <c r="M931">
        <v>8.39</v>
      </c>
      <c r="N931">
        <v>879144</v>
      </c>
      <c r="O931">
        <v>25757450</v>
      </c>
      <c r="P931" s="2">
        <v>3.4131639583887381</v>
      </c>
      <c r="Q931" s="4">
        <v>21.610500550000001</v>
      </c>
    </row>
    <row r="932" spans="1:17" x14ac:dyDescent="0.4">
      <c r="A932">
        <v>20210827</v>
      </c>
      <c r="B932" s="1">
        <v>0.39583333333333331</v>
      </c>
      <c r="C932">
        <v>220247</v>
      </c>
      <c r="D932">
        <v>460788</v>
      </c>
      <c r="E932">
        <v>-422921</v>
      </c>
      <c r="F932">
        <v>245382</v>
      </c>
      <c r="G932">
        <v>168839</v>
      </c>
      <c r="H932">
        <v>142924</v>
      </c>
      <c r="I932">
        <v>10002</v>
      </c>
      <c r="J932">
        <v>66955</v>
      </c>
      <c r="K932">
        <v>182917</v>
      </c>
      <c r="L932">
        <v>-20970</v>
      </c>
      <c r="M932">
        <v>8.56</v>
      </c>
      <c r="N932">
        <v>1054163</v>
      </c>
      <c r="O932">
        <v>26055700</v>
      </c>
      <c r="P932" s="2">
        <v>4.0458057162156456</v>
      </c>
      <c r="Q932" s="4">
        <v>22.303679200000001</v>
      </c>
    </row>
    <row r="933" spans="1:17" x14ac:dyDescent="0.4">
      <c r="A933">
        <v>20210827</v>
      </c>
      <c r="B933" s="1">
        <v>0.41666666666666669</v>
      </c>
      <c r="C933">
        <v>286222</v>
      </c>
      <c r="D933">
        <v>521366</v>
      </c>
      <c r="E933">
        <v>-587490</v>
      </c>
      <c r="F933">
        <v>327341</v>
      </c>
      <c r="G933">
        <v>188982</v>
      </c>
      <c r="H933">
        <v>276703</v>
      </c>
      <c r="I933">
        <v>-8884</v>
      </c>
      <c r="J933">
        <v>15238</v>
      </c>
      <c r="K933">
        <v>210394</v>
      </c>
      <c r="L933">
        <v>-4748</v>
      </c>
      <c r="M933">
        <v>8.86</v>
      </c>
      <c r="N933">
        <v>1225124</v>
      </c>
      <c r="O933">
        <v>26270800</v>
      </c>
      <c r="P933" s="2">
        <v>4.6634438235607591</v>
      </c>
      <c r="Q933" s="4">
        <v>23.275928799999996</v>
      </c>
    </row>
    <row r="934" spans="1:17" x14ac:dyDescent="0.4">
      <c r="A934">
        <v>20210827</v>
      </c>
      <c r="B934" s="1">
        <v>0.4375</v>
      </c>
      <c r="C934">
        <v>288467</v>
      </c>
      <c r="D934">
        <v>516493</v>
      </c>
      <c r="E934">
        <v>-804077</v>
      </c>
      <c r="F934">
        <v>322626</v>
      </c>
      <c r="G934">
        <v>210270</v>
      </c>
      <c r="H934">
        <v>299210</v>
      </c>
      <c r="I934">
        <v>-57486</v>
      </c>
      <c r="J934">
        <v>-16717</v>
      </c>
      <c r="K934">
        <v>202505</v>
      </c>
      <c r="L934">
        <v>-41</v>
      </c>
      <c r="M934">
        <v>8.86</v>
      </c>
      <c r="N934">
        <v>961250</v>
      </c>
      <c r="O934">
        <v>26461950</v>
      </c>
      <c r="P934" s="2">
        <v>3.6325743189749811</v>
      </c>
      <c r="Q934" s="4">
        <v>23.445287699999998</v>
      </c>
    </row>
    <row r="935" spans="1:17" x14ac:dyDescent="0.4">
      <c r="A935">
        <v>20210827</v>
      </c>
      <c r="B935" s="1">
        <v>0.45833333333333331</v>
      </c>
      <c r="C935">
        <v>286445</v>
      </c>
      <c r="D935">
        <v>441519</v>
      </c>
      <c r="E935">
        <v>-580318</v>
      </c>
      <c r="F935">
        <v>72617</v>
      </c>
      <c r="G935">
        <v>90333</v>
      </c>
      <c r="H935">
        <v>391389</v>
      </c>
      <c r="I935">
        <v>-64693</v>
      </c>
      <c r="J935">
        <v>-26864</v>
      </c>
      <c r="K935">
        <v>133733</v>
      </c>
      <c r="L935">
        <v>-1980</v>
      </c>
      <c r="M935">
        <v>8.86</v>
      </c>
      <c r="N935">
        <v>742181</v>
      </c>
      <c r="O935">
        <v>26580550</v>
      </c>
      <c r="P935" s="2">
        <v>2.7921957973029152</v>
      </c>
      <c r="Q935" s="4">
        <v>23.550367299999998</v>
      </c>
    </row>
    <row r="936" spans="1:17" x14ac:dyDescent="0.4">
      <c r="A936">
        <v>20210827</v>
      </c>
      <c r="B936" s="1">
        <v>0.47916666666666669</v>
      </c>
      <c r="C936">
        <v>239460</v>
      </c>
      <c r="D936">
        <v>478152</v>
      </c>
      <c r="E936">
        <v>-675635</v>
      </c>
      <c r="F936">
        <v>45540</v>
      </c>
      <c r="G936">
        <v>103434</v>
      </c>
      <c r="H936">
        <v>463788</v>
      </c>
      <c r="I936">
        <v>-157308</v>
      </c>
      <c r="J936">
        <v>-20114</v>
      </c>
      <c r="K936">
        <v>218699</v>
      </c>
      <c r="L936">
        <v>1217</v>
      </c>
      <c r="M936">
        <v>9</v>
      </c>
      <c r="N936">
        <v>697233</v>
      </c>
      <c r="O936">
        <v>26583000</v>
      </c>
      <c r="P936" s="2">
        <v>2.6228529511341834</v>
      </c>
      <c r="Q936" s="4">
        <v>23.924700000000001</v>
      </c>
    </row>
    <row r="937" spans="1:17" x14ac:dyDescent="0.4">
      <c r="A937">
        <v>20210827</v>
      </c>
      <c r="B937" s="1">
        <v>0.5</v>
      </c>
      <c r="C937">
        <v>179996</v>
      </c>
      <c r="D937">
        <v>539134</v>
      </c>
      <c r="E937">
        <v>-758104</v>
      </c>
      <c r="F937">
        <v>-22966</v>
      </c>
      <c r="G937">
        <v>85954</v>
      </c>
      <c r="H937">
        <v>504458</v>
      </c>
      <c r="I937">
        <v>-225514</v>
      </c>
      <c r="J937">
        <v>-20267</v>
      </c>
      <c r="K937">
        <v>268844</v>
      </c>
      <c r="L937">
        <v>12083</v>
      </c>
      <c r="M937">
        <v>8.86</v>
      </c>
      <c r="N937">
        <v>563618</v>
      </c>
      <c r="O937">
        <v>26597000</v>
      </c>
      <c r="P937" s="2">
        <v>2.1191036583073277</v>
      </c>
      <c r="Q937" s="4">
        <v>23.564941999999999</v>
      </c>
    </row>
    <row r="938" spans="1:17" x14ac:dyDescent="0.4">
      <c r="A938">
        <v>20210827</v>
      </c>
      <c r="B938" s="1">
        <v>0.52083333333333337</v>
      </c>
      <c r="C938">
        <v>139878</v>
      </c>
      <c r="D938">
        <v>631972</v>
      </c>
      <c r="E938">
        <v>-764820</v>
      </c>
      <c r="F938">
        <v>28765</v>
      </c>
      <c r="G938">
        <v>50917</v>
      </c>
      <c r="H938">
        <v>538044</v>
      </c>
      <c r="I938">
        <v>-236700</v>
      </c>
      <c r="J938">
        <v>-49698</v>
      </c>
      <c r="K938">
        <v>306465</v>
      </c>
      <c r="L938">
        <v>18272</v>
      </c>
      <c r="M938">
        <v>8.9600000000000009</v>
      </c>
      <c r="N938">
        <v>663095</v>
      </c>
      <c r="O938">
        <v>26438300</v>
      </c>
      <c r="P938" s="2">
        <v>2.5080848617346803</v>
      </c>
      <c r="Q938" s="4">
        <v>23.688716800000002</v>
      </c>
    </row>
    <row r="939" spans="1:17" x14ac:dyDescent="0.4">
      <c r="A939">
        <v>20210827</v>
      </c>
      <c r="B939" s="1">
        <v>0.54166666666666663</v>
      </c>
      <c r="C939">
        <v>97110</v>
      </c>
      <c r="D939">
        <v>609587</v>
      </c>
      <c r="E939">
        <v>-458568</v>
      </c>
      <c r="F939">
        <v>104565</v>
      </c>
      <c r="G939">
        <v>77510</v>
      </c>
      <c r="H939">
        <v>552653</v>
      </c>
      <c r="I939">
        <v>-301028</v>
      </c>
      <c r="J939">
        <v>-42895</v>
      </c>
      <c r="K939">
        <v>266140</v>
      </c>
      <c r="L939">
        <v>7499</v>
      </c>
      <c r="M939">
        <v>9.9</v>
      </c>
      <c r="N939">
        <v>912573</v>
      </c>
      <c r="O939">
        <v>25522300</v>
      </c>
      <c r="P939" s="2">
        <v>3.5755907578862405</v>
      </c>
      <c r="Q939" s="4">
        <v>25.267077</v>
      </c>
    </row>
    <row r="940" spans="1:17" x14ac:dyDescent="0.4">
      <c r="A940">
        <v>20210827</v>
      </c>
      <c r="B940" s="1">
        <v>0.5625</v>
      </c>
      <c r="C940">
        <v>102571</v>
      </c>
      <c r="D940">
        <v>617360</v>
      </c>
      <c r="E940">
        <v>-687148</v>
      </c>
      <c r="F940">
        <v>65846</v>
      </c>
      <c r="G940">
        <v>44913</v>
      </c>
      <c r="H940">
        <v>472634</v>
      </c>
      <c r="I940">
        <v>-260017</v>
      </c>
      <c r="J940">
        <v>-59352</v>
      </c>
      <c r="K940">
        <v>200144</v>
      </c>
      <c r="L940">
        <v>6114</v>
      </c>
      <c r="M940">
        <v>10.32</v>
      </c>
      <c r="N940">
        <v>503065</v>
      </c>
      <c r="O940">
        <v>25043700</v>
      </c>
      <c r="P940" s="2">
        <v>2.0087487072597101</v>
      </c>
      <c r="Q940" s="4">
        <v>25.845098400000001</v>
      </c>
    </row>
    <row r="941" spans="1:17" x14ac:dyDescent="0.4">
      <c r="A941">
        <v>20210827</v>
      </c>
      <c r="B941" s="1">
        <v>0.58333333333333337</v>
      </c>
      <c r="C941">
        <v>37581</v>
      </c>
      <c r="D941">
        <v>590474</v>
      </c>
      <c r="E941">
        <v>-330861</v>
      </c>
      <c r="F941">
        <v>102371</v>
      </c>
      <c r="G941">
        <v>40088</v>
      </c>
      <c r="H941">
        <v>615792</v>
      </c>
      <c r="I941">
        <v>-203737</v>
      </c>
      <c r="J941">
        <v>-21087</v>
      </c>
      <c r="K941">
        <v>360819</v>
      </c>
      <c r="L941">
        <v>10830</v>
      </c>
      <c r="M941">
        <v>10.32</v>
      </c>
      <c r="N941">
        <v>1202270</v>
      </c>
      <c r="O941">
        <v>24701450</v>
      </c>
      <c r="P941" s="2">
        <v>4.867204151982981</v>
      </c>
      <c r="Q941" s="4">
        <v>25.491896400000002</v>
      </c>
    </row>
    <row r="942" spans="1:17" x14ac:dyDescent="0.4">
      <c r="A942">
        <v>20210827</v>
      </c>
      <c r="B942" s="1">
        <v>0.60416666666666663</v>
      </c>
      <c r="C942">
        <v>20320</v>
      </c>
      <c r="D942">
        <v>510798</v>
      </c>
      <c r="E942">
        <v>-482408</v>
      </c>
      <c r="F942">
        <v>159036</v>
      </c>
      <c r="G942">
        <v>36316</v>
      </c>
      <c r="H942">
        <v>554985</v>
      </c>
      <c r="I942">
        <v>-102415</v>
      </c>
      <c r="J942">
        <v>-17158</v>
      </c>
      <c r="K942">
        <v>340659</v>
      </c>
      <c r="L942">
        <v>-283</v>
      </c>
      <c r="M942">
        <v>10.54</v>
      </c>
      <c r="N942">
        <v>1019850</v>
      </c>
      <c r="O942">
        <v>24263800</v>
      </c>
      <c r="P942" s="2">
        <v>4.2031751003552618</v>
      </c>
      <c r="Q942" s="4">
        <v>25.574045199999997</v>
      </c>
    </row>
    <row r="943" spans="1:17" x14ac:dyDescent="0.4">
      <c r="A943">
        <v>20210827</v>
      </c>
      <c r="B943" s="1">
        <v>0.625</v>
      </c>
      <c r="C943">
        <v>-14956</v>
      </c>
      <c r="D943">
        <v>517949</v>
      </c>
      <c r="E943">
        <v>-354431</v>
      </c>
      <c r="F943">
        <v>210969</v>
      </c>
      <c r="G943">
        <v>77176</v>
      </c>
      <c r="H943">
        <v>462849</v>
      </c>
      <c r="I943">
        <v>-112952</v>
      </c>
      <c r="J943">
        <v>-42432</v>
      </c>
      <c r="K943">
        <v>431163</v>
      </c>
      <c r="L943">
        <v>-614</v>
      </c>
      <c r="M943">
        <v>10.74</v>
      </c>
      <c r="N943">
        <v>1174721</v>
      </c>
      <c r="O943">
        <v>24130400</v>
      </c>
      <c r="P943" s="2">
        <v>4.8682201704074526</v>
      </c>
      <c r="Q943" s="4">
        <v>25.916049600000001</v>
      </c>
    </row>
    <row r="944" spans="1:17" x14ac:dyDescent="0.4">
      <c r="A944">
        <v>20210827</v>
      </c>
      <c r="B944" s="1">
        <v>0.64583333333333337</v>
      </c>
      <c r="C944">
        <v>37345</v>
      </c>
      <c r="D944">
        <v>380220</v>
      </c>
      <c r="E944">
        <v>-344206</v>
      </c>
      <c r="F944">
        <v>86721</v>
      </c>
      <c r="G944">
        <v>41494</v>
      </c>
      <c r="H944">
        <v>442343</v>
      </c>
      <c r="I944">
        <v>-95867</v>
      </c>
      <c r="J944">
        <v>-92173</v>
      </c>
      <c r="K944">
        <v>330650</v>
      </c>
      <c r="L944">
        <v>-12367</v>
      </c>
      <c r="M944">
        <v>12.18</v>
      </c>
      <c r="N944">
        <v>774160</v>
      </c>
      <c r="O944">
        <v>23826450</v>
      </c>
      <c r="P944" s="2">
        <v>3.2491621706129115</v>
      </c>
      <c r="Q944" s="4">
        <v>29.020616100000002</v>
      </c>
    </row>
    <row r="945" spans="1:17" x14ac:dyDescent="0.4">
      <c r="A945">
        <v>20210827</v>
      </c>
      <c r="B945" s="1">
        <v>0.66666666666666663</v>
      </c>
      <c r="C945">
        <v>3191</v>
      </c>
      <c r="D945">
        <v>168833</v>
      </c>
      <c r="E945">
        <v>-230895</v>
      </c>
      <c r="F945">
        <v>-131746</v>
      </c>
      <c r="G945">
        <v>32161</v>
      </c>
      <c r="H945">
        <v>531261</v>
      </c>
      <c r="I945">
        <v>-18450</v>
      </c>
      <c r="J945">
        <v>-89370</v>
      </c>
      <c r="K945">
        <v>239834</v>
      </c>
      <c r="L945">
        <v>-16931</v>
      </c>
      <c r="M945">
        <v>14.2</v>
      </c>
      <c r="N945">
        <v>487888</v>
      </c>
      <c r="O945">
        <v>24365450</v>
      </c>
      <c r="P945" s="2">
        <v>2.0023763156436676</v>
      </c>
      <c r="Q945" s="4">
        <v>34.598939000000001</v>
      </c>
    </row>
    <row r="946" spans="1:17" x14ac:dyDescent="0.4">
      <c r="A946">
        <v>20210827</v>
      </c>
      <c r="B946" s="1">
        <v>0.6875</v>
      </c>
      <c r="C946">
        <v>13896</v>
      </c>
      <c r="D946">
        <v>141089</v>
      </c>
      <c r="E946">
        <v>-288102</v>
      </c>
      <c r="F946">
        <v>-18046</v>
      </c>
      <c r="G946">
        <v>40825</v>
      </c>
      <c r="H946">
        <v>569839</v>
      </c>
      <c r="I946">
        <v>21706</v>
      </c>
      <c r="J946">
        <v>-79253</v>
      </c>
      <c r="K946">
        <v>40308</v>
      </c>
      <c r="L946">
        <v>-22764</v>
      </c>
      <c r="M946">
        <v>15.46</v>
      </c>
      <c r="N946">
        <v>419498</v>
      </c>
      <c r="O946">
        <v>23810700</v>
      </c>
      <c r="P946" s="2">
        <v>1.7618045668543973</v>
      </c>
      <c r="Q946" s="4">
        <v>36.811342199999999</v>
      </c>
    </row>
    <row r="947" spans="1:17" x14ac:dyDescent="0.4">
      <c r="A947">
        <v>20210827</v>
      </c>
      <c r="B947" s="1">
        <v>0.70833333333333337</v>
      </c>
      <c r="C947">
        <v>13081</v>
      </c>
      <c r="D947">
        <v>82175</v>
      </c>
      <c r="E947">
        <v>-374373</v>
      </c>
      <c r="F947">
        <v>20179</v>
      </c>
      <c r="G947">
        <v>50704</v>
      </c>
      <c r="H947">
        <v>448979</v>
      </c>
      <c r="I947">
        <v>65714</v>
      </c>
      <c r="J947">
        <v>-68815</v>
      </c>
      <c r="K947">
        <v>-106093</v>
      </c>
      <c r="L947">
        <v>-17996</v>
      </c>
      <c r="M947">
        <v>12.79</v>
      </c>
      <c r="N947">
        <v>113555</v>
      </c>
      <c r="O947">
        <v>23239100</v>
      </c>
      <c r="P947" s="2">
        <v>0.48863768390342138</v>
      </c>
      <c r="Q947" s="4">
        <v>29.7228089</v>
      </c>
    </row>
    <row r="948" spans="1:17" x14ac:dyDescent="0.4">
      <c r="A948">
        <v>20210827</v>
      </c>
      <c r="B948" s="1">
        <v>0.72916666666666663</v>
      </c>
      <c r="C948">
        <v>-27415</v>
      </c>
      <c r="D948">
        <v>71920</v>
      </c>
      <c r="E948">
        <v>-421882</v>
      </c>
      <c r="F948">
        <v>190967</v>
      </c>
      <c r="G948">
        <v>80380</v>
      </c>
      <c r="H948">
        <v>530243</v>
      </c>
      <c r="I948">
        <v>124935</v>
      </c>
      <c r="J948">
        <v>-58118</v>
      </c>
      <c r="K948">
        <v>-192170</v>
      </c>
      <c r="L948">
        <v>-17387</v>
      </c>
      <c r="M948">
        <v>12.79</v>
      </c>
      <c r="N948">
        <v>281473</v>
      </c>
      <c r="O948">
        <v>22840500</v>
      </c>
      <c r="P948" s="2">
        <v>1.2323416737812221</v>
      </c>
      <c r="Q948" s="4">
        <v>29.212999499999999</v>
      </c>
    </row>
    <row r="949" spans="1:17" x14ac:dyDescent="0.4">
      <c r="A949">
        <v>20210827</v>
      </c>
      <c r="B949" s="1">
        <v>0.75</v>
      </c>
      <c r="C949">
        <v>53614</v>
      </c>
      <c r="D949">
        <v>93214</v>
      </c>
      <c r="E949">
        <v>-440156</v>
      </c>
      <c r="F949">
        <v>222537</v>
      </c>
      <c r="G949">
        <v>83342</v>
      </c>
      <c r="H949">
        <v>534020</v>
      </c>
      <c r="I949">
        <v>144227</v>
      </c>
      <c r="J949">
        <v>-11918</v>
      </c>
      <c r="K949">
        <v>-60328</v>
      </c>
      <c r="L949">
        <v>-7803</v>
      </c>
      <c r="M949">
        <v>12.63</v>
      </c>
      <c r="N949">
        <v>610749</v>
      </c>
      <c r="O949">
        <v>22339800</v>
      </c>
      <c r="P949" s="2">
        <v>2.7339054064942392</v>
      </c>
      <c r="Q949" s="4">
        <v>28.215167399999999</v>
      </c>
    </row>
    <row r="950" spans="1:17" x14ac:dyDescent="0.4">
      <c r="A950">
        <v>20210827</v>
      </c>
      <c r="B950" s="1">
        <v>0.77083333333333337</v>
      </c>
      <c r="C950">
        <v>-675</v>
      </c>
      <c r="D950">
        <v>-86415</v>
      </c>
      <c r="E950">
        <v>-359037</v>
      </c>
      <c r="F950">
        <v>242505</v>
      </c>
      <c r="G950">
        <v>73309</v>
      </c>
      <c r="H950">
        <v>340465</v>
      </c>
      <c r="I950">
        <v>89382</v>
      </c>
      <c r="J950">
        <v>4684</v>
      </c>
      <c r="K950">
        <v>37070</v>
      </c>
      <c r="L950">
        <v>-9724</v>
      </c>
      <c r="M950">
        <v>12.36</v>
      </c>
      <c r="N950">
        <v>331564</v>
      </c>
      <c r="O950">
        <v>22213900</v>
      </c>
      <c r="P950" s="2">
        <v>1.4925969775680992</v>
      </c>
      <c r="Q950" s="4">
        <v>27.4563804</v>
      </c>
    </row>
    <row r="951" spans="1:17" x14ac:dyDescent="0.4">
      <c r="A951">
        <v>20210827</v>
      </c>
      <c r="B951" s="1">
        <v>0.79166666666666663</v>
      </c>
      <c r="C951">
        <v>42526</v>
      </c>
      <c r="D951">
        <v>60206</v>
      </c>
      <c r="E951">
        <v>-394846</v>
      </c>
      <c r="F951">
        <v>448213</v>
      </c>
      <c r="G951">
        <v>41291</v>
      </c>
      <c r="H951">
        <v>416280</v>
      </c>
      <c r="I951">
        <v>78923</v>
      </c>
      <c r="J951">
        <v>7849</v>
      </c>
      <c r="K951">
        <v>15942</v>
      </c>
      <c r="L951">
        <v>-18676</v>
      </c>
      <c r="M951">
        <v>12.53</v>
      </c>
      <c r="N951">
        <v>697708</v>
      </c>
      <c r="O951">
        <v>21965500</v>
      </c>
      <c r="P951" s="2">
        <v>3.1763811431563131</v>
      </c>
      <c r="Q951" s="4">
        <v>27.522771500000001</v>
      </c>
    </row>
    <row r="952" spans="1:17" x14ac:dyDescent="0.4">
      <c r="A952">
        <v>20210827</v>
      </c>
      <c r="B952" s="1">
        <v>0.8125</v>
      </c>
      <c r="C952">
        <v>60927</v>
      </c>
      <c r="D952">
        <v>88420</v>
      </c>
      <c r="E952">
        <v>-257662</v>
      </c>
      <c r="F952">
        <v>443574</v>
      </c>
      <c r="G952">
        <v>69912</v>
      </c>
      <c r="H952">
        <v>394959</v>
      </c>
      <c r="I952">
        <v>87656</v>
      </c>
      <c r="J952">
        <v>15052</v>
      </c>
      <c r="K952">
        <v>121196</v>
      </c>
      <c r="L952">
        <v>-16786</v>
      </c>
      <c r="M952">
        <v>10.76</v>
      </c>
      <c r="N952">
        <v>1007248</v>
      </c>
      <c r="O952">
        <v>21971950</v>
      </c>
      <c r="P952" s="2">
        <v>4.5842449122631352</v>
      </c>
      <c r="Q952" s="4">
        <v>23.641818199999999</v>
      </c>
    </row>
    <row r="953" spans="1:17" x14ac:dyDescent="0.4">
      <c r="A953">
        <v>20210827</v>
      </c>
      <c r="B953" s="1">
        <v>0.83333333333333337</v>
      </c>
      <c r="C953">
        <v>111624</v>
      </c>
      <c r="D953">
        <v>125602</v>
      </c>
      <c r="E953">
        <v>-432470</v>
      </c>
      <c r="F953">
        <v>571900</v>
      </c>
      <c r="G953">
        <v>84668</v>
      </c>
      <c r="H953">
        <v>537438</v>
      </c>
      <c r="I953">
        <v>128137</v>
      </c>
      <c r="J953">
        <v>25131</v>
      </c>
      <c r="K953">
        <v>212802</v>
      </c>
      <c r="L953">
        <v>-23529</v>
      </c>
      <c r="M953">
        <v>10.32</v>
      </c>
      <c r="N953">
        <v>1341303</v>
      </c>
      <c r="O953">
        <v>21304050</v>
      </c>
      <c r="P953" s="2">
        <v>6.2960000563273182</v>
      </c>
      <c r="Q953" s="4">
        <v>21.985779600000001</v>
      </c>
    </row>
    <row r="954" spans="1:17" x14ac:dyDescent="0.4">
      <c r="A954">
        <v>20210827</v>
      </c>
      <c r="B954" s="1">
        <v>0.85416666666666663</v>
      </c>
      <c r="C954">
        <v>56487</v>
      </c>
      <c r="D954">
        <v>66206</v>
      </c>
      <c r="E954">
        <v>-237066</v>
      </c>
      <c r="F954">
        <v>568984</v>
      </c>
      <c r="G954">
        <v>61715</v>
      </c>
      <c r="H954">
        <v>419418</v>
      </c>
      <c r="I954">
        <v>115749</v>
      </c>
      <c r="J954">
        <v>19006</v>
      </c>
      <c r="K954">
        <v>143851</v>
      </c>
      <c r="L954">
        <v>-14898</v>
      </c>
      <c r="M954">
        <v>10.32</v>
      </c>
      <c r="N954">
        <v>1199452</v>
      </c>
      <c r="O954">
        <v>21418750</v>
      </c>
      <c r="P954" s="2">
        <v>5.6000093376130726</v>
      </c>
      <c r="Q954" s="4">
        <v>22.104150000000001</v>
      </c>
    </row>
    <row r="955" spans="1:17" x14ac:dyDescent="0.4">
      <c r="A955">
        <v>20210827</v>
      </c>
      <c r="B955" s="1">
        <v>0.875</v>
      </c>
      <c r="C955">
        <v>11963</v>
      </c>
      <c r="D955">
        <v>114442</v>
      </c>
      <c r="E955">
        <v>-575480</v>
      </c>
      <c r="F955">
        <v>548676</v>
      </c>
      <c r="G955">
        <v>85971</v>
      </c>
      <c r="H955">
        <v>338070</v>
      </c>
      <c r="I955">
        <v>85621</v>
      </c>
      <c r="J955">
        <v>18105</v>
      </c>
      <c r="K955">
        <v>101875</v>
      </c>
      <c r="L955">
        <v>-21126</v>
      </c>
      <c r="M955">
        <v>9.83</v>
      </c>
      <c r="N955">
        <v>708117</v>
      </c>
      <c r="O955">
        <v>21320600</v>
      </c>
      <c r="P955" s="2">
        <v>3.3212808269936116</v>
      </c>
      <c r="Q955" s="4">
        <v>20.958149800000001</v>
      </c>
    </row>
    <row r="956" spans="1:17" x14ac:dyDescent="0.4">
      <c r="A956">
        <v>20210827</v>
      </c>
      <c r="B956" s="1">
        <v>0.89583333333333337</v>
      </c>
      <c r="C956">
        <v>-21843</v>
      </c>
      <c r="D956">
        <v>12007</v>
      </c>
      <c r="E956">
        <v>-56643</v>
      </c>
      <c r="F956">
        <v>481844</v>
      </c>
      <c r="G956">
        <v>61711</v>
      </c>
      <c r="H956">
        <v>228637</v>
      </c>
      <c r="I956">
        <v>90584</v>
      </c>
      <c r="J956">
        <v>112</v>
      </c>
      <c r="K956">
        <v>66819</v>
      </c>
      <c r="L956">
        <v>-13136</v>
      </c>
      <c r="M956">
        <v>9.6</v>
      </c>
      <c r="N956">
        <v>850092</v>
      </c>
      <c r="O956">
        <v>21136850</v>
      </c>
      <c r="P956" s="2">
        <v>4.0218480994093255</v>
      </c>
      <c r="Q956" s="4">
        <v>20.291376</v>
      </c>
    </row>
    <row r="957" spans="1:17" x14ac:dyDescent="0.4">
      <c r="A957">
        <v>20210827</v>
      </c>
      <c r="B957" s="1">
        <v>0.91666666666666663</v>
      </c>
      <c r="C957">
        <v>57090</v>
      </c>
      <c r="D957">
        <v>58130</v>
      </c>
      <c r="E957">
        <v>-272856</v>
      </c>
      <c r="F957">
        <v>476379</v>
      </c>
      <c r="G957">
        <v>39096</v>
      </c>
      <c r="H957">
        <v>56392</v>
      </c>
      <c r="I957">
        <v>114814</v>
      </c>
      <c r="J957">
        <v>-5083</v>
      </c>
      <c r="K957">
        <v>65754</v>
      </c>
      <c r="L957">
        <v>-29324</v>
      </c>
      <c r="M957">
        <v>9.61</v>
      </c>
      <c r="N957">
        <v>560392</v>
      </c>
      <c r="O957">
        <v>20499350</v>
      </c>
      <c r="P957" s="2">
        <v>2.7337061906840949</v>
      </c>
      <c r="Q957" s="4">
        <v>19.699875349999999</v>
      </c>
    </row>
    <row r="958" spans="1:17" x14ac:dyDescent="0.4">
      <c r="A958">
        <v>20210827</v>
      </c>
      <c r="B958" s="1">
        <v>0.9375</v>
      </c>
      <c r="C958">
        <v>72575</v>
      </c>
      <c r="D958">
        <v>-77542</v>
      </c>
      <c r="E958">
        <v>-340266</v>
      </c>
      <c r="F958">
        <v>401024</v>
      </c>
      <c r="G958">
        <v>54662</v>
      </c>
      <c r="H958">
        <v>59055</v>
      </c>
      <c r="I958">
        <v>31041</v>
      </c>
      <c r="J958">
        <v>-25084</v>
      </c>
      <c r="K958">
        <v>-66286</v>
      </c>
      <c r="L958">
        <v>-23853</v>
      </c>
      <c r="M958">
        <v>9.18</v>
      </c>
      <c r="N958">
        <v>85326</v>
      </c>
      <c r="O958">
        <v>20176050</v>
      </c>
      <c r="P958" s="2">
        <v>0.42290735798136903</v>
      </c>
      <c r="Q958" s="4">
        <v>18.521613899999998</v>
      </c>
    </row>
    <row r="959" spans="1:17" x14ac:dyDescent="0.4">
      <c r="A959">
        <v>20210827</v>
      </c>
      <c r="B959" s="1">
        <v>0.97916666666666663</v>
      </c>
      <c r="C959">
        <v>63733</v>
      </c>
      <c r="D959">
        <v>-75269</v>
      </c>
      <c r="E959">
        <v>7319</v>
      </c>
      <c r="F959">
        <v>197835</v>
      </c>
      <c r="G959">
        <v>66525</v>
      </c>
      <c r="H959">
        <v>-36692</v>
      </c>
      <c r="I959">
        <v>84690</v>
      </c>
      <c r="J959">
        <v>-15305</v>
      </c>
      <c r="K959">
        <v>-15739</v>
      </c>
      <c r="L959">
        <v>-12162</v>
      </c>
      <c r="M959">
        <v>7.75</v>
      </c>
      <c r="N959">
        <v>264935</v>
      </c>
      <c r="O959">
        <v>18835750</v>
      </c>
      <c r="P959" s="2">
        <v>1.4065540262532683</v>
      </c>
      <c r="Q959" s="4">
        <v>14.59770625</v>
      </c>
    </row>
    <row r="960" spans="1:17" x14ac:dyDescent="0.4">
      <c r="A960">
        <v>20210828</v>
      </c>
      <c r="B960" s="1">
        <v>0</v>
      </c>
      <c r="C960">
        <v>36871</v>
      </c>
      <c r="D960">
        <v>70355</v>
      </c>
      <c r="E960">
        <v>-368320</v>
      </c>
      <c r="F960">
        <v>205489</v>
      </c>
      <c r="G960">
        <v>49691</v>
      </c>
      <c r="H960">
        <v>141945</v>
      </c>
      <c r="I960">
        <v>53924</v>
      </c>
      <c r="J960">
        <v>-8569</v>
      </c>
      <c r="K960">
        <v>130673</v>
      </c>
      <c r="L960">
        <v>-24233</v>
      </c>
      <c r="M960">
        <v>7.2</v>
      </c>
      <c r="N960">
        <v>287826</v>
      </c>
      <c r="O960">
        <v>17867750</v>
      </c>
      <c r="P960" s="2">
        <v>1.610868743966084</v>
      </c>
      <c r="Q960" s="4">
        <v>12.86478</v>
      </c>
    </row>
    <row r="961" spans="1:17" x14ac:dyDescent="0.4">
      <c r="A961">
        <v>20210828</v>
      </c>
      <c r="B961" s="1">
        <v>2.0833333333333332E-2</v>
      </c>
      <c r="C961">
        <v>92976</v>
      </c>
      <c r="D961">
        <v>112920</v>
      </c>
      <c r="E961">
        <v>-369071</v>
      </c>
      <c r="F961">
        <v>124908</v>
      </c>
      <c r="G961">
        <v>44116</v>
      </c>
      <c r="H961">
        <v>110124</v>
      </c>
      <c r="I961">
        <v>91577</v>
      </c>
      <c r="J961">
        <v>-7774</v>
      </c>
      <c r="K961">
        <v>33327</v>
      </c>
      <c r="L961">
        <v>-17905</v>
      </c>
      <c r="M961">
        <v>7.2</v>
      </c>
      <c r="N961">
        <v>215198</v>
      </c>
      <c r="O961">
        <v>18615300</v>
      </c>
      <c r="P961" s="2">
        <v>1.1560275687203536</v>
      </c>
      <c r="Q961" s="4">
        <v>13.403015999999999</v>
      </c>
    </row>
    <row r="962" spans="1:17" x14ac:dyDescent="0.4">
      <c r="A962">
        <v>20210828</v>
      </c>
      <c r="B962" s="1">
        <v>4.1666666666666664E-2</v>
      </c>
      <c r="C962">
        <v>56808</v>
      </c>
      <c r="D962">
        <v>89325</v>
      </c>
      <c r="E962">
        <v>-342611</v>
      </c>
      <c r="F962">
        <v>294859</v>
      </c>
      <c r="G962">
        <v>40667</v>
      </c>
      <c r="H962">
        <v>133499</v>
      </c>
      <c r="I962">
        <v>53588</v>
      </c>
      <c r="J962">
        <v>-23817</v>
      </c>
      <c r="K962">
        <v>45502</v>
      </c>
      <c r="L962">
        <v>-19058</v>
      </c>
      <c r="M962">
        <v>7.08</v>
      </c>
      <c r="N962">
        <v>328762</v>
      </c>
      <c r="O962">
        <v>18996600</v>
      </c>
      <c r="P962" s="2">
        <v>1.7306360085488983</v>
      </c>
      <c r="Q962" s="4">
        <v>13.4495928</v>
      </c>
    </row>
    <row r="963" spans="1:17" x14ac:dyDescent="0.4">
      <c r="A963">
        <v>20210828</v>
      </c>
      <c r="B963" s="1">
        <v>6.25E-2</v>
      </c>
      <c r="C963">
        <v>60751</v>
      </c>
      <c r="D963">
        <v>105020</v>
      </c>
      <c r="E963">
        <v>-307805</v>
      </c>
      <c r="F963">
        <v>139526</v>
      </c>
      <c r="G963">
        <v>34099</v>
      </c>
      <c r="H963">
        <v>106980</v>
      </c>
      <c r="I963">
        <v>82665</v>
      </c>
      <c r="J963">
        <v>-15901</v>
      </c>
      <c r="K963">
        <v>73387</v>
      </c>
      <c r="L963">
        <v>-11296</v>
      </c>
      <c r="M963">
        <v>6.98</v>
      </c>
      <c r="N963">
        <v>267426</v>
      </c>
      <c r="O963">
        <v>19133950</v>
      </c>
      <c r="P963" s="2">
        <v>1.3976518178421078</v>
      </c>
      <c r="Q963" s="4">
        <v>13.355497100000001</v>
      </c>
    </row>
    <row r="964" spans="1:17" x14ac:dyDescent="0.4">
      <c r="A964">
        <v>20210828</v>
      </c>
      <c r="B964" s="1">
        <v>8.3333333333333329E-2</v>
      </c>
      <c r="C964">
        <v>32060</v>
      </c>
      <c r="D964">
        <v>158535</v>
      </c>
      <c r="E964">
        <v>-313979</v>
      </c>
      <c r="F964">
        <v>99326</v>
      </c>
      <c r="G964">
        <v>-29072</v>
      </c>
      <c r="H964">
        <v>101253</v>
      </c>
      <c r="I964">
        <v>95502</v>
      </c>
      <c r="J964">
        <v>-11206</v>
      </c>
      <c r="K964">
        <v>55931</v>
      </c>
      <c r="L964">
        <v>-9622</v>
      </c>
      <c r="M964">
        <v>7</v>
      </c>
      <c r="N964">
        <v>178728</v>
      </c>
      <c r="O964">
        <v>19226400</v>
      </c>
      <c r="P964" s="2">
        <v>0.92959680439395831</v>
      </c>
      <c r="Q964" s="4">
        <v>13.45848</v>
      </c>
    </row>
    <row r="965" spans="1:17" x14ac:dyDescent="0.4">
      <c r="A965">
        <v>20210828</v>
      </c>
      <c r="B965" s="1">
        <v>0.10416666666666667</v>
      </c>
      <c r="C965">
        <v>35773</v>
      </c>
      <c r="D965">
        <v>205846</v>
      </c>
      <c r="E965">
        <v>-192793</v>
      </c>
      <c r="F965">
        <v>134206</v>
      </c>
      <c r="G965">
        <v>40542</v>
      </c>
      <c r="H965">
        <v>31978</v>
      </c>
      <c r="I965">
        <v>39626</v>
      </c>
      <c r="J965">
        <v>-21056</v>
      </c>
      <c r="K965">
        <v>123480</v>
      </c>
      <c r="L965">
        <v>-9007</v>
      </c>
      <c r="M965">
        <v>7.01</v>
      </c>
      <c r="N965">
        <v>388595</v>
      </c>
      <c r="O965">
        <v>19244050</v>
      </c>
      <c r="P965" s="2">
        <v>2.0192994717847856</v>
      </c>
      <c r="Q965" s="4">
        <v>13.49007905</v>
      </c>
    </row>
    <row r="966" spans="1:17" x14ac:dyDescent="0.4">
      <c r="A966">
        <v>20210828</v>
      </c>
      <c r="B966" s="1">
        <v>0.125</v>
      </c>
      <c r="C966">
        <v>45002</v>
      </c>
      <c r="D966">
        <v>166222</v>
      </c>
      <c r="E966">
        <v>-221918</v>
      </c>
      <c r="F966">
        <v>165847</v>
      </c>
      <c r="G966">
        <v>26728</v>
      </c>
      <c r="H966">
        <v>36601</v>
      </c>
      <c r="I966">
        <v>80664</v>
      </c>
      <c r="J966">
        <v>-4426</v>
      </c>
      <c r="K966">
        <v>88281</v>
      </c>
      <c r="L966">
        <v>-10401</v>
      </c>
      <c r="M966">
        <v>7</v>
      </c>
      <c r="N966">
        <v>372600</v>
      </c>
      <c r="O966">
        <v>19375200</v>
      </c>
      <c r="P966" s="2">
        <v>1.9230769230769231</v>
      </c>
      <c r="Q966" s="4">
        <v>13.56264</v>
      </c>
    </row>
    <row r="967" spans="1:17" x14ac:dyDescent="0.4">
      <c r="A967">
        <v>20210828</v>
      </c>
      <c r="B967" s="1">
        <v>0.14583333333333334</v>
      </c>
      <c r="C967">
        <v>4918</v>
      </c>
      <c r="D967">
        <v>148595</v>
      </c>
      <c r="E967">
        <v>-278278</v>
      </c>
      <c r="F967">
        <v>143456</v>
      </c>
      <c r="G967">
        <v>67277</v>
      </c>
      <c r="H967">
        <v>7485</v>
      </c>
      <c r="I967">
        <v>105861</v>
      </c>
      <c r="J967">
        <v>3631</v>
      </c>
      <c r="K967">
        <v>74012</v>
      </c>
      <c r="L967">
        <v>-1688</v>
      </c>
      <c r="M967">
        <v>6.98</v>
      </c>
      <c r="N967">
        <v>275269</v>
      </c>
      <c r="O967">
        <v>19500800</v>
      </c>
      <c r="P967" s="2">
        <v>1.4115779865441418</v>
      </c>
      <c r="Q967" s="4">
        <v>13.6115584</v>
      </c>
    </row>
    <row r="968" spans="1:17" x14ac:dyDescent="0.4">
      <c r="A968">
        <v>20210828</v>
      </c>
      <c r="B968" s="1">
        <v>0.16666666666666666</v>
      </c>
      <c r="C968">
        <v>40983</v>
      </c>
      <c r="D968">
        <v>74283</v>
      </c>
      <c r="E968">
        <v>-381132</v>
      </c>
      <c r="F968">
        <v>231242</v>
      </c>
      <c r="G968">
        <v>33779</v>
      </c>
      <c r="H968">
        <v>97718</v>
      </c>
      <c r="I968">
        <v>143380</v>
      </c>
      <c r="J968">
        <v>-535</v>
      </c>
      <c r="K968">
        <v>120226</v>
      </c>
      <c r="L968">
        <v>-10901</v>
      </c>
      <c r="M968">
        <v>6.97</v>
      </c>
      <c r="N968">
        <v>349043</v>
      </c>
      <c r="O968">
        <v>19229750</v>
      </c>
      <c r="P968" s="2">
        <v>1.8151198013494716</v>
      </c>
      <c r="Q968" s="4">
        <v>13.403135750000001</v>
      </c>
    </row>
    <row r="969" spans="1:17" x14ac:dyDescent="0.4">
      <c r="A969">
        <v>20210828</v>
      </c>
      <c r="B969" s="1">
        <v>0.1875</v>
      </c>
      <c r="C969">
        <v>29670</v>
      </c>
      <c r="D969">
        <v>55089</v>
      </c>
      <c r="E969">
        <v>-293362</v>
      </c>
      <c r="F969">
        <v>130547</v>
      </c>
      <c r="G969">
        <v>37794</v>
      </c>
      <c r="H969">
        <v>29998</v>
      </c>
      <c r="I969">
        <v>73654</v>
      </c>
      <c r="J969">
        <v>-5093</v>
      </c>
      <c r="K969">
        <v>118187</v>
      </c>
      <c r="L969">
        <v>-14023</v>
      </c>
      <c r="M969">
        <v>6.98</v>
      </c>
      <c r="N969">
        <v>162461</v>
      </c>
      <c r="O969">
        <v>19089150</v>
      </c>
      <c r="P969" s="2">
        <v>0.85106461000096911</v>
      </c>
      <c r="Q969" s="4">
        <v>13.324226700000002</v>
      </c>
    </row>
    <row r="970" spans="1:17" x14ac:dyDescent="0.4">
      <c r="A970">
        <v>20210828</v>
      </c>
      <c r="B970" s="1">
        <v>0.20833333333333334</v>
      </c>
      <c r="C970">
        <v>-5916</v>
      </c>
      <c r="D970">
        <v>6365</v>
      </c>
      <c r="E970">
        <v>-264002</v>
      </c>
      <c r="F970">
        <v>209320</v>
      </c>
      <c r="G970">
        <v>57764</v>
      </c>
      <c r="H970">
        <v>56268</v>
      </c>
      <c r="I970">
        <v>100685</v>
      </c>
      <c r="J970">
        <v>4539</v>
      </c>
      <c r="K970">
        <v>137252</v>
      </c>
      <c r="L970">
        <v>-21142</v>
      </c>
      <c r="M970">
        <v>6.97</v>
      </c>
      <c r="N970">
        <v>281133</v>
      </c>
      <c r="O970">
        <v>18743900</v>
      </c>
      <c r="P970" s="2">
        <v>1.4998639557402675</v>
      </c>
      <c r="Q970" s="4">
        <v>13.0644983</v>
      </c>
    </row>
    <row r="971" spans="1:17" x14ac:dyDescent="0.4">
      <c r="A971">
        <v>20210828</v>
      </c>
      <c r="B971" s="1">
        <v>0.22916666666666666</v>
      </c>
      <c r="C971">
        <v>-3853</v>
      </c>
      <c r="D971">
        <v>38206</v>
      </c>
      <c r="E971">
        <v>-162691</v>
      </c>
      <c r="F971">
        <v>190722</v>
      </c>
      <c r="G971">
        <v>46300</v>
      </c>
      <c r="H971">
        <v>92171</v>
      </c>
      <c r="I971">
        <v>127969</v>
      </c>
      <c r="J971">
        <v>7644</v>
      </c>
      <c r="K971">
        <v>131649</v>
      </c>
      <c r="L971">
        <v>-14067</v>
      </c>
      <c r="M971">
        <v>6.97</v>
      </c>
      <c r="N971">
        <v>454050</v>
      </c>
      <c r="O971">
        <v>18575600</v>
      </c>
      <c r="P971" s="2">
        <v>2.444335580008183</v>
      </c>
      <c r="Q971" s="4">
        <v>12.947193199999999</v>
      </c>
    </row>
    <row r="972" spans="1:17" x14ac:dyDescent="0.4">
      <c r="A972">
        <v>20210828</v>
      </c>
      <c r="B972" s="1">
        <v>0.25</v>
      </c>
      <c r="C972">
        <v>36334</v>
      </c>
      <c r="D972">
        <v>56745</v>
      </c>
      <c r="E972">
        <v>-77824</v>
      </c>
      <c r="F972">
        <v>253724</v>
      </c>
      <c r="G972">
        <v>-13755</v>
      </c>
      <c r="H972">
        <v>87468</v>
      </c>
      <c r="I972">
        <v>82735</v>
      </c>
      <c r="J972">
        <v>53591</v>
      </c>
      <c r="K972">
        <v>136163</v>
      </c>
      <c r="L972">
        <v>-18527</v>
      </c>
      <c r="M972">
        <v>6.9</v>
      </c>
      <c r="N972">
        <v>596654</v>
      </c>
      <c r="O972">
        <v>18523400</v>
      </c>
      <c r="P972" s="2">
        <v>3.2210825226470301</v>
      </c>
      <c r="Q972" s="4">
        <v>12.781146</v>
      </c>
    </row>
    <row r="973" spans="1:17" x14ac:dyDescent="0.4">
      <c r="A973">
        <v>20210828</v>
      </c>
      <c r="B973" s="1">
        <v>0.27083333333333331</v>
      </c>
      <c r="C973">
        <v>66770</v>
      </c>
      <c r="D973">
        <v>158760</v>
      </c>
      <c r="E973">
        <v>434</v>
      </c>
      <c r="F973">
        <v>84455</v>
      </c>
      <c r="G973">
        <v>24490</v>
      </c>
      <c r="H973">
        <v>215868</v>
      </c>
      <c r="I973">
        <v>15044</v>
      </c>
      <c r="J973">
        <v>93674</v>
      </c>
      <c r="K973">
        <v>-16618</v>
      </c>
      <c r="L973">
        <v>-11486</v>
      </c>
      <c r="M973">
        <v>6.68</v>
      </c>
      <c r="N973">
        <v>631391</v>
      </c>
      <c r="O973">
        <v>18866100</v>
      </c>
      <c r="P973" s="2">
        <v>3.3466959254959954</v>
      </c>
      <c r="Q973" s="4">
        <v>12.6025548</v>
      </c>
    </row>
    <row r="974" spans="1:17" x14ac:dyDescent="0.4">
      <c r="A974">
        <v>20210828</v>
      </c>
      <c r="B974" s="1">
        <v>0.29166666666666669</v>
      </c>
      <c r="C974">
        <v>127004</v>
      </c>
      <c r="D974">
        <v>225466</v>
      </c>
      <c r="E974">
        <v>152546</v>
      </c>
      <c r="F974">
        <v>225939</v>
      </c>
      <c r="G974">
        <v>34035</v>
      </c>
      <c r="H974">
        <v>279682</v>
      </c>
      <c r="I974">
        <v>33767</v>
      </c>
      <c r="J974">
        <v>83817</v>
      </c>
      <c r="K974">
        <v>-61601</v>
      </c>
      <c r="L974">
        <v>-3016</v>
      </c>
      <c r="M974">
        <v>6.67</v>
      </c>
      <c r="N974">
        <v>1097639</v>
      </c>
      <c r="O974">
        <v>19401900</v>
      </c>
      <c r="P974" s="2">
        <v>5.6573789164978692</v>
      </c>
      <c r="Q974" s="4">
        <v>12.9410673</v>
      </c>
    </row>
    <row r="975" spans="1:17" x14ac:dyDescent="0.4">
      <c r="A975">
        <v>20210828</v>
      </c>
      <c r="B975" s="1">
        <v>0.3125</v>
      </c>
      <c r="C975">
        <v>68856</v>
      </c>
      <c r="D975">
        <v>258625</v>
      </c>
      <c r="E975">
        <v>207561</v>
      </c>
      <c r="F975">
        <v>154271</v>
      </c>
      <c r="G975">
        <v>3183</v>
      </c>
      <c r="H975">
        <v>339161</v>
      </c>
      <c r="I975">
        <v>30556</v>
      </c>
      <c r="J975">
        <v>121313</v>
      </c>
      <c r="K975">
        <v>102708</v>
      </c>
      <c r="L975">
        <v>-4569</v>
      </c>
      <c r="M975">
        <v>6.67</v>
      </c>
      <c r="N975">
        <v>1281665</v>
      </c>
      <c r="O975">
        <v>20008400</v>
      </c>
      <c r="P975" s="2">
        <v>6.4056346334539489</v>
      </c>
      <c r="Q975" s="4">
        <v>13.3456028</v>
      </c>
    </row>
    <row r="976" spans="1:17" x14ac:dyDescent="0.4">
      <c r="A976">
        <v>20210828</v>
      </c>
      <c r="B976" s="1">
        <v>0.33333333333333331</v>
      </c>
      <c r="C976">
        <v>112697</v>
      </c>
      <c r="D976">
        <v>218089</v>
      </c>
      <c r="E976">
        <v>204427</v>
      </c>
      <c r="F976">
        <v>406802</v>
      </c>
      <c r="G976">
        <v>63838</v>
      </c>
      <c r="H976">
        <v>311591</v>
      </c>
      <c r="I976">
        <v>39653</v>
      </c>
      <c r="J976">
        <v>165982</v>
      </c>
      <c r="K976">
        <v>339374</v>
      </c>
      <c r="L976">
        <v>4643</v>
      </c>
      <c r="M976">
        <v>6.69</v>
      </c>
      <c r="N976">
        <v>1867096</v>
      </c>
      <c r="O976">
        <v>20942750</v>
      </c>
      <c r="P976" s="2">
        <v>8.9152379701806108</v>
      </c>
      <c r="Q976" s="4">
        <v>14.010699750000001</v>
      </c>
    </row>
    <row r="977" spans="1:17" x14ac:dyDescent="0.4">
      <c r="A977">
        <v>20210828</v>
      </c>
      <c r="B977" s="1">
        <v>0.35416666666666669</v>
      </c>
      <c r="C977">
        <v>61227</v>
      </c>
      <c r="D977">
        <v>385476</v>
      </c>
      <c r="E977">
        <v>-121101</v>
      </c>
      <c r="F977">
        <v>342207</v>
      </c>
      <c r="G977">
        <v>81283</v>
      </c>
      <c r="H977">
        <v>436584</v>
      </c>
      <c r="I977">
        <v>9761</v>
      </c>
      <c r="J977">
        <v>177067</v>
      </c>
      <c r="K977">
        <v>496295</v>
      </c>
      <c r="L977">
        <v>-10497</v>
      </c>
      <c r="M977">
        <v>6.69</v>
      </c>
      <c r="N977">
        <v>1858302</v>
      </c>
      <c r="O977">
        <v>21402000</v>
      </c>
      <c r="P977" s="2">
        <v>8.6828427249789737</v>
      </c>
      <c r="Q977" s="4">
        <v>14.317938</v>
      </c>
    </row>
    <row r="978" spans="1:17" x14ac:dyDescent="0.4">
      <c r="A978">
        <v>20210828</v>
      </c>
      <c r="B978" s="1">
        <v>0.375</v>
      </c>
      <c r="C978">
        <v>28523</v>
      </c>
      <c r="D978">
        <v>425151</v>
      </c>
      <c r="E978">
        <v>-399530</v>
      </c>
      <c r="F978">
        <v>480957</v>
      </c>
      <c r="G978">
        <v>42262</v>
      </c>
      <c r="H978">
        <v>326268</v>
      </c>
      <c r="I978">
        <v>58420</v>
      </c>
      <c r="J978">
        <v>171334</v>
      </c>
      <c r="K978">
        <v>397372</v>
      </c>
      <c r="L978">
        <v>-24857</v>
      </c>
      <c r="M978">
        <v>6.75</v>
      </c>
      <c r="N978">
        <v>1505900</v>
      </c>
      <c r="O978">
        <v>21822350</v>
      </c>
      <c r="P978" s="2">
        <v>6.9007233409784003</v>
      </c>
      <c r="Q978" s="4">
        <v>14.730086249999999</v>
      </c>
    </row>
    <row r="979" spans="1:17" x14ac:dyDescent="0.4">
      <c r="A979">
        <v>20210828</v>
      </c>
      <c r="B979" s="1">
        <v>0.39583333333333331</v>
      </c>
      <c r="C979">
        <v>45034</v>
      </c>
      <c r="D979">
        <v>440131</v>
      </c>
      <c r="E979">
        <v>-720205</v>
      </c>
      <c r="F979">
        <v>758077</v>
      </c>
      <c r="G979">
        <v>14210</v>
      </c>
      <c r="H979">
        <v>354347</v>
      </c>
      <c r="I979">
        <v>27725</v>
      </c>
      <c r="J979">
        <v>151000</v>
      </c>
      <c r="K979">
        <v>388922</v>
      </c>
      <c r="L979">
        <v>-24349</v>
      </c>
      <c r="M979">
        <v>6.71</v>
      </c>
      <c r="N979">
        <v>1434892</v>
      </c>
      <c r="O979">
        <v>22428600</v>
      </c>
      <c r="P979" s="2">
        <v>6.3975994935038303</v>
      </c>
      <c r="Q979" s="4">
        <v>15.0495906</v>
      </c>
    </row>
    <row r="980" spans="1:17" x14ac:dyDescent="0.4">
      <c r="A980">
        <v>20210828</v>
      </c>
      <c r="B980" s="1">
        <v>0.41666666666666669</v>
      </c>
      <c r="C980">
        <v>-9704</v>
      </c>
      <c r="D980">
        <v>577499</v>
      </c>
      <c r="E980">
        <v>-869927</v>
      </c>
      <c r="F980">
        <v>404891</v>
      </c>
      <c r="G980">
        <v>-57297</v>
      </c>
      <c r="H980">
        <v>358781</v>
      </c>
      <c r="I980">
        <v>38349</v>
      </c>
      <c r="J980">
        <v>163682</v>
      </c>
      <c r="K980">
        <v>364682</v>
      </c>
      <c r="L980">
        <v>-24804</v>
      </c>
      <c r="M980">
        <v>6.68</v>
      </c>
      <c r="N980">
        <v>946152</v>
      </c>
      <c r="O980">
        <v>22888300</v>
      </c>
      <c r="P980" s="2">
        <v>4.1337801409453743</v>
      </c>
      <c r="Q980" s="4">
        <v>15.289384399999999</v>
      </c>
    </row>
    <row r="981" spans="1:17" x14ac:dyDescent="0.4">
      <c r="A981">
        <v>20210828</v>
      </c>
      <c r="B981" s="1">
        <v>0.4375</v>
      </c>
      <c r="C981">
        <v>33467</v>
      </c>
      <c r="D981">
        <v>236288</v>
      </c>
      <c r="E981">
        <v>-1124410</v>
      </c>
      <c r="F981">
        <v>265017</v>
      </c>
      <c r="G981">
        <v>-53380</v>
      </c>
      <c r="H981">
        <v>406886</v>
      </c>
      <c r="I981">
        <v>1919</v>
      </c>
      <c r="J981">
        <v>160166</v>
      </c>
      <c r="K981">
        <v>346422</v>
      </c>
      <c r="L981">
        <v>-25917</v>
      </c>
      <c r="M981">
        <v>6.42</v>
      </c>
      <c r="N981">
        <v>246458</v>
      </c>
      <c r="O981">
        <v>23843750</v>
      </c>
      <c r="P981" s="2">
        <v>1.0336377457404979</v>
      </c>
      <c r="Q981" s="4">
        <v>15.3076875</v>
      </c>
    </row>
    <row r="982" spans="1:17" x14ac:dyDescent="0.4">
      <c r="A982">
        <v>20210828</v>
      </c>
      <c r="B982" s="1">
        <v>0.45833333333333331</v>
      </c>
      <c r="C982">
        <v>39955</v>
      </c>
      <c r="D982">
        <v>147874</v>
      </c>
      <c r="E982">
        <v>-991608</v>
      </c>
      <c r="F982">
        <v>198628</v>
      </c>
      <c r="G982">
        <v>-48767</v>
      </c>
      <c r="H982">
        <v>449156</v>
      </c>
      <c r="I982">
        <v>-7270</v>
      </c>
      <c r="J982">
        <v>138922</v>
      </c>
      <c r="K982">
        <v>408567</v>
      </c>
      <c r="L982">
        <v>-20945</v>
      </c>
      <c r="M982">
        <v>6.45</v>
      </c>
      <c r="N982">
        <v>314512</v>
      </c>
      <c r="O982">
        <v>24027100</v>
      </c>
      <c r="P982" s="2">
        <v>1.3089886003720799</v>
      </c>
      <c r="Q982" s="4">
        <v>15.497479500000001</v>
      </c>
    </row>
    <row r="983" spans="1:17" x14ac:dyDescent="0.4">
      <c r="A983">
        <v>20210828</v>
      </c>
      <c r="B983" s="1">
        <v>0.625</v>
      </c>
      <c r="C983">
        <v>-2935</v>
      </c>
      <c r="D983">
        <v>330076</v>
      </c>
      <c r="E983">
        <v>-694954</v>
      </c>
      <c r="F983">
        <v>69171</v>
      </c>
      <c r="G983">
        <v>-8487</v>
      </c>
      <c r="H983">
        <v>295705</v>
      </c>
      <c r="I983">
        <v>41585</v>
      </c>
      <c r="J983">
        <v>65725</v>
      </c>
      <c r="K983">
        <v>230206</v>
      </c>
      <c r="L983">
        <v>9657</v>
      </c>
      <c r="M983">
        <v>8.8800000000000008</v>
      </c>
      <c r="N983">
        <v>335749</v>
      </c>
      <c r="O983">
        <v>21328100</v>
      </c>
      <c r="P983" s="2">
        <v>1.5742096107951482</v>
      </c>
      <c r="Q983" s="4">
        <v>18.939352800000002</v>
      </c>
    </row>
    <row r="984" spans="1:17" x14ac:dyDescent="0.4">
      <c r="A984">
        <v>20210828</v>
      </c>
      <c r="B984" s="1">
        <v>0.75</v>
      </c>
      <c r="C984">
        <v>2894</v>
      </c>
      <c r="D984">
        <v>126129</v>
      </c>
      <c r="E984">
        <v>-797923</v>
      </c>
      <c r="F984">
        <v>-167693</v>
      </c>
      <c r="G984">
        <v>22349</v>
      </c>
      <c r="H984">
        <v>506550</v>
      </c>
      <c r="I984">
        <v>154470</v>
      </c>
      <c r="J984">
        <v>-515</v>
      </c>
      <c r="K984">
        <v>219912</v>
      </c>
      <c r="L984">
        <v>-10334</v>
      </c>
      <c r="M984">
        <v>10.36</v>
      </c>
      <c r="N984">
        <v>55839</v>
      </c>
      <c r="O984">
        <v>19768350</v>
      </c>
      <c r="P984" s="2">
        <v>0.28246667020768046</v>
      </c>
      <c r="Q984" s="4">
        <v>20.4800106</v>
      </c>
    </row>
    <row r="985" spans="1:17" x14ac:dyDescent="0.4">
      <c r="A985">
        <v>20210828</v>
      </c>
      <c r="B985" s="1">
        <v>0.79166666666666663</v>
      </c>
      <c r="C985">
        <v>-9948</v>
      </c>
      <c r="D985">
        <v>131185</v>
      </c>
      <c r="E985">
        <v>-407959</v>
      </c>
      <c r="F985">
        <v>-34455</v>
      </c>
      <c r="G985">
        <v>23623</v>
      </c>
      <c r="H985">
        <v>336613</v>
      </c>
      <c r="I985">
        <v>137544</v>
      </c>
      <c r="J985">
        <v>71018</v>
      </c>
      <c r="K985">
        <v>278184</v>
      </c>
      <c r="L985">
        <v>-9646</v>
      </c>
      <c r="M985">
        <v>10.36</v>
      </c>
      <c r="N985">
        <v>516159</v>
      </c>
      <c r="O985">
        <v>20124250</v>
      </c>
      <c r="P985" s="2">
        <v>2.5648608022659229</v>
      </c>
      <c r="Q985" s="4">
        <v>20.848723</v>
      </c>
    </row>
    <row r="986" spans="1:17" x14ac:dyDescent="0.4">
      <c r="A986">
        <v>20210828</v>
      </c>
      <c r="B986" s="1">
        <v>0.8125</v>
      </c>
      <c r="C986">
        <v>41308</v>
      </c>
      <c r="D986">
        <v>147685</v>
      </c>
      <c r="E986">
        <v>-49402</v>
      </c>
      <c r="F986">
        <v>-9494</v>
      </c>
      <c r="G986">
        <v>39183</v>
      </c>
      <c r="H986">
        <v>468093</v>
      </c>
      <c r="I986">
        <v>196403</v>
      </c>
      <c r="J986">
        <v>81256</v>
      </c>
      <c r="K986">
        <v>347923</v>
      </c>
      <c r="L986">
        <v>-4615</v>
      </c>
      <c r="M986">
        <v>10.36</v>
      </c>
      <c r="N986">
        <v>1258340</v>
      </c>
      <c r="O986">
        <v>20197450</v>
      </c>
      <c r="P986" s="2">
        <v>6.2301924252814089</v>
      </c>
      <c r="Q986" s="4">
        <v>20.9245582</v>
      </c>
    </row>
    <row r="987" spans="1:17" x14ac:dyDescent="0.4">
      <c r="A987">
        <v>20210828</v>
      </c>
      <c r="B987" s="1">
        <v>0.83333333333333337</v>
      </c>
      <c r="C987">
        <v>27388</v>
      </c>
      <c r="D987">
        <v>140678</v>
      </c>
      <c r="E987">
        <v>-53969</v>
      </c>
      <c r="F987">
        <v>70185</v>
      </c>
      <c r="G987">
        <v>83202</v>
      </c>
      <c r="H987">
        <v>487395</v>
      </c>
      <c r="I987">
        <v>249103</v>
      </c>
      <c r="J987">
        <v>83419</v>
      </c>
      <c r="K987">
        <v>410042</v>
      </c>
      <c r="L987">
        <v>-12706</v>
      </c>
      <c r="M987">
        <v>10.32</v>
      </c>
      <c r="N987">
        <v>1484737</v>
      </c>
      <c r="O987">
        <v>20178850</v>
      </c>
      <c r="P987" s="2">
        <v>7.3578870946560384</v>
      </c>
      <c r="Q987" s="4">
        <v>20.8245732</v>
      </c>
    </row>
    <row r="988" spans="1:17" x14ac:dyDescent="0.4">
      <c r="A988">
        <v>20210828</v>
      </c>
      <c r="B988" s="1">
        <v>0.85416666666666663</v>
      </c>
      <c r="C988">
        <v>9043</v>
      </c>
      <c r="D988">
        <v>101364</v>
      </c>
      <c r="E988">
        <v>19201</v>
      </c>
      <c r="F988">
        <v>-21340</v>
      </c>
      <c r="G988">
        <v>52146</v>
      </c>
      <c r="H988">
        <v>284661</v>
      </c>
      <c r="I988">
        <v>188244</v>
      </c>
      <c r="J988">
        <v>90552</v>
      </c>
      <c r="K988">
        <v>449116</v>
      </c>
      <c r="L988">
        <v>-3690</v>
      </c>
      <c r="M988">
        <v>10.17</v>
      </c>
      <c r="N988">
        <v>1169297</v>
      </c>
      <c r="O988">
        <v>20188850</v>
      </c>
      <c r="P988" s="2">
        <v>5.7917959665855161</v>
      </c>
      <c r="Q988" s="4">
        <v>20.532060449999999</v>
      </c>
    </row>
    <row r="989" spans="1:17" x14ac:dyDescent="0.4">
      <c r="A989">
        <v>20210828</v>
      </c>
      <c r="B989" s="1">
        <v>0.875</v>
      </c>
      <c r="C989">
        <v>57486</v>
      </c>
      <c r="D989">
        <v>147755</v>
      </c>
      <c r="E989">
        <v>56414</v>
      </c>
      <c r="F989">
        <v>66865</v>
      </c>
      <c r="G989">
        <v>56297</v>
      </c>
      <c r="H989">
        <v>599258</v>
      </c>
      <c r="I989">
        <v>111627</v>
      </c>
      <c r="J989">
        <v>71756</v>
      </c>
      <c r="K989">
        <v>420587</v>
      </c>
      <c r="L989">
        <v>-5020</v>
      </c>
      <c r="M989">
        <v>9.9</v>
      </c>
      <c r="N989">
        <v>1583025</v>
      </c>
      <c r="O989">
        <v>19903200</v>
      </c>
      <c r="P989" s="2">
        <v>7.9536205233329316</v>
      </c>
      <c r="Q989" s="4">
        <v>19.704167999999999</v>
      </c>
    </row>
    <row r="990" spans="1:17" x14ac:dyDescent="0.4">
      <c r="A990">
        <v>20210828</v>
      </c>
      <c r="B990" s="1">
        <v>0.89583333333333337</v>
      </c>
      <c r="C990">
        <v>26691</v>
      </c>
      <c r="D990">
        <v>60965</v>
      </c>
      <c r="E990">
        <v>-38942</v>
      </c>
      <c r="F990">
        <v>137036</v>
      </c>
      <c r="G990">
        <v>21910</v>
      </c>
      <c r="H990">
        <v>592522</v>
      </c>
      <c r="I990">
        <v>114345</v>
      </c>
      <c r="J990">
        <v>46160</v>
      </c>
      <c r="K990">
        <v>329980</v>
      </c>
      <c r="L990">
        <v>4254</v>
      </c>
      <c r="M990">
        <v>9.9</v>
      </c>
      <c r="N990">
        <v>1294921</v>
      </c>
      <c r="O990">
        <v>19327250</v>
      </c>
      <c r="P990" s="2">
        <v>6.6999754233012974</v>
      </c>
      <c r="Q990" s="4">
        <v>19.1339775</v>
      </c>
    </row>
    <row r="991" spans="1:17" x14ac:dyDescent="0.4">
      <c r="A991">
        <v>20210828</v>
      </c>
      <c r="B991" s="1">
        <v>0.91666666666666663</v>
      </c>
      <c r="C991">
        <v>51900</v>
      </c>
      <c r="D991">
        <v>56542</v>
      </c>
      <c r="E991">
        <v>-102157</v>
      </c>
      <c r="F991">
        <v>66954</v>
      </c>
      <c r="G991">
        <v>36484</v>
      </c>
      <c r="H991">
        <v>566026</v>
      </c>
      <c r="I991">
        <v>150635</v>
      </c>
      <c r="J991">
        <v>48182</v>
      </c>
      <c r="K991">
        <v>308336</v>
      </c>
      <c r="L991">
        <v>-8730</v>
      </c>
      <c r="M991">
        <v>9.35</v>
      </c>
      <c r="N991">
        <v>1174172</v>
      </c>
      <c r="O991">
        <v>19090500</v>
      </c>
      <c r="P991" s="2">
        <v>6.1505565595453238</v>
      </c>
      <c r="Q991" s="4">
        <v>17.849617500000001</v>
      </c>
    </row>
    <row r="992" spans="1:17" x14ac:dyDescent="0.4">
      <c r="A992">
        <v>20210828</v>
      </c>
      <c r="B992" s="1">
        <v>0.9375</v>
      </c>
      <c r="C992">
        <v>15958</v>
      </c>
      <c r="D992">
        <v>159854</v>
      </c>
      <c r="E992">
        <v>-69216</v>
      </c>
      <c r="F992">
        <v>126022</v>
      </c>
      <c r="G992">
        <v>45960</v>
      </c>
      <c r="H992">
        <v>498351</v>
      </c>
      <c r="I992">
        <v>143605</v>
      </c>
      <c r="J992">
        <v>33729</v>
      </c>
      <c r="K992">
        <v>231803</v>
      </c>
      <c r="L992">
        <v>-2370</v>
      </c>
      <c r="M992">
        <v>8.39</v>
      </c>
      <c r="N992">
        <v>1183696</v>
      </c>
      <c r="O992">
        <v>19224650</v>
      </c>
      <c r="P992" s="2">
        <v>6.1571784141713897</v>
      </c>
      <c r="Q992" s="4">
        <v>16.129481349999999</v>
      </c>
    </row>
    <row r="993" spans="1:17" x14ac:dyDescent="0.4">
      <c r="A993">
        <v>20210828</v>
      </c>
      <c r="B993" s="1">
        <v>0.95833333333333337</v>
      </c>
      <c r="C993">
        <v>23217</v>
      </c>
      <c r="D993">
        <v>87070</v>
      </c>
      <c r="E993">
        <v>-95613</v>
      </c>
      <c r="F993">
        <v>-3513</v>
      </c>
      <c r="G993">
        <v>45587</v>
      </c>
      <c r="H993">
        <v>240253</v>
      </c>
      <c r="I993">
        <v>102392</v>
      </c>
      <c r="J993">
        <v>22940</v>
      </c>
      <c r="K993">
        <v>179258</v>
      </c>
      <c r="L993">
        <v>6213</v>
      </c>
      <c r="M993">
        <v>8.7200000000000006</v>
      </c>
      <c r="N993">
        <v>607804</v>
      </c>
      <c r="O993">
        <v>19110800</v>
      </c>
      <c r="P993" s="2">
        <v>3.1804215417460284</v>
      </c>
      <c r="Q993" s="4">
        <v>16.6646176</v>
      </c>
    </row>
    <row r="994" spans="1:17" x14ac:dyDescent="0.4">
      <c r="A994">
        <v>20210828</v>
      </c>
      <c r="B994" s="1">
        <v>0.97916666666666663</v>
      </c>
      <c r="C994">
        <v>35516</v>
      </c>
      <c r="D994">
        <v>93003</v>
      </c>
      <c r="E994">
        <v>-108901</v>
      </c>
      <c r="F994">
        <v>98825</v>
      </c>
      <c r="G994">
        <v>51570</v>
      </c>
      <c r="H994">
        <v>293035</v>
      </c>
      <c r="I994">
        <v>71422</v>
      </c>
      <c r="J994">
        <v>20957</v>
      </c>
      <c r="K994">
        <v>188271</v>
      </c>
      <c r="L994">
        <v>7205</v>
      </c>
      <c r="M994">
        <v>7.49</v>
      </c>
      <c r="N994">
        <v>750903</v>
      </c>
      <c r="O994">
        <v>18290250</v>
      </c>
      <c r="P994" s="2">
        <v>4.1054824291630787</v>
      </c>
      <c r="Q994" s="4">
        <v>13.699397250000001</v>
      </c>
    </row>
    <row r="995" spans="1:17" x14ac:dyDescent="0.4">
      <c r="A995">
        <v>20210829</v>
      </c>
      <c r="B995" s="1">
        <v>0</v>
      </c>
      <c r="C995">
        <v>23082</v>
      </c>
      <c r="D995">
        <v>114870</v>
      </c>
      <c r="E995">
        <v>-70458</v>
      </c>
      <c r="F995">
        <v>-10204</v>
      </c>
      <c r="G995">
        <v>22423</v>
      </c>
      <c r="H995">
        <v>467305</v>
      </c>
      <c r="I995">
        <v>-32531</v>
      </c>
      <c r="J995">
        <v>77631</v>
      </c>
      <c r="K995">
        <v>-24138</v>
      </c>
      <c r="L995">
        <v>-7830</v>
      </c>
      <c r="M995">
        <v>7.01</v>
      </c>
      <c r="N995">
        <v>560150</v>
      </c>
      <c r="O995">
        <v>16988150</v>
      </c>
      <c r="P995" s="2">
        <v>3.2972984109511629</v>
      </c>
      <c r="Q995" s="4">
        <v>11.90869315</v>
      </c>
    </row>
    <row r="996" spans="1:17" x14ac:dyDescent="0.4">
      <c r="A996">
        <v>20210829</v>
      </c>
      <c r="B996" s="1">
        <v>2.0833333333333332E-2</v>
      </c>
      <c r="C996">
        <v>28090</v>
      </c>
      <c r="D996">
        <v>45461</v>
      </c>
      <c r="E996">
        <v>-115685</v>
      </c>
      <c r="F996">
        <v>-24885</v>
      </c>
      <c r="G996">
        <v>30284</v>
      </c>
      <c r="H996">
        <v>271927</v>
      </c>
      <c r="I996">
        <v>-15620</v>
      </c>
      <c r="J996">
        <v>44621</v>
      </c>
      <c r="K996">
        <v>-26195</v>
      </c>
      <c r="L996">
        <v>-8000</v>
      </c>
      <c r="M996">
        <v>6.9</v>
      </c>
      <c r="N996">
        <v>229998</v>
      </c>
      <c r="O996">
        <v>18120000</v>
      </c>
      <c r="P996" s="2">
        <v>1.2693046357615894</v>
      </c>
      <c r="Q996" s="4">
        <v>12.502800000000001</v>
      </c>
    </row>
    <row r="997" spans="1:17" x14ac:dyDescent="0.4">
      <c r="A997">
        <v>20210829</v>
      </c>
      <c r="B997" s="1">
        <v>4.1666666666666664E-2</v>
      </c>
      <c r="C997">
        <v>11714</v>
      </c>
      <c r="D997">
        <v>64197</v>
      </c>
      <c r="E997">
        <v>-26510</v>
      </c>
      <c r="F997">
        <v>86617</v>
      </c>
      <c r="G997">
        <v>7703</v>
      </c>
      <c r="H997">
        <v>126049</v>
      </c>
      <c r="I997">
        <v>-10046</v>
      </c>
      <c r="J997">
        <v>43015</v>
      </c>
      <c r="K997">
        <v>-42905</v>
      </c>
      <c r="L997">
        <v>-4218</v>
      </c>
      <c r="M997">
        <v>6.89</v>
      </c>
      <c r="N997">
        <v>255616</v>
      </c>
      <c r="O997">
        <v>18594300</v>
      </c>
      <c r="P997" s="2">
        <v>1.3747008491849653</v>
      </c>
      <c r="Q997" s="4">
        <v>12.811472699999999</v>
      </c>
    </row>
    <row r="998" spans="1:17" x14ac:dyDescent="0.4">
      <c r="A998">
        <v>20210829</v>
      </c>
      <c r="B998" s="1">
        <v>6.25E-2</v>
      </c>
      <c r="C998">
        <v>6972</v>
      </c>
      <c r="D998">
        <v>29798</v>
      </c>
      <c r="E998">
        <v>-73993</v>
      </c>
      <c r="F998">
        <v>50300</v>
      </c>
      <c r="G998">
        <v>38690</v>
      </c>
      <c r="H998">
        <v>41290</v>
      </c>
      <c r="I998">
        <v>-35201</v>
      </c>
      <c r="J998">
        <v>47029</v>
      </c>
      <c r="K998">
        <v>20141</v>
      </c>
      <c r="L998">
        <v>-4963</v>
      </c>
      <c r="M998">
        <v>6.77</v>
      </c>
      <c r="N998">
        <v>120063</v>
      </c>
      <c r="O998">
        <v>18600050</v>
      </c>
      <c r="P998" s="2">
        <v>0.64549826478961081</v>
      </c>
      <c r="Q998" s="4">
        <v>12.592233849999998</v>
      </c>
    </row>
    <row r="999" spans="1:17" x14ac:dyDescent="0.4">
      <c r="A999">
        <v>20210829</v>
      </c>
      <c r="B999" s="1">
        <v>8.3333333333333329E-2</v>
      </c>
      <c r="C999">
        <v>-2113</v>
      </c>
      <c r="D999">
        <v>33577</v>
      </c>
      <c r="E999">
        <v>-94556</v>
      </c>
      <c r="F999">
        <v>20769</v>
      </c>
      <c r="G999">
        <v>26023</v>
      </c>
      <c r="H999">
        <v>46279</v>
      </c>
      <c r="I999">
        <v>-8281</v>
      </c>
      <c r="J999">
        <v>44530</v>
      </c>
      <c r="K999">
        <v>43366</v>
      </c>
      <c r="L999">
        <v>-2576</v>
      </c>
      <c r="M999">
        <v>6.77</v>
      </c>
      <c r="N999">
        <v>107018</v>
      </c>
      <c r="O999">
        <v>18561250</v>
      </c>
      <c r="P999" s="2">
        <v>0.57656677217321028</v>
      </c>
      <c r="Q999" s="4">
        <v>12.565966249999999</v>
      </c>
    </row>
    <row r="1000" spans="1:17" x14ac:dyDescent="0.4">
      <c r="A1000">
        <v>20210829</v>
      </c>
      <c r="B1000" s="1">
        <v>0.10416666666666667</v>
      </c>
      <c r="C1000">
        <v>17670</v>
      </c>
      <c r="D1000">
        <v>14464</v>
      </c>
      <c r="E1000">
        <v>-122284</v>
      </c>
      <c r="F1000">
        <v>33026</v>
      </c>
      <c r="G1000">
        <v>52034</v>
      </c>
      <c r="H1000">
        <v>55437</v>
      </c>
      <c r="I1000">
        <v>-46340</v>
      </c>
      <c r="J1000">
        <v>30515</v>
      </c>
      <c r="K1000">
        <v>77101</v>
      </c>
      <c r="L1000">
        <v>-12026</v>
      </c>
      <c r="M1000">
        <v>6.77</v>
      </c>
      <c r="N1000">
        <v>99597</v>
      </c>
      <c r="O1000">
        <v>18568400</v>
      </c>
      <c r="P1000" s="2">
        <v>0.53637900950001072</v>
      </c>
      <c r="Q1000" s="4">
        <v>12.570806799999998</v>
      </c>
    </row>
    <row r="1001" spans="1:17" x14ac:dyDescent="0.4">
      <c r="A1001">
        <v>20210829</v>
      </c>
      <c r="B1001" s="1">
        <v>0.125</v>
      </c>
      <c r="C1001">
        <v>48427</v>
      </c>
      <c r="D1001">
        <v>-20810</v>
      </c>
      <c r="E1001">
        <v>-157667</v>
      </c>
      <c r="F1001">
        <v>43851</v>
      </c>
      <c r="G1001">
        <v>50861</v>
      </c>
      <c r="H1001">
        <v>64939</v>
      </c>
      <c r="I1001">
        <v>-39720</v>
      </c>
      <c r="J1001">
        <v>40219</v>
      </c>
      <c r="K1001">
        <v>39861</v>
      </c>
      <c r="L1001">
        <v>-7467</v>
      </c>
      <c r="M1001">
        <v>6.89</v>
      </c>
      <c r="N1001">
        <v>62494</v>
      </c>
      <c r="O1001">
        <v>18219300</v>
      </c>
      <c r="P1001" s="2">
        <v>0.34300988512182135</v>
      </c>
      <c r="Q1001" s="4">
        <v>12.5530977</v>
      </c>
    </row>
    <row r="1002" spans="1:17" x14ac:dyDescent="0.4">
      <c r="A1002">
        <v>20210829</v>
      </c>
      <c r="B1002" s="1">
        <v>0.14583333333333334</v>
      </c>
      <c r="C1002">
        <v>3230</v>
      </c>
      <c r="D1002">
        <v>-3242</v>
      </c>
      <c r="E1002">
        <v>-176149</v>
      </c>
      <c r="F1002">
        <v>23714</v>
      </c>
      <c r="G1002">
        <v>84811</v>
      </c>
      <c r="H1002">
        <v>9703</v>
      </c>
      <c r="I1002">
        <v>-79315</v>
      </c>
      <c r="J1002">
        <v>27232</v>
      </c>
      <c r="K1002">
        <v>127635</v>
      </c>
      <c r="L1002">
        <v>-4025</v>
      </c>
      <c r="M1002">
        <v>6.77</v>
      </c>
      <c r="N1002">
        <v>13594</v>
      </c>
      <c r="O1002">
        <v>18449050</v>
      </c>
      <c r="P1002" s="2">
        <v>7.3684010829825924E-2</v>
      </c>
      <c r="Q1002" s="4">
        <v>12.490006849999999</v>
      </c>
    </row>
    <row r="1003" spans="1:17" x14ac:dyDescent="0.4">
      <c r="A1003">
        <v>20210829</v>
      </c>
      <c r="B1003" s="1">
        <v>0.16666666666666666</v>
      </c>
      <c r="C1003">
        <v>-14319</v>
      </c>
      <c r="D1003">
        <v>27286</v>
      </c>
      <c r="E1003">
        <v>-240867</v>
      </c>
      <c r="F1003">
        <v>68868</v>
      </c>
      <c r="G1003">
        <v>25829</v>
      </c>
      <c r="H1003">
        <v>26946</v>
      </c>
      <c r="I1003">
        <v>-46164</v>
      </c>
      <c r="J1003">
        <v>31089</v>
      </c>
      <c r="K1003">
        <v>152611</v>
      </c>
      <c r="L1003">
        <v>-3993</v>
      </c>
      <c r="M1003">
        <v>7.05</v>
      </c>
      <c r="N1003">
        <v>27286</v>
      </c>
      <c r="O1003">
        <v>18564700</v>
      </c>
      <c r="P1003" s="2">
        <v>0.1469778665962822</v>
      </c>
      <c r="Q1003" s="4">
        <v>13.0881135</v>
      </c>
    </row>
    <row r="1004" spans="1:17" x14ac:dyDescent="0.4">
      <c r="A1004">
        <v>20210829</v>
      </c>
      <c r="B1004" s="1">
        <v>0.25</v>
      </c>
      <c r="C1004">
        <v>101111</v>
      </c>
      <c r="D1004">
        <v>58776</v>
      </c>
      <c r="E1004">
        <v>-332550</v>
      </c>
      <c r="F1004">
        <v>-33505</v>
      </c>
      <c r="G1004">
        <v>21697</v>
      </c>
      <c r="H1004">
        <v>71149</v>
      </c>
      <c r="I1004">
        <v>-3310</v>
      </c>
      <c r="J1004">
        <v>90294</v>
      </c>
      <c r="K1004">
        <v>218445</v>
      </c>
      <c r="L1004">
        <v>-18446</v>
      </c>
      <c r="M1004">
        <v>6.67</v>
      </c>
      <c r="N1004">
        <v>173661</v>
      </c>
      <c r="O1004">
        <v>17388950</v>
      </c>
      <c r="P1004" s="2">
        <v>0.99868594711009007</v>
      </c>
      <c r="Q1004" s="4">
        <v>11.59842965</v>
      </c>
    </row>
    <row r="1005" spans="1:17" x14ac:dyDescent="0.4">
      <c r="A1005">
        <v>20210829</v>
      </c>
      <c r="B1005" s="1">
        <v>0.27083333333333331</v>
      </c>
      <c r="C1005">
        <v>59898</v>
      </c>
      <c r="D1005">
        <v>196961</v>
      </c>
      <c r="E1005">
        <v>-389036</v>
      </c>
      <c r="F1005">
        <v>-202785</v>
      </c>
      <c r="G1005">
        <v>24615</v>
      </c>
      <c r="H1005">
        <v>190357</v>
      </c>
      <c r="I1005">
        <v>5772</v>
      </c>
      <c r="J1005">
        <v>92786</v>
      </c>
      <c r="K1005">
        <v>151416</v>
      </c>
      <c r="L1005">
        <v>-33945</v>
      </c>
      <c r="M1005">
        <v>6.59</v>
      </c>
      <c r="N1005">
        <v>96039</v>
      </c>
      <c r="O1005">
        <v>17568700</v>
      </c>
      <c r="P1005" s="2">
        <v>0.54664830067107983</v>
      </c>
      <c r="Q1005" s="4">
        <v>11.5777733</v>
      </c>
    </row>
    <row r="1006" spans="1:17" x14ac:dyDescent="0.4">
      <c r="A1006">
        <v>20210829</v>
      </c>
      <c r="B1006" s="1">
        <v>0.29166666666666669</v>
      </c>
      <c r="C1006">
        <v>123635</v>
      </c>
      <c r="D1006">
        <v>402343</v>
      </c>
      <c r="E1006">
        <v>-456995</v>
      </c>
      <c r="F1006">
        <v>-302510</v>
      </c>
      <c r="G1006">
        <v>62263</v>
      </c>
      <c r="H1006">
        <v>382738</v>
      </c>
      <c r="I1006">
        <v>9557</v>
      </c>
      <c r="J1006">
        <v>108939</v>
      </c>
      <c r="K1006">
        <v>34343</v>
      </c>
      <c r="L1006">
        <v>-35619</v>
      </c>
      <c r="M1006">
        <v>6.53</v>
      </c>
      <c r="N1006">
        <v>328694</v>
      </c>
      <c r="O1006">
        <v>18209000</v>
      </c>
      <c r="P1006" s="2">
        <v>1.805118348069636</v>
      </c>
      <c r="Q1006" s="4">
        <v>11.890477000000001</v>
      </c>
    </row>
    <row r="1007" spans="1:17" x14ac:dyDescent="0.4">
      <c r="A1007">
        <v>20210829</v>
      </c>
      <c r="B1007" s="1">
        <v>0.3125</v>
      </c>
      <c r="C1007">
        <v>106513</v>
      </c>
      <c r="D1007">
        <v>474714</v>
      </c>
      <c r="E1007">
        <v>-233026</v>
      </c>
      <c r="F1007">
        <v>-136915</v>
      </c>
      <c r="G1007">
        <v>87634</v>
      </c>
      <c r="H1007">
        <v>281333</v>
      </c>
      <c r="I1007">
        <v>-4538</v>
      </c>
      <c r="J1007">
        <v>106250</v>
      </c>
      <c r="K1007">
        <v>58908</v>
      </c>
      <c r="L1007">
        <v>-45189</v>
      </c>
      <c r="M1007">
        <v>6.02</v>
      </c>
      <c r="N1007">
        <v>695684</v>
      </c>
      <c r="O1007">
        <v>18522850</v>
      </c>
      <c r="P1007" s="2">
        <v>3.7558151148446379</v>
      </c>
      <c r="Q1007" s="4">
        <v>11.150755699999998</v>
      </c>
    </row>
    <row r="1008" spans="1:17" x14ac:dyDescent="0.4">
      <c r="A1008">
        <v>20210829</v>
      </c>
      <c r="B1008" s="1">
        <v>0.33333333333333331</v>
      </c>
      <c r="C1008">
        <v>144669</v>
      </c>
      <c r="D1008">
        <v>429631</v>
      </c>
      <c r="E1008">
        <v>-107232</v>
      </c>
      <c r="F1008">
        <v>-11240</v>
      </c>
      <c r="G1008">
        <v>76183</v>
      </c>
      <c r="H1008">
        <v>262886</v>
      </c>
      <c r="I1008">
        <v>88055</v>
      </c>
      <c r="J1008">
        <v>131575</v>
      </c>
      <c r="K1008">
        <v>95975</v>
      </c>
      <c r="L1008">
        <v>-40743</v>
      </c>
      <c r="M1008">
        <v>5.9</v>
      </c>
      <c r="N1008">
        <v>1069759</v>
      </c>
      <c r="O1008">
        <v>19510400</v>
      </c>
      <c r="P1008" s="2">
        <v>5.4830193127767757</v>
      </c>
      <c r="Q1008" s="4">
        <v>11.511136</v>
      </c>
    </row>
    <row r="1009" spans="1:17" x14ac:dyDescent="0.4">
      <c r="A1009">
        <v>20210829</v>
      </c>
      <c r="B1009" s="1">
        <v>0.35416666666666669</v>
      </c>
      <c r="C1009">
        <v>203137</v>
      </c>
      <c r="D1009">
        <v>368164</v>
      </c>
      <c r="E1009">
        <v>-134314</v>
      </c>
      <c r="F1009">
        <v>51153</v>
      </c>
      <c r="G1009">
        <v>141223</v>
      </c>
      <c r="H1009">
        <v>223920</v>
      </c>
      <c r="I1009">
        <v>95671</v>
      </c>
      <c r="J1009">
        <v>149167</v>
      </c>
      <c r="K1009">
        <v>223448</v>
      </c>
      <c r="L1009">
        <v>-49608</v>
      </c>
      <c r="M1009">
        <v>5.9</v>
      </c>
      <c r="N1009">
        <v>1271961</v>
      </c>
      <c r="O1009">
        <v>20009350</v>
      </c>
      <c r="P1009" s="2">
        <v>6.3568331804881222</v>
      </c>
      <c r="Q1009" s="4">
        <v>11.8055165</v>
      </c>
    </row>
    <row r="1010" spans="1:17" x14ac:dyDescent="0.4">
      <c r="A1010">
        <v>20210829</v>
      </c>
      <c r="B1010" s="1">
        <v>0.375</v>
      </c>
      <c r="C1010">
        <v>169689</v>
      </c>
      <c r="D1010">
        <v>281140</v>
      </c>
      <c r="E1010">
        <v>-628273</v>
      </c>
      <c r="F1010">
        <v>-33082</v>
      </c>
      <c r="G1010">
        <v>184670</v>
      </c>
      <c r="H1010">
        <v>161956</v>
      </c>
      <c r="I1010">
        <v>143913</v>
      </c>
      <c r="J1010">
        <v>138311</v>
      </c>
      <c r="K1010">
        <v>155883</v>
      </c>
      <c r="L1010">
        <v>-31834</v>
      </c>
      <c r="M1010">
        <v>5.85</v>
      </c>
      <c r="N1010">
        <v>542373</v>
      </c>
      <c r="O1010">
        <v>20665600</v>
      </c>
      <c r="P1010" s="2">
        <v>2.6245209430164138</v>
      </c>
      <c r="Q1010" s="4">
        <v>12.089376</v>
      </c>
    </row>
    <row r="1011" spans="1:17" x14ac:dyDescent="0.4">
      <c r="A1011">
        <v>20210829</v>
      </c>
      <c r="B1011" s="1">
        <v>0.39583333333333331</v>
      </c>
      <c r="C1011">
        <v>112057</v>
      </c>
      <c r="D1011">
        <v>219774</v>
      </c>
      <c r="E1011">
        <v>-851985</v>
      </c>
      <c r="F1011">
        <v>118362</v>
      </c>
      <c r="G1011">
        <v>209493</v>
      </c>
      <c r="H1011">
        <v>184499</v>
      </c>
      <c r="I1011">
        <v>220474</v>
      </c>
      <c r="J1011">
        <v>113798</v>
      </c>
      <c r="K1011">
        <v>192166</v>
      </c>
      <c r="L1011">
        <v>-38666</v>
      </c>
      <c r="M1011">
        <v>5.85</v>
      </c>
      <c r="N1011">
        <v>479972</v>
      </c>
      <c r="O1011">
        <v>21114000</v>
      </c>
      <c r="P1011" s="2">
        <v>2.2732405039310408</v>
      </c>
      <c r="Q1011" s="4">
        <v>12.351689999999998</v>
      </c>
    </row>
    <row r="1012" spans="1:17" x14ac:dyDescent="0.4">
      <c r="A1012">
        <v>20210829</v>
      </c>
      <c r="B1012" s="1">
        <v>0.41666666666666669</v>
      </c>
      <c r="C1012">
        <v>96897</v>
      </c>
      <c r="D1012">
        <v>141159</v>
      </c>
      <c r="E1012">
        <v>-827722</v>
      </c>
      <c r="F1012">
        <v>46296</v>
      </c>
      <c r="G1012">
        <v>275124</v>
      </c>
      <c r="H1012">
        <v>151121</v>
      </c>
      <c r="I1012">
        <v>268716</v>
      </c>
      <c r="J1012">
        <v>85964</v>
      </c>
      <c r="K1012">
        <v>272196</v>
      </c>
      <c r="L1012">
        <v>-30261</v>
      </c>
      <c r="M1012">
        <v>5.84</v>
      </c>
      <c r="N1012">
        <v>479490</v>
      </c>
      <c r="O1012">
        <v>21462200</v>
      </c>
      <c r="P1012" s="2">
        <v>2.2341139305383417</v>
      </c>
      <c r="Q1012" s="4">
        <v>12.533924799999999</v>
      </c>
    </row>
    <row r="1013" spans="1:17" x14ac:dyDescent="0.4">
      <c r="A1013">
        <v>20210829</v>
      </c>
      <c r="B1013" s="1">
        <v>0.4375</v>
      </c>
      <c r="C1013">
        <v>114480</v>
      </c>
      <c r="D1013">
        <v>59428</v>
      </c>
      <c r="E1013">
        <v>-903982</v>
      </c>
      <c r="F1013">
        <v>26103</v>
      </c>
      <c r="G1013">
        <v>248933</v>
      </c>
      <c r="H1013">
        <v>314693</v>
      </c>
      <c r="I1013">
        <v>217793</v>
      </c>
      <c r="J1013">
        <v>16298</v>
      </c>
      <c r="K1013">
        <v>304040</v>
      </c>
      <c r="L1013">
        <v>-36183</v>
      </c>
      <c r="M1013">
        <v>5.9</v>
      </c>
      <c r="N1013">
        <v>361603</v>
      </c>
      <c r="O1013">
        <v>21889500</v>
      </c>
      <c r="P1013" s="2">
        <v>1.6519472806596771</v>
      </c>
      <c r="Q1013" s="4">
        <v>12.914805000000001</v>
      </c>
    </row>
    <row r="1014" spans="1:17" x14ac:dyDescent="0.4">
      <c r="A1014">
        <v>20210829</v>
      </c>
      <c r="B1014" s="1">
        <v>0.45833333333333331</v>
      </c>
      <c r="C1014">
        <v>99056</v>
      </c>
      <c r="D1014">
        <v>180593</v>
      </c>
      <c r="E1014">
        <v>-404386</v>
      </c>
      <c r="F1014">
        <v>-65776</v>
      </c>
      <c r="G1014">
        <v>189595</v>
      </c>
      <c r="H1014">
        <v>298878</v>
      </c>
      <c r="I1014">
        <v>56524</v>
      </c>
      <c r="J1014">
        <v>30195</v>
      </c>
      <c r="K1014">
        <v>310464</v>
      </c>
      <c r="L1014">
        <v>42476</v>
      </c>
      <c r="M1014">
        <v>5.9</v>
      </c>
      <c r="N1014">
        <v>737619</v>
      </c>
      <c r="O1014">
        <v>22202500</v>
      </c>
      <c r="P1014" s="2">
        <v>3.3222339826596103</v>
      </c>
      <c r="Q1014" s="4">
        <v>13.099475000000002</v>
      </c>
    </row>
    <row r="1015" spans="1:17" x14ac:dyDescent="0.4">
      <c r="A1015">
        <v>20210829</v>
      </c>
      <c r="B1015" s="1">
        <v>0.47916666666666669</v>
      </c>
      <c r="C1015">
        <v>127516</v>
      </c>
      <c r="D1015">
        <v>214582</v>
      </c>
      <c r="E1015">
        <v>55207</v>
      </c>
      <c r="F1015">
        <v>31460</v>
      </c>
      <c r="G1015">
        <v>177291</v>
      </c>
      <c r="H1015">
        <v>283251</v>
      </c>
      <c r="I1015">
        <v>21648</v>
      </c>
      <c r="J1015">
        <v>33349</v>
      </c>
      <c r="K1015">
        <v>260997</v>
      </c>
      <c r="L1015">
        <v>33351</v>
      </c>
      <c r="M1015">
        <v>5.91</v>
      </c>
      <c r="N1015">
        <v>1238652</v>
      </c>
      <c r="O1015">
        <v>22200250</v>
      </c>
      <c r="P1015" s="2">
        <v>5.5794506818616911</v>
      </c>
      <c r="Q1015" s="4">
        <v>13.120347750000001</v>
      </c>
    </row>
    <row r="1016" spans="1:17" x14ac:dyDescent="0.4">
      <c r="A1016">
        <v>20210829</v>
      </c>
      <c r="B1016" s="1">
        <v>0.5</v>
      </c>
      <c r="C1016">
        <v>87008</v>
      </c>
      <c r="D1016">
        <v>261621</v>
      </c>
      <c r="E1016">
        <v>147577</v>
      </c>
      <c r="F1016">
        <v>-70031</v>
      </c>
      <c r="G1016">
        <v>168745</v>
      </c>
      <c r="H1016">
        <v>229294</v>
      </c>
      <c r="I1016">
        <v>-26700</v>
      </c>
      <c r="J1016">
        <v>1035</v>
      </c>
      <c r="K1016">
        <v>100376</v>
      </c>
      <c r="L1016">
        <v>42682</v>
      </c>
      <c r="M1016">
        <v>6.03</v>
      </c>
      <c r="N1016">
        <v>941607</v>
      </c>
      <c r="O1016">
        <v>22036050</v>
      </c>
      <c r="P1016" s="2">
        <v>4.2730298760440277</v>
      </c>
      <c r="Q1016" s="4">
        <v>13.287738149999999</v>
      </c>
    </row>
    <row r="1017" spans="1:17" x14ac:dyDescent="0.4">
      <c r="A1017">
        <v>20210829</v>
      </c>
      <c r="B1017" s="1">
        <v>0.52083333333333337</v>
      </c>
      <c r="C1017">
        <v>137600</v>
      </c>
      <c r="D1017">
        <v>222070</v>
      </c>
      <c r="E1017">
        <v>421575</v>
      </c>
      <c r="F1017">
        <v>-39727</v>
      </c>
      <c r="G1017">
        <v>150369</v>
      </c>
      <c r="H1017">
        <v>206277</v>
      </c>
      <c r="I1017">
        <v>50692</v>
      </c>
      <c r="J1017">
        <v>-20704</v>
      </c>
      <c r="K1017">
        <v>149170</v>
      </c>
      <c r="L1017">
        <v>33123</v>
      </c>
      <c r="M1017">
        <v>5.96</v>
      </c>
      <c r="N1017">
        <v>1310445</v>
      </c>
      <c r="O1017">
        <v>22111100</v>
      </c>
      <c r="P1017" s="2">
        <v>5.9266386566023401</v>
      </c>
      <c r="Q1017" s="4">
        <v>13.1782156</v>
      </c>
    </row>
    <row r="1018" spans="1:17" x14ac:dyDescent="0.4">
      <c r="A1018">
        <v>20210829</v>
      </c>
      <c r="B1018" s="1">
        <v>0.54166666666666663</v>
      </c>
      <c r="C1018">
        <v>120572</v>
      </c>
      <c r="D1018">
        <v>283453</v>
      </c>
      <c r="E1018">
        <v>520419</v>
      </c>
      <c r="F1018">
        <v>-93794</v>
      </c>
      <c r="G1018">
        <v>124813</v>
      </c>
      <c r="H1018">
        <v>140768</v>
      </c>
      <c r="I1018">
        <v>-34759</v>
      </c>
      <c r="J1018">
        <v>-38045</v>
      </c>
      <c r="K1018">
        <v>143659</v>
      </c>
      <c r="L1018">
        <v>42464</v>
      </c>
      <c r="M1018">
        <v>6.47</v>
      </c>
      <c r="N1018">
        <v>1209550</v>
      </c>
      <c r="O1018">
        <v>21757100</v>
      </c>
      <c r="P1018" s="2">
        <v>5.5593346539750241</v>
      </c>
      <c r="Q1018" s="4">
        <v>14.0768437</v>
      </c>
    </row>
    <row r="1019" spans="1:17" x14ac:dyDescent="0.4">
      <c r="A1019">
        <v>20210829</v>
      </c>
      <c r="B1019" s="1">
        <v>0.5625</v>
      </c>
      <c r="C1019">
        <v>176058</v>
      </c>
      <c r="D1019">
        <v>242847</v>
      </c>
      <c r="E1019">
        <v>347778</v>
      </c>
      <c r="F1019">
        <v>69432</v>
      </c>
      <c r="G1019">
        <v>138616</v>
      </c>
      <c r="H1019">
        <v>268939</v>
      </c>
      <c r="I1019">
        <v>37571</v>
      </c>
      <c r="J1019">
        <v>-27201</v>
      </c>
      <c r="K1019">
        <v>162679</v>
      </c>
      <c r="L1019">
        <v>39613</v>
      </c>
      <c r="M1019">
        <v>6.63</v>
      </c>
      <c r="N1019">
        <v>1456332</v>
      </c>
      <c r="O1019">
        <v>21553450</v>
      </c>
      <c r="P1019" s="2">
        <v>6.7568393923014645</v>
      </c>
      <c r="Q1019" s="4">
        <v>14.289937350000001</v>
      </c>
    </row>
    <row r="1020" spans="1:17" x14ac:dyDescent="0.4">
      <c r="A1020">
        <v>20210829</v>
      </c>
      <c r="B1020" s="1">
        <v>0.58333333333333337</v>
      </c>
      <c r="C1020">
        <v>130847</v>
      </c>
      <c r="D1020">
        <v>325630</v>
      </c>
      <c r="E1020">
        <v>588712</v>
      </c>
      <c r="F1020">
        <v>41932</v>
      </c>
      <c r="G1020">
        <v>111562</v>
      </c>
      <c r="H1020">
        <v>247540</v>
      </c>
      <c r="I1020">
        <v>134709</v>
      </c>
      <c r="J1020">
        <v>-20992</v>
      </c>
      <c r="K1020">
        <v>94274</v>
      </c>
      <c r="L1020">
        <v>43905</v>
      </c>
      <c r="M1020">
        <v>6.76</v>
      </c>
      <c r="N1020">
        <v>1698119</v>
      </c>
      <c r="O1020">
        <v>21215250</v>
      </c>
      <c r="P1020" s="2">
        <v>8.0042375178232632</v>
      </c>
      <c r="Q1020" s="4">
        <v>14.341509</v>
      </c>
    </row>
    <row r="1021" spans="1:17" x14ac:dyDescent="0.4">
      <c r="A1021">
        <v>20210829</v>
      </c>
      <c r="B1021" s="1">
        <v>0.60416666666666663</v>
      </c>
      <c r="C1021">
        <v>72894</v>
      </c>
      <c r="D1021">
        <v>342404</v>
      </c>
      <c r="E1021">
        <v>93280</v>
      </c>
      <c r="F1021">
        <v>95108</v>
      </c>
      <c r="G1021">
        <v>46434</v>
      </c>
      <c r="H1021">
        <v>167687</v>
      </c>
      <c r="I1021">
        <v>188510</v>
      </c>
      <c r="J1021">
        <v>-40902</v>
      </c>
      <c r="K1021">
        <v>-74331</v>
      </c>
      <c r="L1021">
        <v>33480</v>
      </c>
      <c r="M1021">
        <v>6.76</v>
      </c>
      <c r="N1021">
        <v>924564</v>
      </c>
      <c r="O1021">
        <v>21534600</v>
      </c>
      <c r="P1021" s="2">
        <v>4.2933883146192642</v>
      </c>
      <c r="Q1021" s="4">
        <v>14.5573896</v>
      </c>
    </row>
    <row r="1022" spans="1:17" x14ac:dyDescent="0.4">
      <c r="A1022">
        <v>20210829</v>
      </c>
      <c r="B1022" s="1">
        <v>0.625</v>
      </c>
      <c r="C1022">
        <v>9174</v>
      </c>
      <c r="D1022">
        <v>349582</v>
      </c>
      <c r="E1022">
        <v>406235</v>
      </c>
      <c r="F1022">
        <v>-32321</v>
      </c>
      <c r="G1022">
        <v>5981</v>
      </c>
      <c r="H1022">
        <v>325362</v>
      </c>
      <c r="I1022">
        <v>218275</v>
      </c>
      <c r="J1022">
        <v>-50087</v>
      </c>
      <c r="K1022">
        <v>82377</v>
      </c>
      <c r="L1022">
        <v>38817</v>
      </c>
      <c r="M1022">
        <v>7.15</v>
      </c>
      <c r="N1022">
        <v>1353395</v>
      </c>
      <c r="O1022">
        <v>21006600</v>
      </c>
      <c r="P1022" s="2">
        <v>6.4427132425047366</v>
      </c>
      <c r="Q1022" s="4">
        <v>15.019719</v>
      </c>
    </row>
    <row r="1023" spans="1:17" x14ac:dyDescent="0.4">
      <c r="A1023">
        <v>20210829</v>
      </c>
      <c r="B1023" s="1">
        <v>0.64583333333333337</v>
      </c>
      <c r="C1023">
        <v>61783</v>
      </c>
      <c r="D1023">
        <v>339153</v>
      </c>
      <c r="E1023">
        <v>237436</v>
      </c>
      <c r="F1023">
        <v>-181199</v>
      </c>
      <c r="G1023">
        <v>-12339</v>
      </c>
      <c r="H1023">
        <v>172046</v>
      </c>
      <c r="I1023">
        <v>122608</v>
      </c>
      <c r="J1023">
        <v>-63605</v>
      </c>
      <c r="K1023">
        <v>62438</v>
      </c>
      <c r="L1023">
        <v>29693</v>
      </c>
      <c r="M1023">
        <v>7.34</v>
      </c>
      <c r="N1023">
        <v>768014</v>
      </c>
      <c r="O1023">
        <v>20613750</v>
      </c>
      <c r="P1023" s="2">
        <v>3.7257364623127769</v>
      </c>
      <c r="Q1023" s="4">
        <v>15.130492500000001</v>
      </c>
    </row>
    <row r="1024" spans="1:17" x14ac:dyDescent="0.4">
      <c r="A1024">
        <v>20210829</v>
      </c>
      <c r="B1024" s="1">
        <v>0.66666666666666663</v>
      </c>
      <c r="C1024">
        <v>52430</v>
      </c>
      <c r="D1024">
        <v>213761</v>
      </c>
      <c r="E1024">
        <v>437202</v>
      </c>
      <c r="F1024">
        <v>-183886</v>
      </c>
      <c r="G1024">
        <v>-21490</v>
      </c>
      <c r="H1024">
        <v>-49778</v>
      </c>
      <c r="I1024">
        <v>122759</v>
      </c>
      <c r="J1024">
        <v>-102912</v>
      </c>
      <c r="K1024">
        <v>-28035</v>
      </c>
      <c r="L1024">
        <v>43338</v>
      </c>
      <c r="M1024">
        <v>8.99</v>
      </c>
      <c r="N1024">
        <v>483389</v>
      </c>
      <c r="O1024">
        <v>21039800</v>
      </c>
      <c r="P1024" s="2">
        <v>2.2974980750767591</v>
      </c>
      <c r="Q1024" s="4">
        <v>18.914780199999999</v>
      </c>
    </row>
    <row r="1025" spans="1:17" x14ac:dyDescent="0.4">
      <c r="A1025">
        <v>20210829</v>
      </c>
      <c r="B1025" s="1">
        <v>0.6875</v>
      </c>
      <c r="C1025">
        <v>52297</v>
      </c>
      <c r="D1025">
        <v>156568</v>
      </c>
      <c r="E1025">
        <v>758135</v>
      </c>
      <c r="F1025">
        <v>-251136</v>
      </c>
      <c r="G1025">
        <v>-24709</v>
      </c>
      <c r="H1025">
        <v>-80921</v>
      </c>
      <c r="I1025">
        <v>154208</v>
      </c>
      <c r="J1025">
        <v>-134413</v>
      </c>
      <c r="K1025">
        <v>-146543</v>
      </c>
      <c r="L1025">
        <v>29716</v>
      </c>
      <c r="M1025">
        <v>9.8699999999999992</v>
      </c>
      <c r="N1025">
        <v>513202</v>
      </c>
      <c r="O1025">
        <v>20430300</v>
      </c>
      <c r="P1025" s="2">
        <v>2.5119650714869581</v>
      </c>
      <c r="Q1025" s="4">
        <v>20.164706099999997</v>
      </c>
    </row>
    <row r="1026" spans="1:17" x14ac:dyDescent="0.4">
      <c r="A1026">
        <v>20210829</v>
      </c>
      <c r="B1026" s="1">
        <v>0.70833333333333337</v>
      </c>
      <c r="C1026">
        <v>44963</v>
      </c>
      <c r="D1026">
        <v>58861</v>
      </c>
      <c r="E1026">
        <v>666787</v>
      </c>
      <c r="F1026">
        <v>-265559</v>
      </c>
      <c r="G1026">
        <v>-76735</v>
      </c>
      <c r="H1026">
        <v>-157855</v>
      </c>
      <c r="I1026">
        <v>57228</v>
      </c>
      <c r="J1026">
        <v>-131885</v>
      </c>
      <c r="K1026">
        <v>-174794</v>
      </c>
      <c r="L1026">
        <v>10882</v>
      </c>
      <c r="M1026">
        <v>9.8699999999999992</v>
      </c>
      <c r="N1026">
        <v>31893</v>
      </c>
      <c r="O1026">
        <v>20341650</v>
      </c>
      <c r="P1026" s="2">
        <v>0.15678669134509737</v>
      </c>
      <c r="Q1026" s="4">
        <v>20.077208549999998</v>
      </c>
    </row>
    <row r="1027" spans="1:17" x14ac:dyDescent="0.4">
      <c r="A1027">
        <v>20210829</v>
      </c>
      <c r="B1027" s="1">
        <v>0.72916666666666663</v>
      </c>
      <c r="C1027">
        <v>39527</v>
      </c>
      <c r="D1027">
        <v>-18245</v>
      </c>
      <c r="E1027">
        <v>87206</v>
      </c>
      <c r="F1027">
        <v>-34393</v>
      </c>
      <c r="G1027">
        <v>-41780</v>
      </c>
      <c r="H1027">
        <v>226391</v>
      </c>
      <c r="I1027">
        <v>88573</v>
      </c>
      <c r="J1027">
        <v>-114540</v>
      </c>
      <c r="K1027">
        <v>-190403</v>
      </c>
      <c r="L1027">
        <v>3200</v>
      </c>
      <c r="M1027">
        <v>10.32</v>
      </c>
      <c r="N1027">
        <v>45536</v>
      </c>
      <c r="O1027">
        <v>19890700</v>
      </c>
      <c r="P1027" s="2">
        <v>0.22893110850799619</v>
      </c>
      <c r="Q1027" s="4">
        <v>20.5272024</v>
      </c>
    </row>
    <row r="1028" spans="1:17" x14ac:dyDescent="0.4">
      <c r="A1028">
        <v>20210829</v>
      </c>
      <c r="B1028" s="1">
        <v>0.75</v>
      </c>
      <c r="C1028">
        <v>-26785</v>
      </c>
      <c r="D1028">
        <v>31288</v>
      </c>
      <c r="E1028">
        <v>-9167</v>
      </c>
      <c r="F1028">
        <v>-147175</v>
      </c>
      <c r="G1028">
        <v>-55437</v>
      </c>
      <c r="H1028">
        <v>333953</v>
      </c>
      <c r="I1028">
        <v>85548</v>
      </c>
      <c r="J1028">
        <v>-28944</v>
      </c>
      <c r="K1028">
        <v>-39429</v>
      </c>
      <c r="L1028">
        <v>4193</v>
      </c>
      <c r="M1028">
        <v>10.32</v>
      </c>
      <c r="N1028">
        <v>148045</v>
      </c>
      <c r="O1028">
        <v>20000450</v>
      </c>
      <c r="P1028" s="2">
        <v>0.74020834531223045</v>
      </c>
      <c r="Q1028" s="4">
        <v>20.640464399999999</v>
      </c>
    </row>
    <row r="1029" spans="1:17" x14ac:dyDescent="0.4">
      <c r="A1029">
        <v>20210829</v>
      </c>
      <c r="B1029" s="1">
        <v>0.77083333333333337</v>
      </c>
      <c r="C1029">
        <v>-17872</v>
      </c>
      <c r="D1029">
        <v>3570</v>
      </c>
      <c r="E1029">
        <v>81703</v>
      </c>
      <c r="F1029">
        <v>-110616</v>
      </c>
      <c r="G1029">
        <v>-58116</v>
      </c>
      <c r="H1029">
        <v>185932</v>
      </c>
      <c r="I1029">
        <v>-8392</v>
      </c>
      <c r="J1029">
        <v>51473</v>
      </c>
      <c r="K1029">
        <v>52927</v>
      </c>
      <c r="L1029">
        <v>6625</v>
      </c>
      <c r="M1029">
        <v>10.35</v>
      </c>
      <c r="N1029">
        <v>187234</v>
      </c>
      <c r="O1029">
        <v>20083850</v>
      </c>
      <c r="P1029" s="2">
        <v>0.93226149368771427</v>
      </c>
      <c r="Q1029" s="4">
        <v>20.786784749999999</v>
      </c>
    </row>
    <row r="1030" spans="1:17" x14ac:dyDescent="0.4">
      <c r="A1030">
        <v>20210829</v>
      </c>
      <c r="B1030" s="1">
        <v>0.79166666666666663</v>
      </c>
      <c r="C1030">
        <v>-16843</v>
      </c>
      <c r="D1030">
        <v>21980</v>
      </c>
      <c r="E1030">
        <v>192943</v>
      </c>
      <c r="F1030">
        <v>-65133</v>
      </c>
      <c r="G1030">
        <v>-18466</v>
      </c>
      <c r="H1030">
        <v>255098</v>
      </c>
      <c r="I1030">
        <v>47748</v>
      </c>
      <c r="J1030">
        <v>49834</v>
      </c>
      <c r="K1030">
        <v>41670</v>
      </c>
      <c r="L1030">
        <v>-9148</v>
      </c>
      <c r="M1030">
        <v>10.32</v>
      </c>
      <c r="N1030">
        <v>499683</v>
      </c>
      <c r="O1030">
        <v>20023200</v>
      </c>
      <c r="P1030" s="2">
        <v>2.4955201965719764</v>
      </c>
      <c r="Q1030" s="4">
        <v>20.6639424</v>
      </c>
    </row>
    <row r="1031" spans="1:17" x14ac:dyDescent="0.4">
      <c r="A1031">
        <v>20210829</v>
      </c>
      <c r="B1031" s="1">
        <v>0.8125</v>
      </c>
      <c r="C1031">
        <v>11996</v>
      </c>
      <c r="D1031">
        <v>10577</v>
      </c>
      <c r="E1031">
        <v>316062</v>
      </c>
      <c r="F1031">
        <v>16982</v>
      </c>
      <c r="G1031">
        <v>1801</v>
      </c>
      <c r="H1031">
        <v>325630</v>
      </c>
      <c r="I1031">
        <v>33801</v>
      </c>
      <c r="J1031">
        <v>71373</v>
      </c>
      <c r="K1031">
        <v>105567</v>
      </c>
      <c r="L1031">
        <v>-195</v>
      </c>
      <c r="M1031">
        <v>10.27</v>
      </c>
      <c r="N1031">
        <v>893594</v>
      </c>
      <c r="O1031">
        <v>19969100</v>
      </c>
      <c r="P1031" s="2">
        <v>4.474883695309253</v>
      </c>
      <c r="Q1031" s="4">
        <v>20.508265699999999</v>
      </c>
    </row>
    <row r="1032" spans="1:17" x14ac:dyDescent="0.4">
      <c r="A1032">
        <v>20210829</v>
      </c>
      <c r="B1032" s="1">
        <v>0.83333333333333337</v>
      </c>
      <c r="C1032">
        <v>5804</v>
      </c>
      <c r="D1032">
        <v>-22362</v>
      </c>
      <c r="E1032">
        <v>264049</v>
      </c>
      <c r="F1032">
        <v>126645</v>
      </c>
      <c r="G1032">
        <v>11683</v>
      </c>
      <c r="H1032">
        <v>502585</v>
      </c>
      <c r="I1032">
        <v>37690</v>
      </c>
      <c r="J1032">
        <v>68333</v>
      </c>
      <c r="K1032">
        <v>152923</v>
      </c>
      <c r="L1032">
        <v>-14050</v>
      </c>
      <c r="M1032">
        <v>9.98</v>
      </c>
      <c r="N1032">
        <v>1133300</v>
      </c>
      <c r="O1032">
        <v>19891550</v>
      </c>
      <c r="P1032" s="2">
        <v>5.6973941196136044</v>
      </c>
      <c r="Q1032" s="4">
        <v>19.851766900000001</v>
      </c>
    </row>
    <row r="1033" spans="1:17" x14ac:dyDescent="0.4">
      <c r="A1033">
        <v>20210829</v>
      </c>
      <c r="B1033" s="1">
        <v>0.85416666666666663</v>
      </c>
      <c r="C1033">
        <v>-32654</v>
      </c>
      <c r="D1033">
        <v>12547</v>
      </c>
      <c r="E1033">
        <v>190847</v>
      </c>
      <c r="F1033">
        <v>81846</v>
      </c>
      <c r="G1033">
        <v>12302</v>
      </c>
      <c r="H1033">
        <v>325451</v>
      </c>
      <c r="I1033">
        <v>14032</v>
      </c>
      <c r="J1033">
        <v>82853</v>
      </c>
      <c r="K1033">
        <v>184864</v>
      </c>
      <c r="L1033">
        <v>-1264</v>
      </c>
      <c r="M1033">
        <v>9.9700000000000006</v>
      </c>
      <c r="N1033">
        <v>870824</v>
      </c>
      <c r="O1033">
        <v>19720250</v>
      </c>
      <c r="P1033" s="2">
        <v>4.4158872225250692</v>
      </c>
      <c r="Q1033" s="4">
        <v>19.66108925</v>
      </c>
    </row>
    <row r="1034" spans="1:17" x14ac:dyDescent="0.4">
      <c r="A1034">
        <v>20210829</v>
      </c>
      <c r="B1034" s="1">
        <v>0.875</v>
      </c>
      <c r="C1034">
        <v>20334</v>
      </c>
      <c r="D1034">
        <v>65552</v>
      </c>
      <c r="E1034">
        <v>196103</v>
      </c>
      <c r="F1034">
        <v>171840</v>
      </c>
      <c r="G1034">
        <v>39946</v>
      </c>
      <c r="H1034">
        <v>390405</v>
      </c>
      <c r="I1034">
        <v>11562</v>
      </c>
      <c r="J1034">
        <v>71636</v>
      </c>
      <c r="K1034">
        <v>244668</v>
      </c>
      <c r="L1034">
        <v>-16804</v>
      </c>
      <c r="M1034">
        <v>9.61</v>
      </c>
      <c r="N1034">
        <v>1195242</v>
      </c>
      <c r="O1034">
        <v>19319300</v>
      </c>
      <c r="P1034" s="2">
        <v>6.1867769536163317</v>
      </c>
      <c r="Q1034" s="4">
        <v>18.565847300000001</v>
      </c>
    </row>
    <row r="1035" spans="1:17" x14ac:dyDescent="0.4">
      <c r="A1035">
        <v>20210829</v>
      </c>
      <c r="B1035" s="1">
        <v>0.89583333333333337</v>
      </c>
      <c r="C1035">
        <v>33369</v>
      </c>
      <c r="D1035">
        <v>38269</v>
      </c>
      <c r="E1035">
        <v>123384</v>
      </c>
      <c r="F1035">
        <v>164965</v>
      </c>
      <c r="G1035">
        <v>41276</v>
      </c>
      <c r="H1035">
        <v>331861</v>
      </c>
      <c r="I1035">
        <v>-42793</v>
      </c>
      <c r="J1035">
        <v>60642</v>
      </c>
      <c r="K1035">
        <v>164825</v>
      </c>
      <c r="L1035">
        <v>-3131</v>
      </c>
      <c r="M1035">
        <v>9.57</v>
      </c>
      <c r="N1035">
        <v>912667</v>
      </c>
      <c r="O1035">
        <v>18846100</v>
      </c>
      <c r="P1035" s="2">
        <v>4.8427366935334097</v>
      </c>
      <c r="Q1035" s="4">
        <v>18.035717699999999</v>
      </c>
    </row>
    <row r="1036" spans="1:17" x14ac:dyDescent="0.4">
      <c r="A1036">
        <v>20210829</v>
      </c>
      <c r="B1036" s="1">
        <v>0.91666666666666663</v>
      </c>
      <c r="C1036">
        <v>41840</v>
      </c>
      <c r="D1036">
        <v>24846</v>
      </c>
      <c r="E1036">
        <v>35212</v>
      </c>
      <c r="F1036">
        <v>136177</v>
      </c>
      <c r="G1036">
        <v>22565</v>
      </c>
      <c r="H1036">
        <v>539989</v>
      </c>
      <c r="I1036">
        <v>13783</v>
      </c>
      <c r="J1036">
        <v>48057</v>
      </c>
      <c r="K1036">
        <v>128930</v>
      </c>
      <c r="L1036">
        <v>-15943</v>
      </c>
      <c r="M1036">
        <v>9.61</v>
      </c>
      <c r="N1036">
        <v>975456</v>
      </c>
      <c r="O1036">
        <v>18506900</v>
      </c>
      <c r="P1036" s="2">
        <v>5.2707692806466779</v>
      </c>
      <c r="Q1036" s="4">
        <v>17.785130899999999</v>
      </c>
    </row>
    <row r="1037" spans="1:17" x14ac:dyDescent="0.4">
      <c r="A1037">
        <v>20210829</v>
      </c>
      <c r="B1037" s="1">
        <v>0.9375</v>
      </c>
      <c r="C1037">
        <v>28702</v>
      </c>
      <c r="D1037">
        <v>-26031</v>
      </c>
      <c r="E1037">
        <v>40577</v>
      </c>
      <c r="F1037">
        <v>225261</v>
      </c>
      <c r="G1037">
        <v>11737</v>
      </c>
      <c r="H1037">
        <v>464108</v>
      </c>
      <c r="I1037">
        <v>-79860</v>
      </c>
      <c r="J1037">
        <v>39743</v>
      </c>
      <c r="K1037">
        <v>107983</v>
      </c>
      <c r="L1037">
        <v>-979</v>
      </c>
      <c r="M1037">
        <v>8.7100000000000009</v>
      </c>
      <c r="N1037">
        <v>811241</v>
      </c>
      <c r="O1037">
        <v>18300550</v>
      </c>
      <c r="P1037" s="2">
        <v>4.4328777003969826</v>
      </c>
      <c r="Q1037" s="4">
        <v>15.939779050000004</v>
      </c>
    </row>
    <row r="1038" spans="1:17" x14ac:dyDescent="0.4">
      <c r="A1038">
        <v>20210829</v>
      </c>
      <c r="B1038" s="1">
        <v>0.95833333333333337</v>
      </c>
      <c r="C1038">
        <v>3847</v>
      </c>
      <c r="D1038">
        <v>40242</v>
      </c>
      <c r="E1038">
        <v>104237</v>
      </c>
      <c r="F1038">
        <v>202476</v>
      </c>
      <c r="G1038">
        <v>14575</v>
      </c>
      <c r="H1038">
        <v>351528</v>
      </c>
      <c r="I1038">
        <v>-49008</v>
      </c>
      <c r="J1038">
        <v>28463</v>
      </c>
      <c r="K1038">
        <v>125578</v>
      </c>
      <c r="L1038">
        <v>-23679</v>
      </c>
      <c r="M1038">
        <v>7.62</v>
      </c>
      <c r="N1038">
        <v>798259</v>
      </c>
      <c r="O1038">
        <v>18172700</v>
      </c>
      <c r="P1038" s="2">
        <v>4.3926274026424252</v>
      </c>
      <c r="Q1038" s="4">
        <v>13.8475974</v>
      </c>
    </row>
    <row r="1039" spans="1:17" x14ac:dyDescent="0.4">
      <c r="A1039">
        <v>20210829</v>
      </c>
      <c r="B1039" s="1">
        <v>0.97916666666666663</v>
      </c>
      <c r="C1039">
        <v>50250</v>
      </c>
      <c r="D1039">
        <v>3858</v>
      </c>
      <c r="E1039">
        <v>309393</v>
      </c>
      <c r="F1039">
        <v>184273</v>
      </c>
      <c r="G1039">
        <v>11223</v>
      </c>
      <c r="H1039">
        <v>521334</v>
      </c>
      <c r="I1039">
        <v>-17070</v>
      </c>
      <c r="J1039">
        <v>23999</v>
      </c>
      <c r="K1039">
        <v>136591</v>
      </c>
      <c r="L1039">
        <v>-9684</v>
      </c>
      <c r="M1039">
        <v>7.11</v>
      </c>
      <c r="N1039">
        <v>1214167</v>
      </c>
      <c r="O1039">
        <v>17775400</v>
      </c>
      <c r="P1039" s="2">
        <v>6.83060296814699</v>
      </c>
      <c r="Q1039" s="4">
        <v>12.638309400000001</v>
      </c>
    </row>
    <row r="1040" spans="1:17" x14ac:dyDescent="0.4">
      <c r="A1040">
        <v>20210830</v>
      </c>
      <c r="B1040" s="1">
        <v>0</v>
      </c>
      <c r="C1040">
        <v>12637</v>
      </c>
      <c r="D1040">
        <v>63981</v>
      </c>
      <c r="E1040">
        <v>-27726</v>
      </c>
      <c r="F1040">
        <v>83551</v>
      </c>
      <c r="G1040">
        <v>2007</v>
      </c>
      <c r="H1040">
        <v>390744</v>
      </c>
      <c r="I1040">
        <v>-44964</v>
      </c>
      <c r="J1040">
        <v>10737</v>
      </c>
      <c r="K1040">
        <v>57564</v>
      </c>
      <c r="L1040">
        <v>-22597</v>
      </c>
      <c r="M1040">
        <v>6.93</v>
      </c>
      <c r="N1040">
        <v>525934</v>
      </c>
      <c r="O1040">
        <v>18242350</v>
      </c>
      <c r="P1040" s="2">
        <v>2.8830386435958086</v>
      </c>
      <c r="Q1040" s="4">
        <v>12.64194855</v>
      </c>
    </row>
    <row r="1041" spans="1:17" x14ac:dyDescent="0.4">
      <c r="A1041">
        <v>20210830</v>
      </c>
      <c r="B1041" s="1">
        <v>2.0833333333333332E-2</v>
      </c>
      <c r="C1041">
        <v>32293</v>
      </c>
      <c r="D1041">
        <v>44057</v>
      </c>
      <c r="E1041">
        <v>-36236</v>
      </c>
      <c r="F1041">
        <v>143988</v>
      </c>
      <c r="G1041">
        <v>13661</v>
      </c>
      <c r="H1041">
        <v>165653</v>
      </c>
      <c r="I1041">
        <v>-2664</v>
      </c>
      <c r="J1041">
        <v>4659</v>
      </c>
      <c r="K1041">
        <v>48001</v>
      </c>
      <c r="L1041">
        <v>-15545</v>
      </c>
      <c r="M1041">
        <v>6.89</v>
      </c>
      <c r="N1041">
        <v>397867</v>
      </c>
      <c r="O1041">
        <v>19593000</v>
      </c>
      <c r="P1041" s="2">
        <v>2.0306589087939568</v>
      </c>
      <c r="Q1041" s="4">
        <v>13.499577</v>
      </c>
    </row>
    <row r="1042" spans="1:17" x14ac:dyDescent="0.4">
      <c r="A1042">
        <v>20210830</v>
      </c>
      <c r="B1042" s="1">
        <v>4.1666666666666664E-2</v>
      </c>
      <c r="C1042">
        <v>41459</v>
      </c>
      <c r="D1042">
        <v>18194</v>
      </c>
      <c r="E1042">
        <v>-57066</v>
      </c>
      <c r="F1042">
        <v>148977</v>
      </c>
      <c r="G1042">
        <v>16723</v>
      </c>
      <c r="H1042">
        <v>112118</v>
      </c>
      <c r="I1042">
        <v>23450</v>
      </c>
      <c r="J1042">
        <v>5493</v>
      </c>
      <c r="K1042">
        <v>35348</v>
      </c>
      <c r="L1042">
        <v>-21139</v>
      </c>
      <c r="M1042">
        <v>6.85</v>
      </c>
      <c r="N1042">
        <v>323557</v>
      </c>
      <c r="O1042">
        <v>20234000</v>
      </c>
      <c r="P1042" s="2">
        <v>1.59907581298804</v>
      </c>
      <c r="Q1042" s="4">
        <v>13.860290000000001</v>
      </c>
    </row>
    <row r="1043" spans="1:17" x14ac:dyDescent="0.4">
      <c r="A1043">
        <v>20210830</v>
      </c>
      <c r="B1043" s="1">
        <v>6.25E-2</v>
      </c>
      <c r="C1043">
        <v>26918</v>
      </c>
      <c r="D1043">
        <v>42987</v>
      </c>
      <c r="E1043">
        <v>-18102</v>
      </c>
      <c r="F1043">
        <v>172105</v>
      </c>
      <c r="G1043">
        <v>-8687</v>
      </c>
      <c r="H1043">
        <v>30213</v>
      </c>
      <c r="I1043">
        <v>24894</v>
      </c>
      <c r="J1043">
        <v>-11298</v>
      </c>
      <c r="K1043">
        <v>1646</v>
      </c>
      <c r="L1043">
        <v>-15820</v>
      </c>
      <c r="M1043">
        <v>6.8</v>
      </c>
      <c r="N1043">
        <v>244856</v>
      </c>
      <c r="O1043">
        <v>20471250</v>
      </c>
      <c r="P1043" s="2">
        <v>1.1960969652561519</v>
      </c>
      <c r="Q1043" s="4">
        <v>13.920450000000001</v>
      </c>
    </row>
    <row r="1044" spans="1:17" x14ac:dyDescent="0.4">
      <c r="A1044">
        <v>20210830</v>
      </c>
      <c r="B1044" s="1">
        <v>8.3333333333333329E-2</v>
      </c>
      <c r="C1044">
        <v>40232</v>
      </c>
      <c r="D1044">
        <v>-8457</v>
      </c>
      <c r="E1044">
        <v>6284</v>
      </c>
      <c r="F1044">
        <v>223242</v>
      </c>
      <c r="G1044">
        <v>8236</v>
      </c>
      <c r="H1044">
        <v>17930</v>
      </c>
      <c r="I1044">
        <v>-3540</v>
      </c>
      <c r="J1044">
        <v>-6204</v>
      </c>
      <c r="K1044">
        <v>48746</v>
      </c>
      <c r="L1044">
        <v>-19587</v>
      </c>
      <c r="M1044">
        <v>6.74</v>
      </c>
      <c r="N1044">
        <v>306882</v>
      </c>
      <c r="O1044">
        <v>20601550</v>
      </c>
      <c r="P1044" s="2">
        <v>1.4896063645696562</v>
      </c>
      <c r="Q1044" s="4">
        <v>13.885444700000001</v>
      </c>
    </row>
    <row r="1045" spans="1:17" x14ac:dyDescent="0.4">
      <c r="A1045">
        <v>20210830</v>
      </c>
      <c r="B1045" s="1">
        <v>0.10416666666666667</v>
      </c>
      <c r="C1045">
        <v>19267</v>
      </c>
      <c r="D1045">
        <v>37917</v>
      </c>
      <c r="E1045">
        <v>-36475</v>
      </c>
      <c r="F1045">
        <v>169492</v>
      </c>
      <c r="G1045">
        <v>26672</v>
      </c>
      <c r="H1045">
        <v>31721</v>
      </c>
      <c r="I1045">
        <v>-14149</v>
      </c>
      <c r="J1045">
        <v>-6368</v>
      </c>
      <c r="K1045">
        <v>53912</v>
      </c>
      <c r="L1045">
        <v>-16288</v>
      </c>
      <c r="M1045">
        <v>6.69</v>
      </c>
      <c r="N1045">
        <v>265701</v>
      </c>
      <c r="O1045">
        <v>20747850</v>
      </c>
      <c r="P1045" s="2">
        <v>1.2806194376766749</v>
      </c>
      <c r="Q1045" s="4">
        <v>13.880311649999999</v>
      </c>
    </row>
    <row r="1046" spans="1:17" x14ac:dyDescent="0.4">
      <c r="A1046">
        <v>20210830</v>
      </c>
      <c r="B1046" s="1">
        <v>0.125</v>
      </c>
      <c r="C1046">
        <v>7779</v>
      </c>
      <c r="D1046">
        <v>-49483</v>
      </c>
      <c r="E1046">
        <v>-85391</v>
      </c>
      <c r="F1046">
        <v>175682</v>
      </c>
      <c r="G1046">
        <v>31169</v>
      </c>
      <c r="H1046">
        <v>-15290</v>
      </c>
      <c r="I1046">
        <v>-30218</v>
      </c>
      <c r="J1046">
        <v>-6252</v>
      </c>
      <c r="K1046">
        <v>85045</v>
      </c>
      <c r="L1046">
        <v>-18776</v>
      </c>
      <c r="M1046">
        <v>6.74</v>
      </c>
      <c r="N1046">
        <v>94265</v>
      </c>
      <c r="O1046">
        <v>20706500</v>
      </c>
      <c r="P1046" s="2">
        <v>0.45524352256537803</v>
      </c>
      <c r="Q1046" s="4">
        <v>13.956181000000001</v>
      </c>
    </row>
    <row r="1047" spans="1:17" x14ac:dyDescent="0.4">
      <c r="A1047">
        <v>20210830</v>
      </c>
      <c r="B1047" s="1">
        <v>0.14583333333333334</v>
      </c>
      <c r="C1047">
        <v>15872</v>
      </c>
      <c r="D1047">
        <v>-51071</v>
      </c>
      <c r="E1047">
        <v>-94862</v>
      </c>
      <c r="F1047">
        <v>190853</v>
      </c>
      <c r="G1047">
        <v>26005</v>
      </c>
      <c r="H1047">
        <v>-2557</v>
      </c>
      <c r="I1047">
        <v>39723</v>
      </c>
      <c r="J1047">
        <v>-9282</v>
      </c>
      <c r="K1047">
        <v>95064</v>
      </c>
      <c r="L1047">
        <v>-5212</v>
      </c>
      <c r="M1047">
        <v>6.78</v>
      </c>
      <c r="N1047">
        <v>204533</v>
      </c>
      <c r="O1047">
        <v>20702400</v>
      </c>
      <c r="P1047" s="2">
        <v>0.98796757863822549</v>
      </c>
      <c r="Q1047" s="4">
        <v>14.036227200000001</v>
      </c>
    </row>
    <row r="1048" spans="1:17" x14ac:dyDescent="0.4">
      <c r="A1048">
        <v>20210830</v>
      </c>
      <c r="B1048" s="1">
        <v>0.16666666666666666</v>
      </c>
      <c r="C1048">
        <v>12635</v>
      </c>
      <c r="D1048">
        <v>-4238</v>
      </c>
      <c r="E1048">
        <v>-159004</v>
      </c>
      <c r="F1048">
        <v>206102</v>
      </c>
      <c r="G1048">
        <v>18368</v>
      </c>
      <c r="H1048">
        <v>-33301</v>
      </c>
      <c r="I1048">
        <v>15708</v>
      </c>
      <c r="J1048">
        <v>-30408</v>
      </c>
      <c r="K1048">
        <v>46484</v>
      </c>
      <c r="L1048">
        <v>-18364</v>
      </c>
      <c r="M1048">
        <v>6.74</v>
      </c>
      <c r="N1048">
        <v>53982</v>
      </c>
      <c r="O1048">
        <v>20601450</v>
      </c>
      <c r="P1048" s="2">
        <v>0.26203009982307068</v>
      </c>
      <c r="Q1048" s="4">
        <v>13.8853773</v>
      </c>
    </row>
    <row r="1049" spans="1:17" x14ac:dyDescent="0.4">
      <c r="A1049">
        <v>20210830</v>
      </c>
      <c r="B1049" s="1">
        <v>0.1875</v>
      </c>
      <c r="C1049">
        <v>41187</v>
      </c>
      <c r="D1049">
        <v>-3803</v>
      </c>
      <c r="E1049">
        <v>-56616</v>
      </c>
      <c r="F1049">
        <v>79303</v>
      </c>
      <c r="G1049">
        <v>11050</v>
      </c>
      <c r="H1049">
        <v>-24275</v>
      </c>
      <c r="I1049">
        <v>-18190</v>
      </c>
      <c r="J1049">
        <v>-28346</v>
      </c>
      <c r="K1049">
        <v>101196</v>
      </c>
      <c r="L1049">
        <v>-18691</v>
      </c>
      <c r="M1049">
        <v>6.86</v>
      </c>
      <c r="N1049">
        <v>82815</v>
      </c>
      <c r="O1049">
        <v>20681200</v>
      </c>
      <c r="P1049" s="2">
        <v>0.40043614490455098</v>
      </c>
      <c r="Q1049" s="4">
        <v>14.187303200000001</v>
      </c>
    </row>
    <row r="1050" spans="1:17" x14ac:dyDescent="0.4">
      <c r="A1050">
        <v>20210830</v>
      </c>
      <c r="B1050" s="1">
        <v>0.20833333333333334</v>
      </c>
      <c r="C1050">
        <v>7118</v>
      </c>
      <c r="D1050">
        <v>15361</v>
      </c>
      <c r="E1050">
        <v>-41933</v>
      </c>
      <c r="F1050">
        <v>69877</v>
      </c>
      <c r="G1050">
        <v>21345</v>
      </c>
      <c r="H1050">
        <v>-66144</v>
      </c>
      <c r="I1050">
        <v>-10959</v>
      </c>
      <c r="J1050">
        <v>31474</v>
      </c>
      <c r="K1050">
        <v>123692</v>
      </c>
      <c r="L1050">
        <v>-16438</v>
      </c>
      <c r="M1050">
        <v>6.86</v>
      </c>
      <c r="N1050">
        <v>133393</v>
      </c>
      <c r="O1050">
        <v>20698850</v>
      </c>
      <c r="P1050" s="2">
        <v>0.64444643059880136</v>
      </c>
      <c r="Q1050" s="4">
        <v>14.199411100000001</v>
      </c>
    </row>
    <row r="1051" spans="1:17" x14ac:dyDescent="0.4">
      <c r="A1051">
        <v>20210830</v>
      </c>
      <c r="B1051" s="1">
        <v>0.22916666666666666</v>
      </c>
      <c r="C1051">
        <v>13239</v>
      </c>
      <c r="D1051">
        <v>9003</v>
      </c>
      <c r="E1051">
        <v>11510</v>
      </c>
      <c r="F1051">
        <v>180165</v>
      </c>
      <c r="G1051">
        <v>12172</v>
      </c>
      <c r="H1051">
        <v>28804</v>
      </c>
      <c r="I1051">
        <v>56013</v>
      </c>
      <c r="J1051">
        <v>30732</v>
      </c>
      <c r="K1051">
        <v>199047</v>
      </c>
      <c r="L1051">
        <v>-18256</v>
      </c>
      <c r="M1051">
        <v>6.86</v>
      </c>
      <c r="N1051">
        <v>522429</v>
      </c>
      <c r="O1051">
        <v>20669050</v>
      </c>
      <c r="P1051" s="2">
        <v>2.5275907697741311</v>
      </c>
      <c r="Q1051" s="4">
        <v>14.178968299999999</v>
      </c>
    </row>
    <row r="1052" spans="1:17" x14ac:dyDescent="0.4">
      <c r="A1052">
        <v>20210830</v>
      </c>
      <c r="B1052" s="1">
        <v>0.25</v>
      </c>
      <c r="C1052">
        <v>-61347</v>
      </c>
      <c r="D1052">
        <v>54428</v>
      </c>
      <c r="E1052">
        <v>89133</v>
      </c>
      <c r="F1052">
        <v>66688</v>
      </c>
      <c r="G1052">
        <v>-4184</v>
      </c>
      <c r="H1052">
        <v>-50305</v>
      </c>
      <c r="I1052">
        <v>-33100</v>
      </c>
      <c r="J1052">
        <v>53032</v>
      </c>
      <c r="K1052">
        <v>154917</v>
      </c>
      <c r="L1052">
        <v>-11640</v>
      </c>
      <c r="M1052">
        <v>6.86</v>
      </c>
      <c r="N1052">
        <v>257622</v>
      </c>
      <c r="O1052">
        <v>21252650</v>
      </c>
      <c r="P1052" s="2">
        <v>1.2121876565981184</v>
      </c>
      <c r="Q1052" s="4">
        <v>14.579317899999999</v>
      </c>
    </row>
    <row r="1053" spans="1:17" x14ac:dyDescent="0.4">
      <c r="A1053">
        <v>20210830</v>
      </c>
      <c r="B1053" s="1">
        <v>0.29166666666666669</v>
      </c>
      <c r="C1053">
        <v>-42251</v>
      </c>
      <c r="D1053">
        <v>81626</v>
      </c>
      <c r="E1053">
        <v>327644</v>
      </c>
      <c r="F1053">
        <v>-41192</v>
      </c>
      <c r="G1053">
        <v>-26638</v>
      </c>
      <c r="H1053">
        <v>-147870</v>
      </c>
      <c r="I1053">
        <v>-157508</v>
      </c>
      <c r="J1053">
        <v>29743</v>
      </c>
      <c r="K1053">
        <v>83736</v>
      </c>
      <c r="L1053">
        <v>3649</v>
      </c>
      <c r="M1053">
        <v>6.85</v>
      </c>
      <c r="N1053">
        <v>110939</v>
      </c>
      <c r="O1053">
        <v>22983850</v>
      </c>
      <c r="P1053" s="2">
        <v>0.48268240525412409</v>
      </c>
      <c r="Q1053" s="4">
        <v>15.74393725</v>
      </c>
    </row>
    <row r="1054" spans="1:17" x14ac:dyDescent="0.4">
      <c r="A1054">
        <v>20210830</v>
      </c>
      <c r="B1054" s="1">
        <v>0.3125</v>
      </c>
      <c r="C1054">
        <v>-77452</v>
      </c>
      <c r="D1054">
        <v>123321</v>
      </c>
      <c r="E1054">
        <v>393047</v>
      </c>
      <c r="F1054">
        <v>-105035</v>
      </c>
      <c r="G1054">
        <v>-30002</v>
      </c>
      <c r="H1054">
        <v>-100318</v>
      </c>
      <c r="I1054">
        <v>-33119</v>
      </c>
      <c r="J1054">
        <v>14130</v>
      </c>
      <c r="K1054">
        <v>346954</v>
      </c>
      <c r="L1054">
        <v>-6346</v>
      </c>
      <c r="M1054">
        <v>6.92</v>
      </c>
      <c r="N1054">
        <v>525180</v>
      </c>
      <c r="O1054">
        <v>23520550</v>
      </c>
      <c r="P1054" s="2">
        <v>2.232855949371932</v>
      </c>
      <c r="Q1054" s="4">
        <v>16.276220599999998</v>
      </c>
    </row>
    <row r="1055" spans="1:17" x14ac:dyDescent="0.4">
      <c r="A1055">
        <v>20210830</v>
      </c>
      <c r="B1055" s="1">
        <v>0.33333333333333331</v>
      </c>
      <c r="C1055">
        <v>3048</v>
      </c>
      <c r="D1055">
        <v>-4839</v>
      </c>
      <c r="E1055">
        <v>350225</v>
      </c>
      <c r="F1055">
        <v>19482</v>
      </c>
      <c r="G1055">
        <v>-60591</v>
      </c>
      <c r="H1055">
        <v>-217159</v>
      </c>
      <c r="I1055">
        <v>54339</v>
      </c>
      <c r="J1055">
        <v>53894</v>
      </c>
      <c r="K1055">
        <v>379993</v>
      </c>
      <c r="L1055">
        <v>17471</v>
      </c>
      <c r="M1055">
        <v>7.23</v>
      </c>
      <c r="N1055">
        <v>595863</v>
      </c>
      <c r="O1055">
        <v>25131500</v>
      </c>
      <c r="P1055" s="2">
        <v>2.3709806418240058</v>
      </c>
      <c r="Q1055" s="4">
        <v>18.170074499999998</v>
      </c>
    </row>
    <row r="1056" spans="1:17" x14ac:dyDescent="0.4">
      <c r="A1056">
        <v>20210830</v>
      </c>
      <c r="B1056" s="1">
        <v>0.35416666666666669</v>
      </c>
      <c r="C1056">
        <v>-28980</v>
      </c>
      <c r="D1056">
        <v>4538</v>
      </c>
      <c r="E1056">
        <v>215115</v>
      </c>
      <c r="F1056">
        <v>-29065</v>
      </c>
      <c r="G1056">
        <v>-89531</v>
      </c>
      <c r="H1056">
        <v>-253392</v>
      </c>
      <c r="I1056">
        <v>-31673</v>
      </c>
      <c r="J1056">
        <v>83259</v>
      </c>
      <c r="K1056">
        <v>187731</v>
      </c>
      <c r="L1056">
        <v>-1036</v>
      </c>
      <c r="M1056">
        <v>8.39</v>
      </c>
      <c r="N1056">
        <v>56966</v>
      </c>
      <c r="O1056">
        <v>25303850</v>
      </c>
      <c r="P1056" s="2">
        <v>0.22512779675820083</v>
      </c>
      <c r="Q1056" s="4">
        <v>21.229930150000001</v>
      </c>
    </row>
    <row r="1057" spans="1:17" x14ac:dyDescent="0.4">
      <c r="A1057">
        <v>20210830</v>
      </c>
      <c r="B1057" s="1">
        <v>0.375</v>
      </c>
      <c r="C1057">
        <v>77610</v>
      </c>
      <c r="D1057">
        <v>262686</v>
      </c>
      <c r="E1057">
        <v>-16850</v>
      </c>
      <c r="F1057">
        <v>-137967</v>
      </c>
      <c r="G1057">
        <v>-46602</v>
      </c>
      <c r="H1057">
        <v>-230801</v>
      </c>
      <c r="I1057">
        <v>-65930</v>
      </c>
      <c r="J1057">
        <v>91502</v>
      </c>
      <c r="K1057">
        <v>247468</v>
      </c>
      <c r="L1057">
        <v>-8945</v>
      </c>
      <c r="M1057">
        <v>8.67</v>
      </c>
      <c r="N1057">
        <v>172171</v>
      </c>
      <c r="O1057">
        <v>26228850</v>
      </c>
      <c r="P1057" s="2">
        <v>0.6564184094994634</v>
      </c>
      <c r="Q1057" s="4">
        <v>22.74041295</v>
      </c>
    </row>
    <row r="1058" spans="1:17" x14ac:dyDescent="0.4">
      <c r="A1058">
        <v>20210830</v>
      </c>
      <c r="B1058" s="1">
        <v>0.39583333333333331</v>
      </c>
      <c r="C1058">
        <v>97281</v>
      </c>
      <c r="D1058">
        <v>257768</v>
      </c>
      <c r="E1058">
        <v>-181691</v>
      </c>
      <c r="F1058">
        <v>-104273</v>
      </c>
      <c r="G1058">
        <v>-13297</v>
      </c>
      <c r="H1058">
        <v>-101471</v>
      </c>
      <c r="I1058">
        <v>24963</v>
      </c>
      <c r="J1058">
        <v>82736</v>
      </c>
      <c r="K1058">
        <v>244805</v>
      </c>
      <c r="L1058">
        <v>-2758</v>
      </c>
      <c r="M1058">
        <v>8.39</v>
      </c>
      <c r="N1058">
        <v>304063</v>
      </c>
      <c r="O1058">
        <v>26464700</v>
      </c>
      <c r="P1058" s="2">
        <v>1.1489380193238541</v>
      </c>
      <c r="Q1058" s="4">
        <v>22.203883300000005</v>
      </c>
    </row>
    <row r="1059" spans="1:17" x14ac:dyDescent="0.4">
      <c r="A1059">
        <v>20210830</v>
      </c>
      <c r="B1059" s="1">
        <v>0.89583333333333337</v>
      </c>
      <c r="C1059">
        <v>78339</v>
      </c>
      <c r="D1059">
        <v>62543</v>
      </c>
      <c r="E1059">
        <v>-252236</v>
      </c>
      <c r="F1059">
        <v>93676</v>
      </c>
      <c r="G1059">
        <v>15640</v>
      </c>
      <c r="H1059">
        <v>88084</v>
      </c>
      <c r="I1059">
        <v>69365</v>
      </c>
      <c r="J1059">
        <v>5571</v>
      </c>
      <c r="K1059">
        <v>48552</v>
      </c>
      <c r="L1059">
        <v>-13601</v>
      </c>
      <c r="M1059">
        <v>9.7799999999999994</v>
      </c>
      <c r="N1059">
        <v>195933</v>
      </c>
      <c r="O1059">
        <v>21766950</v>
      </c>
      <c r="P1059" s="2">
        <v>0.90013989098151093</v>
      </c>
      <c r="Q1059" s="4">
        <v>21.288077099999999</v>
      </c>
    </row>
    <row r="1060" spans="1:17" x14ac:dyDescent="0.4">
      <c r="A1060">
        <v>20210830</v>
      </c>
      <c r="B1060" s="1">
        <v>0.9375</v>
      </c>
      <c r="C1060">
        <v>89956</v>
      </c>
      <c r="D1060">
        <v>34081</v>
      </c>
      <c r="E1060">
        <v>-21922</v>
      </c>
      <c r="F1060">
        <v>18437</v>
      </c>
      <c r="G1060">
        <v>14525</v>
      </c>
      <c r="H1060">
        <v>177298</v>
      </c>
      <c r="I1060">
        <v>34711</v>
      </c>
      <c r="J1060">
        <v>-4183</v>
      </c>
      <c r="K1060">
        <v>2270</v>
      </c>
      <c r="L1060">
        <v>-22579</v>
      </c>
      <c r="M1060">
        <v>9.68</v>
      </c>
      <c r="N1060">
        <v>322594</v>
      </c>
      <c r="O1060">
        <v>21263750</v>
      </c>
      <c r="P1060" s="2">
        <v>1.5171077538063606</v>
      </c>
      <c r="Q1060" s="4">
        <v>20.583310000000001</v>
      </c>
    </row>
    <row r="1061" spans="1:17" x14ac:dyDescent="0.4">
      <c r="A1061">
        <v>20210830</v>
      </c>
      <c r="B1061" s="1">
        <v>0.95833333333333337</v>
      </c>
      <c r="C1061">
        <v>136816</v>
      </c>
      <c r="D1061">
        <v>4400</v>
      </c>
      <c r="E1061">
        <v>-81088</v>
      </c>
      <c r="F1061">
        <v>33039</v>
      </c>
      <c r="G1061">
        <v>15897</v>
      </c>
      <c r="H1061">
        <v>22814</v>
      </c>
      <c r="I1061">
        <v>49136</v>
      </c>
      <c r="J1061">
        <v>-8400</v>
      </c>
      <c r="K1061">
        <v>-21020</v>
      </c>
      <c r="L1061">
        <v>-18981</v>
      </c>
      <c r="M1061">
        <v>8.86</v>
      </c>
      <c r="N1061">
        <v>132613</v>
      </c>
      <c r="O1061">
        <v>20940100</v>
      </c>
      <c r="P1061" s="2">
        <v>0.63329688014861441</v>
      </c>
      <c r="Q1061" s="4">
        <v>18.552928600000001</v>
      </c>
    </row>
    <row r="1062" spans="1:17" x14ac:dyDescent="0.4">
      <c r="A1062">
        <v>20210830</v>
      </c>
      <c r="B1062" s="1">
        <v>0.97916666666666663</v>
      </c>
      <c r="C1062">
        <v>110783</v>
      </c>
      <c r="D1062">
        <v>86939</v>
      </c>
      <c r="E1062">
        <v>-15171</v>
      </c>
      <c r="F1062">
        <v>47531</v>
      </c>
      <c r="G1062">
        <v>48646</v>
      </c>
      <c r="H1062">
        <v>240663</v>
      </c>
      <c r="I1062">
        <v>19379</v>
      </c>
      <c r="J1062">
        <v>-15369</v>
      </c>
      <c r="K1062">
        <v>-30237</v>
      </c>
      <c r="L1062">
        <v>-13130</v>
      </c>
      <c r="M1062">
        <v>7.51</v>
      </c>
      <c r="N1062">
        <v>480034</v>
      </c>
      <c r="O1062">
        <v>19784150</v>
      </c>
      <c r="P1062" s="2">
        <v>2.4263564520082994</v>
      </c>
      <c r="Q1062" s="4">
        <v>14.857896650000001</v>
      </c>
    </row>
    <row r="1063" spans="1:17" x14ac:dyDescent="0.4">
      <c r="A1063">
        <v>20210831</v>
      </c>
      <c r="B1063" s="1">
        <v>0</v>
      </c>
      <c r="C1063">
        <v>83453</v>
      </c>
      <c r="D1063">
        <v>95560</v>
      </c>
      <c r="E1063">
        <v>60231</v>
      </c>
      <c r="F1063">
        <v>83775</v>
      </c>
      <c r="G1063">
        <v>16899</v>
      </c>
      <c r="H1063">
        <v>239978</v>
      </c>
      <c r="I1063">
        <v>80462</v>
      </c>
      <c r="J1063">
        <v>-21951</v>
      </c>
      <c r="K1063">
        <v>46480</v>
      </c>
      <c r="L1063">
        <v>-21400</v>
      </c>
      <c r="M1063">
        <v>7.26</v>
      </c>
      <c r="N1063">
        <v>663487</v>
      </c>
      <c r="O1063">
        <v>18827700</v>
      </c>
      <c r="P1063" s="2">
        <v>3.5239939026009548</v>
      </c>
      <c r="Q1063" s="4">
        <v>13.668910199999999</v>
      </c>
    </row>
    <row r="1064" spans="1:17" x14ac:dyDescent="0.4">
      <c r="A1064">
        <v>20210831</v>
      </c>
      <c r="B1064" s="1">
        <v>2.0833333333333332E-2</v>
      </c>
      <c r="C1064">
        <v>85093</v>
      </c>
      <c r="D1064">
        <v>79859</v>
      </c>
      <c r="E1064">
        <v>146197</v>
      </c>
      <c r="F1064">
        <v>149661</v>
      </c>
      <c r="G1064">
        <v>24863</v>
      </c>
      <c r="H1064">
        <v>91269</v>
      </c>
      <c r="I1064">
        <v>42101</v>
      </c>
      <c r="J1064">
        <v>-35985</v>
      </c>
      <c r="K1064">
        <v>-46591</v>
      </c>
      <c r="L1064">
        <v>-17737</v>
      </c>
      <c r="M1064">
        <v>7.26</v>
      </c>
      <c r="N1064">
        <v>518730</v>
      </c>
      <c r="O1064">
        <v>20319050</v>
      </c>
      <c r="P1064" s="2">
        <v>2.5529244723547606</v>
      </c>
      <c r="Q1064" s="4">
        <v>14.7516303</v>
      </c>
    </row>
    <row r="1065" spans="1:17" x14ac:dyDescent="0.4">
      <c r="A1065">
        <v>20210831</v>
      </c>
      <c r="B1065" s="1">
        <v>4.1666666666666664E-2</v>
      </c>
      <c r="C1065">
        <v>91388</v>
      </c>
      <c r="D1065">
        <v>109353</v>
      </c>
      <c r="E1065">
        <v>118758</v>
      </c>
      <c r="F1065">
        <v>90172</v>
      </c>
      <c r="G1065">
        <v>53013</v>
      </c>
      <c r="H1065">
        <v>83688</v>
      </c>
      <c r="I1065">
        <v>138861</v>
      </c>
      <c r="J1065">
        <v>-21780</v>
      </c>
      <c r="K1065">
        <v>7242</v>
      </c>
      <c r="L1065">
        <v>-13057</v>
      </c>
      <c r="M1065">
        <v>7.37</v>
      </c>
      <c r="N1065">
        <v>657638</v>
      </c>
      <c r="O1065">
        <v>20643200</v>
      </c>
      <c r="P1065" s="2">
        <v>3.1857367074872114</v>
      </c>
      <c r="Q1065" s="4">
        <v>15.2140384</v>
      </c>
    </row>
    <row r="1066" spans="1:17" x14ac:dyDescent="0.4">
      <c r="A1066">
        <v>20210831</v>
      </c>
      <c r="B1066" s="1">
        <v>6.25E-2</v>
      </c>
      <c r="C1066">
        <v>82267</v>
      </c>
      <c r="D1066">
        <v>149274</v>
      </c>
      <c r="E1066">
        <v>146742</v>
      </c>
      <c r="F1066">
        <v>112110</v>
      </c>
      <c r="G1066">
        <v>43575</v>
      </c>
      <c r="H1066">
        <v>9834</v>
      </c>
      <c r="I1066">
        <v>63680</v>
      </c>
      <c r="J1066">
        <v>-19034</v>
      </c>
      <c r="K1066">
        <v>10019</v>
      </c>
      <c r="L1066">
        <v>-11437</v>
      </c>
      <c r="M1066">
        <v>7.23</v>
      </c>
      <c r="N1066">
        <v>587030</v>
      </c>
      <c r="O1066">
        <v>20861300</v>
      </c>
      <c r="P1066" s="2">
        <v>2.8139665313283446</v>
      </c>
      <c r="Q1066" s="4">
        <v>15.082719900000001</v>
      </c>
    </row>
    <row r="1067" spans="1:17" x14ac:dyDescent="0.4">
      <c r="A1067">
        <v>20210831</v>
      </c>
      <c r="B1067" s="1">
        <v>8.3333333333333329E-2</v>
      </c>
      <c r="C1067">
        <v>81880</v>
      </c>
      <c r="D1067">
        <v>142820</v>
      </c>
      <c r="E1067">
        <v>193763</v>
      </c>
      <c r="F1067">
        <v>140337</v>
      </c>
      <c r="G1067">
        <v>33061</v>
      </c>
      <c r="H1067">
        <v>3327</v>
      </c>
      <c r="I1067">
        <v>72639</v>
      </c>
      <c r="J1067">
        <v>-20314</v>
      </c>
      <c r="K1067">
        <v>13621</v>
      </c>
      <c r="L1067">
        <v>-5957</v>
      </c>
      <c r="M1067">
        <v>7.17</v>
      </c>
      <c r="N1067">
        <v>655177</v>
      </c>
      <c r="O1067">
        <v>21104450</v>
      </c>
      <c r="P1067" s="2">
        <v>3.1044495355244983</v>
      </c>
      <c r="Q1067" s="4">
        <v>15.131890650000001</v>
      </c>
    </row>
    <row r="1068" spans="1:17" x14ac:dyDescent="0.4">
      <c r="A1068">
        <v>20210831</v>
      </c>
      <c r="B1068" s="1">
        <v>0.10416666666666667</v>
      </c>
      <c r="C1068">
        <v>94688</v>
      </c>
      <c r="D1068">
        <v>163291</v>
      </c>
      <c r="E1068">
        <v>29143</v>
      </c>
      <c r="F1068">
        <v>139320</v>
      </c>
      <c r="G1068">
        <v>31343</v>
      </c>
      <c r="H1068">
        <v>-1972</v>
      </c>
      <c r="I1068">
        <v>-38571</v>
      </c>
      <c r="J1068">
        <v>1488</v>
      </c>
      <c r="K1068">
        <v>64712</v>
      </c>
      <c r="L1068">
        <v>-11142</v>
      </c>
      <c r="M1068">
        <v>7.03</v>
      </c>
      <c r="N1068">
        <v>472300</v>
      </c>
      <c r="O1068">
        <v>21248150</v>
      </c>
      <c r="P1068" s="2">
        <v>2.2227817480580661</v>
      </c>
      <c r="Q1068" s="4">
        <v>14.937449450000001</v>
      </c>
    </row>
    <row r="1069" spans="1:17" x14ac:dyDescent="0.4">
      <c r="A1069">
        <v>20210831</v>
      </c>
      <c r="B1069" s="1">
        <v>0.125</v>
      </c>
      <c r="C1069">
        <v>87171</v>
      </c>
      <c r="D1069">
        <v>107537</v>
      </c>
      <c r="E1069">
        <v>147775</v>
      </c>
      <c r="F1069">
        <v>176117</v>
      </c>
      <c r="G1069">
        <v>47805</v>
      </c>
      <c r="H1069">
        <v>-21768</v>
      </c>
      <c r="I1069">
        <v>35550</v>
      </c>
      <c r="J1069">
        <v>15042</v>
      </c>
      <c r="K1069">
        <v>69074</v>
      </c>
      <c r="L1069">
        <v>-18119</v>
      </c>
      <c r="M1069">
        <v>7.03</v>
      </c>
      <c r="N1069">
        <v>646184</v>
      </c>
      <c r="O1069">
        <v>21175300</v>
      </c>
      <c r="P1069" s="2">
        <v>3.0515931297313381</v>
      </c>
      <c r="Q1069" s="4">
        <v>14.886235900000001</v>
      </c>
    </row>
    <row r="1070" spans="1:17" x14ac:dyDescent="0.4">
      <c r="A1070">
        <v>20210831</v>
      </c>
      <c r="B1070" s="1">
        <v>0.14583333333333334</v>
      </c>
      <c r="C1070">
        <v>104873</v>
      </c>
      <c r="D1070">
        <v>187026</v>
      </c>
      <c r="E1070">
        <v>159615</v>
      </c>
      <c r="F1070">
        <v>143654</v>
      </c>
      <c r="G1070">
        <v>64726</v>
      </c>
      <c r="H1070">
        <v>40567</v>
      </c>
      <c r="I1070">
        <v>-20993</v>
      </c>
      <c r="J1070">
        <v>26039</v>
      </c>
      <c r="K1070">
        <v>95737</v>
      </c>
      <c r="L1070">
        <v>-8466</v>
      </c>
      <c r="M1070">
        <v>7.03</v>
      </c>
      <c r="N1070">
        <v>792778</v>
      </c>
      <c r="O1070">
        <v>21184050</v>
      </c>
      <c r="P1070" s="2">
        <v>3.7423344450187761</v>
      </c>
      <c r="Q1070" s="4">
        <v>14.892387149999999</v>
      </c>
    </row>
    <row r="1071" spans="1:17" x14ac:dyDescent="0.4">
      <c r="A1071">
        <v>20210831</v>
      </c>
      <c r="B1071" s="1">
        <v>0.16666666666666666</v>
      </c>
      <c r="C1071">
        <v>115322</v>
      </c>
      <c r="D1071">
        <v>148868</v>
      </c>
      <c r="E1071">
        <v>145569</v>
      </c>
      <c r="F1071">
        <v>159681</v>
      </c>
      <c r="G1071">
        <v>13529</v>
      </c>
      <c r="H1071">
        <v>78548</v>
      </c>
      <c r="I1071">
        <v>-7381</v>
      </c>
      <c r="J1071">
        <v>18700</v>
      </c>
      <c r="K1071">
        <v>130553</v>
      </c>
      <c r="L1071">
        <v>-13023</v>
      </c>
      <c r="M1071">
        <v>7.03</v>
      </c>
      <c r="N1071">
        <v>790366</v>
      </c>
      <c r="O1071">
        <v>21324650</v>
      </c>
      <c r="P1071" s="2">
        <v>3.7063492249579713</v>
      </c>
      <c r="Q1071" s="4">
        <v>14.99122895</v>
      </c>
    </row>
    <row r="1072" spans="1:17" x14ac:dyDescent="0.4">
      <c r="A1072">
        <v>20210831</v>
      </c>
      <c r="B1072" s="1">
        <v>0.1875</v>
      </c>
      <c r="C1072">
        <v>81096</v>
      </c>
      <c r="D1072">
        <v>152340</v>
      </c>
      <c r="E1072">
        <v>171956</v>
      </c>
      <c r="F1072">
        <v>11551</v>
      </c>
      <c r="G1072">
        <v>11973</v>
      </c>
      <c r="H1072">
        <v>57832</v>
      </c>
      <c r="I1072">
        <v>-4225</v>
      </c>
      <c r="J1072">
        <v>15696</v>
      </c>
      <c r="K1072">
        <v>130329</v>
      </c>
      <c r="L1072">
        <v>-8593</v>
      </c>
      <c r="M1072">
        <v>7.11</v>
      </c>
      <c r="N1072">
        <v>619955</v>
      </c>
      <c r="O1072">
        <v>21258900</v>
      </c>
      <c r="P1072" s="2">
        <v>2.9162139151131998</v>
      </c>
      <c r="Q1072" s="4">
        <v>15.115077899999999</v>
      </c>
    </row>
    <row r="1073" spans="1:17" x14ac:dyDescent="0.4">
      <c r="A1073">
        <v>20210831</v>
      </c>
      <c r="B1073" s="1">
        <v>0.20833333333333334</v>
      </c>
      <c r="C1073">
        <v>105800</v>
      </c>
      <c r="D1073">
        <v>167556</v>
      </c>
      <c r="E1073">
        <v>37970</v>
      </c>
      <c r="F1073">
        <v>-9268</v>
      </c>
      <c r="G1073">
        <v>11913</v>
      </c>
      <c r="H1073">
        <v>120467</v>
      </c>
      <c r="I1073">
        <v>-113640</v>
      </c>
      <c r="J1073">
        <v>5520</v>
      </c>
      <c r="K1073">
        <v>64052</v>
      </c>
      <c r="L1073">
        <v>-14036</v>
      </c>
      <c r="M1073">
        <v>7.22</v>
      </c>
      <c r="N1073">
        <v>376334</v>
      </c>
      <c r="O1073">
        <v>21200400</v>
      </c>
      <c r="P1073" s="2">
        <v>1.7751268843984076</v>
      </c>
      <c r="Q1073" s="4">
        <v>15.3066888</v>
      </c>
    </row>
    <row r="1074" spans="1:17" x14ac:dyDescent="0.4">
      <c r="A1074">
        <v>20210831</v>
      </c>
      <c r="B1074" s="1">
        <v>0.22916666666666666</v>
      </c>
      <c r="C1074">
        <v>38446</v>
      </c>
      <c r="D1074">
        <v>95871</v>
      </c>
      <c r="E1074">
        <v>24584</v>
      </c>
      <c r="F1074">
        <v>65259</v>
      </c>
      <c r="G1074">
        <v>36618</v>
      </c>
      <c r="H1074">
        <v>178155</v>
      </c>
      <c r="I1074">
        <v>-11937</v>
      </c>
      <c r="J1074">
        <v>-5121</v>
      </c>
      <c r="K1074">
        <v>65531</v>
      </c>
      <c r="L1074">
        <v>-5966</v>
      </c>
      <c r="M1074">
        <v>7.22</v>
      </c>
      <c r="N1074">
        <v>481440</v>
      </c>
      <c r="O1074">
        <v>21217150</v>
      </c>
      <c r="P1074" s="2">
        <v>2.2691077736642291</v>
      </c>
      <c r="Q1074" s="4">
        <v>15.318782300000001</v>
      </c>
    </row>
    <row r="1075" spans="1:17" x14ac:dyDescent="0.4">
      <c r="A1075">
        <v>20210831</v>
      </c>
      <c r="B1075" s="1">
        <v>0.25</v>
      </c>
      <c r="C1075">
        <v>42171</v>
      </c>
      <c r="D1075">
        <v>171321</v>
      </c>
      <c r="E1075">
        <v>-66306</v>
      </c>
      <c r="F1075">
        <v>39794</v>
      </c>
      <c r="G1075">
        <v>46482</v>
      </c>
      <c r="H1075">
        <v>30077</v>
      </c>
      <c r="I1075">
        <v>-49761</v>
      </c>
      <c r="J1075">
        <v>30348</v>
      </c>
      <c r="K1075">
        <v>61865</v>
      </c>
      <c r="L1075">
        <v>-6236</v>
      </c>
      <c r="M1075">
        <v>7.11</v>
      </c>
      <c r="N1075">
        <v>299755</v>
      </c>
      <c r="O1075">
        <v>21810250</v>
      </c>
      <c r="P1075" s="2">
        <v>1.3743767265391273</v>
      </c>
      <c r="Q1075" s="4">
        <v>15.50708775</v>
      </c>
    </row>
    <row r="1076" spans="1:17" x14ac:dyDescent="0.4">
      <c r="A1076">
        <v>20210831</v>
      </c>
      <c r="B1076" s="1">
        <v>0.27083333333333331</v>
      </c>
      <c r="C1076">
        <v>53643</v>
      </c>
      <c r="D1076">
        <v>155959</v>
      </c>
      <c r="E1076">
        <v>19833</v>
      </c>
      <c r="F1076">
        <v>-74461</v>
      </c>
      <c r="G1076">
        <v>46481</v>
      </c>
      <c r="H1076">
        <v>4656</v>
      </c>
      <c r="I1076">
        <v>-25466</v>
      </c>
      <c r="J1076">
        <v>32935</v>
      </c>
      <c r="K1076">
        <v>-104522</v>
      </c>
      <c r="L1076">
        <v>236</v>
      </c>
      <c r="M1076">
        <v>7.11</v>
      </c>
      <c r="N1076">
        <v>109294</v>
      </c>
      <c r="O1076">
        <v>22341450</v>
      </c>
      <c r="P1076" s="2">
        <v>0.48919832866711876</v>
      </c>
      <c r="Q1076" s="4">
        <v>15.88477095</v>
      </c>
    </row>
    <row r="1077" spans="1:17" x14ac:dyDescent="0.4">
      <c r="A1077">
        <v>20210831</v>
      </c>
      <c r="B1077" s="1">
        <v>0.29166666666666669</v>
      </c>
      <c r="C1077">
        <v>38212</v>
      </c>
      <c r="D1077">
        <v>212158</v>
      </c>
      <c r="E1077">
        <v>129197</v>
      </c>
      <c r="F1077">
        <v>-59384</v>
      </c>
      <c r="G1077">
        <v>51352</v>
      </c>
      <c r="H1077">
        <v>91470</v>
      </c>
      <c r="I1077">
        <v>-76399</v>
      </c>
      <c r="J1077">
        <v>75319</v>
      </c>
      <c r="K1077">
        <v>-132012</v>
      </c>
      <c r="L1077">
        <v>14809</v>
      </c>
      <c r="M1077">
        <v>7.22</v>
      </c>
      <c r="N1077">
        <v>344722</v>
      </c>
      <c r="O1077">
        <v>22970600</v>
      </c>
      <c r="P1077" s="2">
        <v>1.5007096027095506</v>
      </c>
      <c r="Q1077" s="4">
        <v>16.584773200000001</v>
      </c>
    </row>
    <row r="1078" spans="1:17" x14ac:dyDescent="0.4">
      <c r="A1078">
        <v>20210831</v>
      </c>
      <c r="B1078" s="1">
        <v>0.3125</v>
      </c>
      <c r="C1078">
        <v>20729</v>
      </c>
      <c r="D1078">
        <v>351985</v>
      </c>
      <c r="E1078">
        <v>190681</v>
      </c>
      <c r="F1078">
        <v>-5413</v>
      </c>
      <c r="G1078">
        <v>56542</v>
      </c>
      <c r="H1078">
        <v>233072</v>
      </c>
      <c r="I1078">
        <v>68137</v>
      </c>
      <c r="J1078">
        <v>91128</v>
      </c>
      <c r="K1078">
        <v>4915</v>
      </c>
      <c r="L1078">
        <v>6606</v>
      </c>
      <c r="M1078">
        <v>7.73</v>
      </c>
      <c r="N1078">
        <v>1018382</v>
      </c>
      <c r="O1078">
        <v>23303900</v>
      </c>
      <c r="P1078" s="2">
        <v>4.3700067370697608</v>
      </c>
      <c r="Q1078" s="4">
        <v>18.013914700000001</v>
      </c>
    </row>
    <row r="1079" spans="1:17" x14ac:dyDescent="0.4">
      <c r="A1079">
        <v>20210831</v>
      </c>
      <c r="B1079" s="1">
        <v>0.33333333333333331</v>
      </c>
      <c r="C1079">
        <v>60721</v>
      </c>
      <c r="D1079">
        <v>307170</v>
      </c>
      <c r="E1079">
        <v>470616</v>
      </c>
      <c r="F1079">
        <v>245567</v>
      </c>
      <c r="G1079">
        <v>95454</v>
      </c>
      <c r="H1079">
        <v>139894</v>
      </c>
      <c r="I1079">
        <v>94379</v>
      </c>
      <c r="J1079">
        <v>109953</v>
      </c>
      <c r="K1079">
        <v>36311</v>
      </c>
      <c r="L1079">
        <v>24579</v>
      </c>
      <c r="M1079">
        <v>7.95</v>
      </c>
      <c r="N1079">
        <v>1584644</v>
      </c>
      <c r="O1079">
        <v>24761350</v>
      </c>
      <c r="P1079" s="2">
        <v>6.3996672233137533</v>
      </c>
      <c r="Q1079" s="4">
        <v>19.685273250000002</v>
      </c>
    </row>
    <row r="1080" spans="1:17" x14ac:dyDescent="0.4">
      <c r="A1080">
        <v>20210831</v>
      </c>
      <c r="B1080" s="1">
        <v>0.35416666666666669</v>
      </c>
      <c r="C1080">
        <v>82953</v>
      </c>
      <c r="D1080">
        <v>332219</v>
      </c>
      <c r="E1080">
        <v>506485</v>
      </c>
      <c r="F1080">
        <v>190122</v>
      </c>
      <c r="G1080">
        <v>98324</v>
      </c>
      <c r="H1080">
        <v>113146</v>
      </c>
      <c r="I1080">
        <v>115182</v>
      </c>
      <c r="J1080">
        <v>135831</v>
      </c>
      <c r="K1080">
        <v>185325</v>
      </c>
      <c r="L1080">
        <v>9099</v>
      </c>
      <c r="M1080">
        <v>8.56</v>
      </c>
      <c r="N1080">
        <v>1768686</v>
      </c>
      <c r="O1080">
        <v>25017250</v>
      </c>
      <c r="P1080" s="2">
        <v>7.0698657926031041</v>
      </c>
      <c r="Q1080" s="4">
        <v>21.414766</v>
      </c>
    </row>
    <row r="1081" spans="1:17" x14ac:dyDescent="0.4">
      <c r="A1081">
        <v>20210831</v>
      </c>
      <c r="B1081" s="1">
        <v>0.375</v>
      </c>
      <c r="C1081">
        <v>140879</v>
      </c>
      <c r="D1081">
        <v>420992</v>
      </c>
      <c r="E1081">
        <v>545247</v>
      </c>
      <c r="F1081">
        <v>379907</v>
      </c>
      <c r="G1081">
        <v>88028</v>
      </c>
      <c r="H1081">
        <v>196638</v>
      </c>
      <c r="I1081">
        <v>86604</v>
      </c>
      <c r="J1081">
        <v>147773</v>
      </c>
      <c r="K1081">
        <v>223702</v>
      </c>
      <c r="L1081">
        <v>1936</v>
      </c>
      <c r="M1081">
        <v>9.69</v>
      </c>
      <c r="N1081">
        <v>2231706</v>
      </c>
      <c r="O1081">
        <v>25921150</v>
      </c>
      <c r="P1081" s="2">
        <v>8.6095948675116656</v>
      </c>
      <c r="Q1081" s="4">
        <v>25.117594350000001</v>
      </c>
    </row>
    <row r="1082" spans="1:17" x14ac:dyDescent="0.4">
      <c r="A1082">
        <v>20210831</v>
      </c>
      <c r="B1082" s="1">
        <v>0.39583333333333331</v>
      </c>
      <c r="C1082">
        <v>43169</v>
      </c>
      <c r="D1082">
        <v>439563</v>
      </c>
      <c r="E1082">
        <v>481705</v>
      </c>
      <c r="F1082">
        <v>304227</v>
      </c>
      <c r="G1082">
        <v>119917</v>
      </c>
      <c r="H1082">
        <v>378214</v>
      </c>
      <c r="I1082">
        <v>184091</v>
      </c>
      <c r="J1082">
        <v>172624</v>
      </c>
      <c r="K1082">
        <v>142152</v>
      </c>
      <c r="L1082">
        <v>3870</v>
      </c>
      <c r="M1082">
        <v>9.65</v>
      </c>
      <c r="N1082">
        <v>2269532</v>
      </c>
      <c r="O1082">
        <v>26087050</v>
      </c>
      <c r="P1082" s="2">
        <v>8.6998414922346523</v>
      </c>
      <c r="Q1082" s="4">
        <v>25.174003249999998</v>
      </c>
    </row>
    <row r="1083" spans="1:17" x14ac:dyDescent="0.4">
      <c r="A1083">
        <v>20210831</v>
      </c>
      <c r="B1083" s="1">
        <v>0.41666666666666669</v>
      </c>
      <c r="C1083">
        <v>43011</v>
      </c>
      <c r="D1083">
        <v>480068</v>
      </c>
      <c r="E1083">
        <v>424850</v>
      </c>
      <c r="F1083">
        <v>207171</v>
      </c>
      <c r="G1083">
        <v>133247</v>
      </c>
      <c r="H1083">
        <v>296966</v>
      </c>
      <c r="I1083">
        <v>269178</v>
      </c>
      <c r="J1083">
        <v>164164</v>
      </c>
      <c r="K1083">
        <v>138802</v>
      </c>
      <c r="L1083">
        <v>4138</v>
      </c>
      <c r="M1083">
        <v>9.61</v>
      </c>
      <c r="N1083">
        <v>2161595</v>
      </c>
      <c r="O1083">
        <v>26107250</v>
      </c>
      <c r="P1083" s="2">
        <v>8.2796732708347296</v>
      </c>
      <c r="Q1083" s="4">
        <v>25.089067249999999</v>
      </c>
    </row>
    <row r="1084" spans="1:17" x14ac:dyDescent="0.4">
      <c r="A1084">
        <v>20210831</v>
      </c>
      <c r="B1084" s="1">
        <v>0.4375</v>
      </c>
      <c r="C1084">
        <v>88121</v>
      </c>
      <c r="D1084">
        <v>612245</v>
      </c>
      <c r="E1084">
        <v>134213</v>
      </c>
      <c r="F1084">
        <v>115343</v>
      </c>
      <c r="G1084">
        <v>156904</v>
      </c>
      <c r="H1084">
        <v>299148</v>
      </c>
      <c r="I1084">
        <v>264075</v>
      </c>
      <c r="J1084">
        <v>154007</v>
      </c>
      <c r="K1084">
        <v>166442</v>
      </c>
      <c r="L1084">
        <v>6434</v>
      </c>
      <c r="M1084">
        <v>9.61</v>
      </c>
      <c r="N1084">
        <v>1996932</v>
      </c>
      <c r="O1084">
        <v>26334450</v>
      </c>
      <c r="P1084" s="2">
        <v>7.5829645198589679</v>
      </c>
      <c r="Q1084" s="4">
        <v>25.307406449999998</v>
      </c>
    </row>
    <row r="1085" spans="1:17" x14ac:dyDescent="0.4">
      <c r="A1085">
        <v>20210831</v>
      </c>
      <c r="B1085" s="1">
        <v>0.45833333333333331</v>
      </c>
      <c r="C1085">
        <v>46184</v>
      </c>
      <c r="D1085">
        <v>816194</v>
      </c>
      <c r="E1085">
        <v>-251367</v>
      </c>
      <c r="F1085">
        <v>-63588</v>
      </c>
      <c r="G1085">
        <v>156974</v>
      </c>
      <c r="H1085">
        <v>224024</v>
      </c>
      <c r="I1085">
        <v>324220</v>
      </c>
      <c r="J1085">
        <v>143317</v>
      </c>
      <c r="K1085">
        <v>187889</v>
      </c>
      <c r="L1085">
        <v>-25551</v>
      </c>
      <c r="M1085">
        <v>9.7799999999999994</v>
      </c>
      <c r="N1085">
        <v>1558296</v>
      </c>
      <c r="O1085">
        <v>26560050</v>
      </c>
      <c r="P1085" s="2">
        <v>5.8670672683221605</v>
      </c>
      <c r="Q1085" s="4">
        <v>25.975728899999996</v>
      </c>
    </row>
    <row r="1086" spans="1:17" x14ac:dyDescent="0.4">
      <c r="A1086">
        <v>20210831</v>
      </c>
      <c r="B1086" s="1">
        <v>0.47916666666666669</v>
      </c>
      <c r="C1086">
        <v>-7153</v>
      </c>
      <c r="D1086">
        <v>882059</v>
      </c>
      <c r="E1086">
        <v>-186217</v>
      </c>
      <c r="F1086">
        <v>-159590</v>
      </c>
      <c r="G1086">
        <v>197592</v>
      </c>
      <c r="H1086">
        <v>199136</v>
      </c>
      <c r="I1086">
        <v>421299</v>
      </c>
      <c r="J1086">
        <v>115090</v>
      </c>
      <c r="K1086">
        <v>202160</v>
      </c>
      <c r="L1086">
        <v>-27970</v>
      </c>
      <c r="M1086">
        <v>9.7799999999999994</v>
      </c>
      <c r="N1086">
        <v>1636406</v>
      </c>
      <c r="O1086">
        <v>26533750</v>
      </c>
      <c r="P1086" s="2">
        <v>6.1672624487680787</v>
      </c>
      <c r="Q1086" s="4">
        <v>25.950007499999998</v>
      </c>
    </row>
    <row r="1087" spans="1:17" x14ac:dyDescent="0.4">
      <c r="A1087">
        <v>20210831</v>
      </c>
      <c r="B1087" s="1">
        <v>0.5</v>
      </c>
      <c r="C1087">
        <v>6345</v>
      </c>
      <c r="D1087">
        <v>941781</v>
      </c>
      <c r="E1087">
        <v>-145669</v>
      </c>
      <c r="F1087">
        <v>-166977</v>
      </c>
      <c r="G1087">
        <v>218766</v>
      </c>
      <c r="H1087">
        <v>193139</v>
      </c>
      <c r="I1087">
        <v>328515</v>
      </c>
      <c r="J1087">
        <v>67798</v>
      </c>
      <c r="K1087">
        <v>270156</v>
      </c>
      <c r="L1087">
        <v>-26454</v>
      </c>
      <c r="M1087">
        <v>9.61</v>
      </c>
      <c r="N1087">
        <v>1687400</v>
      </c>
      <c r="O1087">
        <v>26656050</v>
      </c>
      <c r="P1087" s="2">
        <v>6.3302702388388381</v>
      </c>
      <c r="Q1087" s="4">
        <v>25.616464049999998</v>
      </c>
    </row>
    <row r="1088" spans="1:17" x14ac:dyDescent="0.4">
      <c r="A1088">
        <v>20210831</v>
      </c>
      <c r="B1088" s="1">
        <v>0.52083333333333337</v>
      </c>
      <c r="C1088">
        <v>40046</v>
      </c>
      <c r="D1088">
        <v>902308</v>
      </c>
      <c r="E1088">
        <v>-29822</v>
      </c>
      <c r="F1088">
        <v>-100935</v>
      </c>
      <c r="G1088">
        <v>211038</v>
      </c>
      <c r="H1088">
        <v>280949</v>
      </c>
      <c r="I1088">
        <v>355659</v>
      </c>
      <c r="J1088">
        <v>63020</v>
      </c>
      <c r="K1088">
        <v>268892</v>
      </c>
      <c r="L1088">
        <v>-26182</v>
      </c>
      <c r="M1088">
        <v>9.61</v>
      </c>
      <c r="N1088">
        <v>1964973</v>
      </c>
      <c r="O1088">
        <v>26567150</v>
      </c>
      <c r="P1088" s="2">
        <v>7.3962506328303936</v>
      </c>
      <c r="Q1088" s="4">
        <v>25.531031149999997</v>
      </c>
    </row>
    <row r="1089" spans="1:17" x14ac:dyDescent="0.4">
      <c r="A1089">
        <v>20210831</v>
      </c>
      <c r="B1089" s="1">
        <v>0.54166666666666663</v>
      </c>
      <c r="C1089">
        <v>109243</v>
      </c>
      <c r="D1089">
        <v>880661</v>
      </c>
      <c r="E1089">
        <v>284163</v>
      </c>
      <c r="F1089">
        <v>-75891</v>
      </c>
      <c r="G1089">
        <v>215943</v>
      </c>
      <c r="H1089">
        <v>370766</v>
      </c>
      <c r="I1089">
        <v>225445</v>
      </c>
      <c r="J1089">
        <v>35763</v>
      </c>
      <c r="K1089">
        <v>290494</v>
      </c>
      <c r="L1089">
        <v>-21994</v>
      </c>
      <c r="M1089">
        <v>9.9700000000000006</v>
      </c>
      <c r="N1089">
        <v>2314593</v>
      </c>
      <c r="O1089">
        <v>25615950</v>
      </c>
      <c r="P1089" s="2">
        <v>9.035749210940839</v>
      </c>
      <c r="Q1089" s="4">
        <v>25.539102150000002</v>
      </c>
    </row>
    <row r="1090" spans="1:17" x14ac:dyDescent="0.4">
      <c r="A1090">
        <v>20210831</v>
      </c>
      <c r="B1090" s="1">
        <v>0.5625</v>
      </c>
      <c r="C1090">
        <v>132824</v>
      </c>
      <c r="D1090">
        <v>804390</v>
      </c>
      <c r="E1090">
        <v>860269</v>
      </c>
      <c r="F1090">
        <v>39406</v>
      </c>
      <c r="G1090">
        <v>198590</v>
      </c>
      <c r="H1090">
        <v>431828</v>
      </c>
      <c r="I1090">
        <v>436850</v>
      </c>
      <c r="J1090">
        <v>12575</v>
      </c>
      <c r="K1090">
        <v>286686</v>
      </c>
      <c r="L1090">
        <v>-20453</v>
      </c>
      <c r="M1090">
        <v>10.01</v>
      </c>
      <c r="N1090">
        <v>3182965</v>
      </c>
      <c r="O1090">
        <v>25320350</v>
      </c>
      <c r="P1090" s="2">
        <v>12.570778050066448</v>
      </c>
      <c r="Q1090" s="4">
        <v>25.345670349999999</v>
      </c>
    </row>
    <row r="1091" spans="1:17" x14ac:dyDescent="0.4">
      <c r="A1091">
        <v>20210831</v>
      </c>
      <c r="B1091" s="1">
        <v>0.58333333333333337</v>
      </c>
      <c r="C1091">
        <v>88786</v>
      </c>
      <c r="D1091">
        <v>787871</v>
      </c>
      <c r="E1091">
        <v>994323</v>
      </c>
      <c r="F1091">
        <v>17846</v>
      </c>
      <c r="G1091">
        <v>160669</v>
      </c>
      <c r="H1091">
        <v>454054</v>
      </c>
      <c r="I1091">
        <v>265375</v>
      </c>
      <c r="J1091">
        <v>-31390</v>
      </c>
      <c r="K1091">
        <v>304384</v>
      </c>
      <c r="L1091">
        <v>139</v>
      </c>
      <c r="M1091">
        <v>10.01</v>
      </c>
      <c r="N1091">
        <v>3042057</v>
      </c>
      <c r="O1091">
        <v>24721700</v>
      </c>
      <c r="P1091" s="2">
        <v>12.305209593191407</v>
      </c>
      <c r="Q1091" s="4">
        <v>24.746421699999999</v>
      </c>
    </row>
    <row r="1092" spans="1:17" x14ac:dyDescent="0.4">
      <c r="A1092">
        <v>20210831</v>
      </c>
      <c r="B1092" s="1">
        <v>0.60416666666666663</v>
      </c>
      <c r="C1092">
        <v>151776</v>
      </c>
      <c r="D1092">
        <v>712617</v>
      </c>
      <c r="E1092">
        <v>911703</v>
      </c>
      <c r="F1092">
        <v>371706</v>
      </c>
      <c r="G1092">
        <v>110294</v>
      </c>
      <c r="H1092">
        <v>376943</v>
      </c>
      <c r="I1092">
        <v>190925</v>
      </c>
      <c r="J1092">
        <v>-107057</v>
      </c>
      <c r="K1092">
        <v>357951</v>
      </c>
      <c r="L1092">
        <v>-260</v>
      </c>
      <c r="M1092">
        <v>10.32</v>
      </c>
      <c r="N1092">
        <v>3076598</v>
      </c>
      <c r="O1092">
        <v>24196150</v>
      </c>
      <c r="P1092" s="2">
        <v>12.71523775476677</v>
      </c>
      <c r="Q1092" s="4">
        <v>24.970426799999998</v>
      </c>
    </row>
    <row r="1093" spans="1:17" x14ac:dyDescent="0.4">
      <c r="A1093">
        <v>20210831</v>
      </c>
      <c r="B1093" s="1">
        <v>0.625</v>
      </c>
      <c r="C1093">
        <v>105601</v>
      </c>
      <c r="D1093">
        <v>494220</v>
      </c>
      <c r="E1093">
        <v>1446783</v>
      </c>
      <c r="F1093">
        <v>582871</v>
      </c>
      <c r="G1093">
        <v>58492</v>
      </c>
      <c r="H1093">
        <v>281805</v>
      </c>
      <c r="I1093">
        <v>133379</v>
      </c>
      <c r="J1093">
        <v>-97917</v>
      </c>
      <c r="K1093">
        <v>357278</v>
      </c>
      <c r="L1093">
        <v>-9743</v>
      </c>
      <c r="M1093">
        <v>10.32</v>
      </c>
      <c r="N1093">
        <v>3352769</v>
      </c>
      <c r="O1093">
        <v>23801200</v>
      </c>
      <c r="P1093" s="2">
        <v>14.08655445943902</v>
      </c>
      <c r="Q1093" s="4">
        <v>24.5628384</v>
      </c>
    </row>
    <row r="1094" spans="1:17" x14ac:dyDescent="0.4">
      <c r="A1094">
        <v>20210831</v>
      </c>
      <c r="B1094" s="1">
        <v>0.64583333333333337</v>
      </c>
      <c r="C1094">
        <v>215897</v>
      </c>
      <c r="D1094">
        <v>418375</v>
      </c>
      <c r="E1094">
        <v>893377</v>
      </c>
      <c r="F1094">
        <v>519004</v>
      </c>
      <c r="G1094">
        <v>10831</v>
      </c>
      <c r="H1094">
        <v>212547</v>
      </c>
      <c r="I1094">
        <v>18541</v>
      </c>
      <c r="J1094">
        <v>-125262</v>
      </c>
      <c r="K1094">
        <v>237584</v>
      </c>
      <c r="L1094">
        <v>-18641</v>
      </c>
      <c r="M1094">
        <v>10.74</v>
      </c>
      <c r="N1094">
        <v>2382253</v>
      </c>
      <c r="O1094">
        <v>23422650</v>
      </c>
      <c r="P1094" s="2">
        <v>10.170723637163173</v>
      </c>
      <c r="Q1094" s="4">
        <v>25.155926099999999</v>
      </c>
    </row>
    <row r="1095" spans="1:17" x14ac:dyDescent="0.4">
      <c r="A1095">
        <v>20210831</v>
      </c>
      <c r="B1095" s="1">
        <v>0.66666666666666663</v>
      </c>
      <c r="C1095">
        <v>102612</v>
      </c>
      <c r="D1095">
        <v>310750</v>
      </c>
      <c r="E1095">
        <v>1016018</v>
      </c>
      <c r="F1095">
        <v>412206</v>
      </c>
      <c r="G1095">
        <v>-11729</v>
      </c>
      <c r="H1095">
        <v>90835</v>
      </c>
      <c r="I1095">
        <v>630755</v>
      </c>
      <c r="J1095">
        <v>-160899</v>
      </c>
      <c r="K1095">
        <v>101324</v>
      </c>
      <c r="L1095">
        <v>-13586</v>
      </c>
      <c r="M1095">
        <v>10.74</v>
      </c>
      <c r="N1095">
        <v>2478286</v>
      </c>
      <c r="O1095">
        <v>23480250</v>
      </c>
      <c r="P1095" s="2">
        <v>10.554768369161316</v>
      </c>
      <c r="Q1095" s="4">
        <v>25.217788500000001</v>
      </c>
    </row>
    <row r="1096" spans="1:17" x14ac:dyDescent="0.4">
      <c r="A1096">
        <v>20210831</v>
      </c>
      <c r="B1096" s="1">
        <v>0.6875</v>
      </c>
      <c r="C1096">
        <v>174808</v>
      </c>
      <c r="D1096">
        <v>283706</v>
      </c>
      <c r="E1096">
        <v>839080</v>
      </c>
      <c r="F1096">
        <v>363700</v>
      </c>
      <c r="G1096">
        <v>-27917</v>
      </c>
      <c r="H1096">
        <v>100083</v>
      </c>
      <c r="I1096">
        <v>453586</v>
      </c>
      <c r="J1096">
        <v>-199865</v>
      </c>
      <c r="K1096">
        <v>99377</v>
      </c>
      <c r="L1096">
        <v>-18216</v>
      </c>
      <c r="M1096">
        <v>12.36</v>
      </c>
      <c r="N1096">
        <v>2068342</v>
      </c>
      <c r="O1096">
        <v>23234450</v>
      </c>
      <c r="P1096" s="2">
        <v>8.9020484668240485</v>
      </c>
      <c r="Q1096" s="4">
        <v>28.7177802</v>
      </c>
    </row>
    <row r="1097" spans="1:17" x14ac:dyDescent="0.4">
      <c r="A1097">
        <v>20210831</v>
      </c>
      <c r="B1097" s="1">
        <v>0.70833333333333337</v>
      </c>
      <c r="C1097">
        <v>83521</v>
      </c>
      <c r="D1097">
        <v>180232</v>
      </c>
      <c r="E1097">
        <v>807216</v>
      </c>
      <c r="F1097">
        <v>235604</v>
      </c>
      <c r="G1097">
        <v>-3885</v>
      </c>
      <c r="H1097">
        <v>7798</v>
      </c>
      <c r="I1097">
        <v>321763</v>
      </c>
      <c r="J1097">
        <v>-169124</v>
      </c>
      <c r="K1097">
        <v>-30752</v>
      </c>
      <c r="L1097">
        <v>-6185</v>
      </c>
      <c r="M1097">
        <v>11.76</v>
      </c>
      <c r="N1097">
        <v>1426188</v>
      </c>
      <c r="O1097">
        <v>22841900</v>
      </c>
      <c r="P1097" s="2">
        <v>6.243736291639487</v>
      </c>
      <c r="Q1097" s="4">
        <v>26.862074400000001</v>
      </c>
    </row>
    <row r="1098" spans="1:17" x14ac:dyDescent="0.4">
      <c r="A1098">
        <v>20210831</v>
      </c>
      <c r="B1098" s="1">
        <v>0.72916666666666663</v>
      </c>
      <c r="C1098">
        <v>92214</v>
      </c>
      <c r="D1098">
        <v>113190</v>
      </c>
      <c r="E1098">
        <v>460483</v>
      </c>
      <c r="F1098">
        <v>296397</v>
      </c>
      <c r="G1098">
        <v>-9043</v>
      </c>
      <c r="H1098">
        <v>87123</v>
      </c>
      <c r="I1098">
        <v>135859</v>
      </c>
      <c r="J1098">
        <v>-174551</v>
      </c>
      <c r="K1098">
        <v>44352</v>
      </c>
      <c r="L1098">
        <v>-4441</v>
      </c>
      <c r="M1098">
        <v>12.15</v>
      </c>
      <c r="N1098">
        <v>1041583</v>
      </c>
      <c r="O1098">
        <v>22600150</v>
      </c>
      <c r="P1098" s="2">
        <v>4.608743747276014</v>
      </c>
      <c r="Q1098" s="4">
        <v>27.459182250000001</v>
      </c>
    </row>
    <row r="1099" spans="1:17" x14ac:dyDescent="0.4">
      <c r="A1099">
        <v>20210831</v>
      </c>
      <c r="B1099" s="1">
        <v>0.75</v>
      </c>
      <c r="C1099">
        <v>51424</v>
      </c>
      <c r="D1099">
        <v>157900</v>
      </c>
      <c r="E1099">
        <v>433284</v>
      </c>
      <c r="F1099">
        <v>261534</v>
      </c>
      <c r="G1099">
        <v>3397</v>
      </c>
      <c r="H1099">
        <v>221709</v>
      </c>
      <c r="I1099">
        <v>98716</v>
      </c>
      <c r="J1099">
        <v>-135620</v>
      </c>
      <c r="K1099">
        <v>33188</v>
      </c>
      <c r="L1099">
        <v>-1859</v>
      </c>
      <c r="M1099">
        <v>11.6</v>
      </c>
      <c r="N1099">
        <v>1123673</v>
      </c>
      <c r="O1099">
        <v>22190000</v>
      </c>
      <c r="P1099" s="2">
        <v>5.0638711131140157</v>
      </c>
      <c r="Q1099" s="4">
        <v>25.740400000000001</v>
      </c>
    </row>
    <row r="1100" spans="1:17" x14ac:dyDescent="0.4">
      <c r="A1100">
        <v>20210831</v>
      </c>
      <c r="B1100" s="1">
        <v>0.77083333333333337</v>
      </c>
      <c r="C1100">
        <v>9721</v>
      </c>
      <c r="D1100">
        <v>42268</v>
      </c>
      <c r="E1100">
        <v>502114</v>
      </c>
      <c r="F1100">
        <v>210728</v>
      </c>
      <c r="G1100">
        <v>891</v>
      </c>
      <c r="H1100">
        <v>282308</v>
      </c>
      <c r="I1100">
        <v>21080</v>
      </c>
      <c r="J1100">
        <v>-85145</v>
      </c>
      <c r="K1100">
        <v>-11057</v>
      </c>
      <c r="L1100">
        <v>-5178</v>
      </c>
      <c r="M1100">
        <v>11.35</v>
      </c>
      <c r="N1100">
        <v>967730</v>
      </c>
      <c r="O1100">
        <v>22365500</v>
      </c>
      <c r="P1100" s="2">
        <v>4.3268873935302139</v>
      </c>
      <c r="Q1100" s="4">
        <v>25.384842500000001</v>
      </c>
    </row>
    <row r="1101" spans="1:17" x14ac:dyDescent="0.4">
      <c r="A1101">
        <v>20210831</v>
      </c>
      <c r="B1101" s="1">
        <v>0.79166666666666663</v>
      </c>
      <c r="C1101">
        <v>91475</v>
      </c>
      <c r="D1101">
        <v>115595</v>
      </c>
      <c r="E1101">
        <v>586013</v>
      </c>
      <c r="F1101">
        <v>372987</v>
      </c>
      <c r="G1101">
        <v>16860</v>
      </c>
      <c r="H1101">
        <v>608562</v>
      </c>
      <c r="I1101">
        <v>61408</v>
      </c>
      <c r="J1101">
        <v>-47176</v>
      </c>
      <c r="K1101">
        <v>50721</v>
      </c>
      <c r="L1101">
        <v>-12387</v>
      </c>
      <c r="M1101">
        <v>10.61</v>
      </c>
      <c r="N1101">
        <v>1844058</v>
      </c>
      <c r="O1101">
        <v>22279500</v>
      </c>
      <c r="P1101" s="2">
        <v>8.2769272200902169</v>
      </c>
      <c r="Q1101" s="4">
        <v>23.6385495</v>
      </c>
    </row>
    <row r="1102" spans="1:17" x14ac:dyDescent="0.4">
      <c r="A1102">
        <v>20210831</v>
      </c>
      <c r="B1102" s="1">
        <v>0.8125</v>
      </c>
      <c r="C1102">
        <v>29793</v>
      </c>
      <c r="D1102">
        <v>10619</v>
      </c>
      <c r="E1102">
        <v>680619</v>
      </c>
      <c r="F1102">
        <v>357857</v>
      </c>
      <c r="G1102">
        <v>14272</v>
      </c>
      <c r="H1102">
        <v>677789</v>
      </c>
      <c r="I1102">
        <v>117381</v>
      </c>
      <c r="J1102">
        <v>-43418</v>
      </c>
      <c r="K1102">
        <v>53541</v>
      </c>
      <c r="L1102">
        <v>-8087</v>
      </c>
      <c r="M1102">
        <v>10.42</v>
      </c>
      <c r="N1102">
        <v>1890366</v>
      </c>
      <c r="O1102">
        <v>22431650</v>
      </c>
      <c r="P1102" s="2">
        <v>8.4272267086906218</v>
      </c>
      <c r="Q1102" s="4">
        <v>23.373779299999999</v>
      </c>
    </row>
    <row r="1103" spans="1:17" x14ac:dyDescent="0.4">
      <c r="A1103">
        <v>20210831</v>
      </c>
      <c r="B1103" s="1">
        <v>0.83333333333333337</v>
      </c>
      <c r="C1103">
        <v>35116</v>
      </c>
      <c r="D1103">
        <v>14048</v>
      </c>
      <c r="E1103">
        <v>725073</v>
      </c>
      <c r="F1103">
        <v>496807</v>
      </c>
      <c r="G1103">
        <v>26203</v>
      </c>
      <c r="H1103">
        <v>653331</v>
      </c>
      <c r="I1103">
        <v>91238</v>
      </c>
      <c r="J1103">
        <v>-26700</v>
      </c>
      <c r="K1103">
        <v>70891</v>
      </c>
      <c r="L1103">
        <v>-16973</v>
      </c>
      <c r="M1103">
        <v>10</v>
      </c>
      <c r="N1103">
        <v>2069034</v>
      </c>
      <c r="O1103">
        <v>21817550</v>
      </c>
      <c r="P1103" s="2">
        <v>9.4833471219270731</v>
      </c>
      <c r="Q1103" s="4">
        <v>21.817550000000001</v>
      </c>
    </row>
    <row r="1104" spans="1:17" x14ac:dyDescent="0.4">
      <c r="A1104">
        <v>20210831</v>
      </c>
      <c r="B1104" s="1">
        <v>0.85416666666666663</v>
      </c>
      <c r="C1104">
        <v>45122</v>
      </c>
      <c r="D1104">
        <v>-12845</v>
      </c>
      <c r="E1104">
        <v>731467</v>
      </c>
      <c r="F1104">
        <v>376237</v>
      </c>
      <c r="G1104">
        <v>8234</v>
      </c>
      <c r="H1104">
        <v>319674</v>
      </c>
      <c r="I1104">
        <v>60525</v>
      </c>
      <c r="J1104">
        <v>-30696</v>
      </c>
      <c r="K1104">
        <v>1201</v>
      </c>
      <c r="L1104">
        <v>-9639</v>
      </c>
      <c r="M1104">
        <v>9.85</v>
      </c>
      <c r="N1104">
        <v>1489280</v>
      </c>
      <c r="O1104">
        <v>22013950</v>
      </c>
      <c r="P1104" s="2">
        <v>6.7651648159462523</v>
      </c>
      <c r="Q1104" s="4">
        <v>21.683740749999998</v>
      </c>
    </row>
    <row r="1105" spans="1:17" x14ac:dyDescent="0.4">
      <c r="A1105">
        <v>20210831</v>
      </c>
      <c r="B1105" s="1">
        <v>0.875</v>
      </c>
      <c r="C1105">
        <v>60096</v>
      </c>
      <c r="D1105">
        <v>-50793</v>
      </c>
      <c r="E1105">
        <v>854287</v>
      </c>
      <c r="F1105">
        <v>418224</v>
      </c>
      <c r="G1105">
        <v>18997</v>
      </c>
      <c r="H1105">
        <v>410028</v>
      </c>
      <c r="I1105">
        <v>86305</v>
      </c>
      <c r="J1105">
        <v>-2177</v>
      </c>
      <c r="K1105">
        <v>61705</v>
      </c>
      <c r="L1105">
        <v>-16193</v>
      </c>
      <c r="M1105">
        <v>9.6</v>
      </c>
      <c r="N1105">
        <v>1840479</v>
      </c>
      <c r="O1105">
        <v>21913900</v>
      </c>
      <c r="P1105" s="2">
        <v>8.3986830276673707</v>
      </c>
      <c r="Q1105" s="4">
        <v>21.037344000000001</v>
      </c>
    </row>
    <row r="1106" spans="1:17" x14ac:dyDescent="0.4">
      <c r="A1106">
        <v>20210831</v>
      </c>
      <c r="B1106" s="1">
        <v>0.89583333333333337</v>
      </c>
      <c r="C1106">
        <v>11057</v>
      </c>
      <c r="D1106">
        <v>-66540</v>
      </c>
      <c r="E1106">
        <v>881659</v>
      </c>
      <c r="F1106">
        <v>333073</v>
      </c>
      <c r="G1106">
        <v>33008</v>
      </c>
      <c r="H1106">
        <v>411782</v>
      </c>
      <c r="I1106">
        <v>86206</v>
      </c>
      <c r="J1106">
        <v>-24750</v>
      </c>
      <c r="K1106">
        <v>54760</v>
      </c>
      <c r="L1106">
        <v>-9062</v>
      </c>
      <c r="M1106">
        <v>9.08</v>
      </c>
      <c r="N1106">
        <v>1711193</v>
      </c>
      <c r="O1106">
        <v>21899250</v>
      </c>
      <c r="P1106" s="2">
        <v>7.8139342671552683</v>
      </c>
      <c r="Q1106" s="4">
        <v>19.884519000000001</v>
      </c>
    </row>
    <row r="1107" spans="1:17" x14ac:dyDescent="0.4">
      <c r="A1107">
        <v>20210831</v>
      </c>
      <c r="B1107" s="1">
        <v>0.91666666666666663</v>
      </c>
      <c r="C1107">
        <v>29201</v>
      </c>
      <c r="D1107">
        <v>-36004</v>
      </c>
      <c r="E1107">
        <v>832120</v>
      </c>
      <c r="F1107">
        <v>446372</v>
      </c>
      <c r="G1107">
        <v>14706</v>
      </c>
      <c r="H1107">
        <v>453706</v>
      </c>
      <c r="I1107">
        <v>55717</v>
      </c>
      <c r="J1107">
        <v>-12533</v>
      </c>
      <c r="K1107">
        <v>16086</v>
      </c>
      <c r="L1107">
        <v>-9257</v>
      </c>
      <c r="M1107">
        <v>8.86</v>
      </c>
      <c r="N1107">
        <v>1790114</v>
      </c>
      <c r="O1107">
        <v>21366550</v>
      </c>
      <c r="P1107" s="2">
        <v>8.3781143890801282</v>
      </c>
      <c r="Q1107" s="4">
        <v>18.930763299999999</v>
      </c>
    </row>
    <row r="1108" spans="1:17" x14ac:dyDescent="0.4">
      <c r="A1108">
        <v>20210831</v>
      </c>
      <c r="B1108" s="1">
        <v>0.9375</v>
      </c>
      <c r="C1108">
        <v>1720</v>
      </c>
      <c r="D1108">
        <v>-62889</v>
      </c>
      <c r="E1108">
        <v>721911</v>
      </c>
      <c r="F1108">
        <v>401014</v>
      </c>
      <c r="G1108">
        <v>35828</v>
      </c>
      <c r="H1108">
        <v>489132</v>
      </c>
      <c r="I1108">
        <v>53683</v>
      </c>
      <c r="J1108">
        <v>-23103</v>
      </c>
      <c r="K1108">
        <v>-80768</v>
      </c>
      <c r="L1108">
        <v>-1367</v>
      </c>
      <c r="M1108">
        <v>8.86</v>
      </c>
      <c r="N1108">
        <v>1535161</v>
      </c>
      <c r="O1108">
        <v>20853000</v>
      </c>
      <c r="P1108" s="2">
        <v>7.361823238862514</v>
      </c>
      <c r="Q1108" s="4">
        <v>18.475757999999999</v>
      </c>
    </row>
    <row r="1109" spans="1:17" x14ac:dyDescent="0.4">
      <c r="A1109">
        <v>20210831</v>
      </c>
      <c r="B1109" s="1">
        <v>0.95833333333333337</v>
      </c>
      <c r="C1109">
        <v>19884</v>
      </c>
      <c r="D1109">
        <v>-58701</v>
      </c>
      <c r="E1109">
        <v>627346</v>
      </c>
      <c r="F1109">
        <v>325314</v>
      </c>
      <c r="G1109">
        <v>12429</v>
      </c>
      <c r="H1109">
        <v>833165</v>
      </c>
      <c r="I1109">
        <v>72324</v>
      </c>
      <c r="J1109">
        <v>-12654</v>
      </c>
      <c r="K1109">
        <v>-79906</v>
      </c>
      <c r="L1109">
        <v>-19499</v>
      </c>
      <c r="M1109">
        <v>7.23</v>
      </c>
      <c r="N1109">
        <v>1719702</v>
      </c>
      <c r="O1109">
        <v>20503750</v>
      </c>
      <c r="P1109" s="2">
        <v>8.3872559897579713</v>
      </c>
      <c r="Q1109" s="4">
        <v>14.824211249999999</v>
      </c>
    </row>
    <row r="1110" spans="1:17" x14ac:dyDescent="0.4">
      <c r="A1110">
        <v>20210831</v>
      </c>
      <c r="B1110" s="1">
        <v>0.97916666666666663</v>
      </c>
      <c r="C1110">
        <v>42436</v>
      </c>
      <c r="D1110">
        <v>-108359</v>
      </c>
      <c r="E1110">
        <v>600664</v>
      </c>
      <c r="F1110">
        <v>321498</v>
      </c>
      <c r="G1110">
        <v>47672</v>
      </c>
      <c r="H1110">
        <v>958335</v>
      </c>
      <c r="I1110">
        <v>66021</v>
      </c>
      <c r="J1110">
        <v>-14344</v>
      </c>
      <c r="K1110">
        <v>-23736</v>
      </c>
      <c r="L1110">
        <v>-12565</v>
      </c>
      <c r="M1110">
        <v>7.03</v>
      </c>
      <c r="N1110">
        <v>1877622</v>
      </c>
      <c r="O1110">
        <v>19586800</v>
      </c>
      <c r="P1110" s="2">
        <v>9.5861600669838865</v>
      </c>
      <c r="Q1110" s="4">
        <v>13.769520399999999</v>
      </c>
    </row>
    <row r="1112" spans="1:17" x14ac:dyDescent="0.4">
      <c r="B1112" t="s">
        <v>52</v>
      </c>
    </row>
    <row r="1113" spans="1:17" x14ac:dyDescent="0.4">
      <c r="B1113" s="1" cm="1">
        <f t="array" ref="B1113">_xlfn.MODE.MULT(B2:B1110)</f>
        <v>0.625</v>
      </c>
      <c r="E1113" s="6"/>
      <c r="P1113" s="2">
        <f>MAX(P2:P1110)</f>
        <v>23.610266460157412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0E072-777B-4C0A-BB49-8754967E7642}">
  <dimension ref="A1:Q69"/>
  <sheetViews>
    <sheetView zoomScale="85" zoomScaleNormal="85" workbookViewId="0">
      <selection activeCell="Q36" sqref="Q36"/>
    </sheetView>
  </sheetViews>
  <sheetFormatPr defaultRowHeight="18.75" x14ac:dyDescent="0.4"/>
  <cols>
    <col min="1" max="1" width="10" bestFit="1" customWidth="1"/>
    <col min="2" max="2" width="6.25" bestFit="1" customWidth="1"/>
    <col min="3" max="3" width="7.875" bestFit="1" customWidth="1"/>
    <col min="4" max="4" width="8.625" bestFit="1" customWidth="1"/>
    <col min="6" max="6" width="8.625" bestFit="1" customWidth="1"/>
    <col min="7" max="7" width="7.625" bestFit="1" customWidth="1"/>
    <col min="8" max="8" width="8.625" bestFit="1" customWidth="1"/>
    <col min="9" max="10" width="7.875" bestFit="1" customWidth="1"/>
    <col min="11" max="11" width="8.625" bestFit="1" customWidth="1"/>
    <col min="12" max="12" width="7.625" bestFit="1" customWidth="1"/>
    <col min="13" max="13" width="25.75" bestFit="1" customWidth="1"/>
    <col min="14" max="14" width="25" bestFit="1" customWidth="1"/>
    <col min="15" max="15" width="12.5" bestFit="1" customWidth="1"/>
    <col min="16" max="16" width="18.5" bestFit="1" customWidth="1"/>
    <col min="17" max="17" width="15.5" bestFit="1" customWidth="1"/>
  </cols>
  <sheetData>
    <row r="1" spans="1:1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">
      <c r="A2" cm="1">
        <f t="array" ref="A2:Q32">_xlfn._xlws.FILTER('8月全国の電力取引データ'!A2:Q1489,'8月全国の電力取引データ'!B2:B1489='8月全国の電力取引データ'!B39,"")</f>
        <v>20210801</v>
      </c>
      <c r="B2" s="1">
        <v>0.77083333333333337</v>
      </c>
      <c r="C2">
        <v>19048</v>
      </c>
      <c r="D2">
        <v>-80971</v>
      </c>
      <c r="E2">
        <v>-296689</v>
      </c>
      <c r="F2">
        <v>52325</v>
      </c>
      <c r="G2">
        <v>2566</v>
      </c>
      <c r="H2">
        <v>95372</v>
      </c>
      <c r="I2">
        <v>36812</v>
      </c>
      <c r="J2">
        <v>-134850</v>
      </c>
      <c r="K2">
        <v>4177</v>
      </c>
      <c r="L2">
        <v>-42155</v>
      </c>
      <c r="M2">
        <v>9.9600000000000009</v>
      </c>
      <c r="N2">
        <v>-344365</v>
      </c>
      <c r="O2">
        <v>20519900</v>
      </c>
      <c r="P2" s="2">
        <v>-1.6782001861607512</v>
      </c>
      <c r="Q2" s="4">
        <v>20.437820400000003</v>
      </c>
    </row>
    <row r="3" spans="1:17" x14ac:dyDescent="0.4">
      <c r="A3">
        <v>20210802</v>
      </c>
      <c r="B3" s="1">
        <v>0.77083333333333337</v>
      </c>
      <c r="C3">
        <v>-7724</v>
      </c>
      <c r="D3">
        <v>-239592</v>
      </c>
      <c r="E3">
        <v>-265276</v>
      </c>
      <c r="F3">
        <v>125897</v>
      </c>
      <c r="G3">
        <v>-52917</v>
      </c>
      <c r="H3">
        <v>-11631</v>
      </c>
      <c r="I3">
        <v>-41251</v>
      </c>
      <c r="J3">
        <v>-108365</v>
      </c>
      <c r="K3">
        <v>143563</v>
      </c>
      <c r="L3">
        <v>-31367</v>
      </c>
      <c r="M3">
        <v>16.21</v>
      </c>
      <c r="N3">
        <v>-488663</v>
      </c>
      <c r="O3">
        <v>22708000</v>
      </c>
      <c r="P3" s="2">
        <v>-2.1519420468557335</v>
      </c>
      <c r="Q3" s="4">
        <v>36.809668000000002</v>
      </c>
    </row>
    <row r="4" spans="1:17" x14ac:dyDescent="0.4">
      <c r="A4">
        <v>20210803</v>
      </c>
      <c r="B4" s="1">
        <v>0.77083333333333337</v>
      </c>
      <c r="C4">
        <v>-94101</v>
      </c>
      <c r="D4">
        <v>-311598</v>
      </c>
      <c r="E4">
        <v>-669538</v>
      </c>
      <c r="F4">
        <v>93855</v>
      </c>
      <c r="G4">
        <v>-25015</v>
      </c>
      <c r="H4">
        <v>60261</v>
      </c>
      <c r="I4">
        <v>28622</v>
      </c>
      <c r="J4">
        <v>-124377</v>
      </c>
      <c r="K4">
        <v>-172724</v>
      </c>
      <c r="L4">
        <v>-23086</v>
      </c>
      <c r="M4">
        <v>17.010000000000002</v>
      </c>
      <c r="N4">
        <v>-1237701</v>
      </c>
      <c r="O4">
        <v>22591350</v>
      </c>
      <c r="P4" s="2">
        <v>-5.4786500142753756</v>
      </c>
      <c r="Q4" s="4">
        <v>38.427886350000009</v>
      </c>
    </row>
    <row r="5" spans="1:17" x14ac:dyDescent="0.4">
      <c r="A5">
        <v>20210804</v>
      </c>
      <c r="B5" s="1">
        <v>0.77083333333333337</v>
      </c>
      <c r="C5">
        <v>-27826</v>
      </c>
      <c r="D5">
        <v>-255386</v>
      </c>
      <c r="E5">
        <v>-368967</v>
      </c>
      <c r="F5">
        <v>10665</v>
      </c>
      <c r="G5">
        <v>-38423</v>
      </c>
      <c r="H5">
        <v>-162440</v>
      </c>
      <c r="I5">
        <v>-162174</v>
      </c>
      <c r="J5">
        <v>-17303</v>
      </c>
      <c r="K5">
        <v>31808</v>
      </c>
      <c r="L5">
        <v>-31928</v>
      </c>
      <c r="M5">
        <v>20</v>
      </c>
      <c r="N5">
        <v>-1021974</v>
      </c>
      <c r="O5">
        <v>22919100</v>
      </c>
      <c r="P5" s="2">
        <v>-4.4590494391141009</v>
      </c>
      <c r="Q5" s="4">
        <v>45.838200000000001</v>
      </c>
    </row>
    <row r="6" spans="1:17" x14ac:dyDescent="0.4">
      <c r="A6">
        <v>20210805</v>
      </c>
      <c r="B6" s="1">
        <v>0.77083333333333337</v>
      </c>
      <c r="C6">
        <v>-75492</v>
      </c>
      <c r="D6">
        <v>-216682</v>
      </c>
      <c r="E6">
        <v>-169712</v>
      </c>
      <c r="F6">
        <v>174374</v>
      </c>
      <c r="G6">
        <v>71143</v>
      </c>
      <c r="H6">
        <v>-242733</v>
      </c>
      <c r="I6">
        <v>-127095</v>
      </c>
      <c r="J6">
        <v>-90043</v>
      </c>
      <c r="K6">
        <v>-177221</v>
      </c>
      <c r="L6">
        <v>11911</v>
      </c>
      <c r="M6">
        <v>30</v>
      </c>
      <c r="N6">
        <v>-841550</v>
      </c>
      <c r="O6">
        <v>23450600</v>
      </c>
      <c r="P6" s="2">
        <v>-3.5886075409584404</v>
      </c>
      <c r="Q6" s="4">
        <v>70.351799999999997</v>
      </c>
    </row>
    <row r="7" spans="1:17" x14ac:dyDescent="0.4">
      <c r="A7">
        <v>20210806</v>
      </c>
      <c r="B7" s="1">
        <v>0.77083333333333337</v>
      </c>
      <c r="C7">
        <v>-9068</v>
      </c>
      <c r="D7">
        <v>100301</v>
      </c>
      <c r="E7">
        <v>-572718</v>
      </c>
      <c r="F7">
        <v>435254</v>
      </c>
      <c r="G7">
        <v>-3830</v>
      </c>
      <c r="H7">
        <v>399461</v>
      </c>
      <c r="I7">
        <v>68522</v>
      </c>
      <c r="J7">
        <v>123882</v>
      </c>
      <c r="K7">
        <v>-28691</v>
      </c>
      <c r="L7">
        <v>6885</v>
      </c>
      <c r="M7">
        <v>20.81</v>
      </c>
      <c r="N7">
        <v>519998</v>
      </c>
      <c r="O7">
        <v>23475300</v>
      </c>
      <c r="P7" s="2">
        <v>2.2150856432079675</v>
      </c>
      <c r="Q7" s="4">
        <v>48.852099299999992</v>
      </c>
    </row>
    <row r="8" spans="1:17" x14ac:dyDescent="0.4">
      <c r="A8">
        <v>20210807</v>
      </c>
      <c r="B8" s="1">
        <v>0.77083333333333337</v>
      </c>
      <c r="C8">
        <v>92585</v>
      </c>
      <c r="D8">
        <v>-17807</v>
      </c>
      <c r="E8">
        <v>-182750</v>
      </c>
      <c r="F8">
        <v>-225325</v>
      </c>
      <c r="G8">
        <v>-4467</v>
      </c>
      <c r="H8">
        <v>-255740</v>
      </c>
      <c r="I8">
        <v>-15958</v>
      </c>
      <c r="J8">
        <v>-94018</v>
      </c>
      <c r="K8">
        <v>177698</v>
      </c>
      <c r="L8">
        <v>-8424</v>
      </c>
      <c r="M8">
        <v>10.28</v>
      </c>
      <c r="N8">
        <v>-534206</v>
      </c>
      <c r="O8">
        <v>21419800</v>
      </c>
      <c r="P8" s="2">
        <v>-2.4939822033819175</v>
      </c>
      <c r="Q8" s="4">
        <v>22.019554400000001</v>
      </c>
    </row>
    <row r="9" spans="1:17" x14ac:dyDescent="0.4">
      <c r="A9">
        <v>20210808</v>
      </c>
      <c r="B9" s="1">
        <v>0.77083333333333337</v>
      </c>
      <c r="C9">
        <v>122664</v>
      </c>
      <c r="D9">
        <v>91938</v>
      </c>
      <c r="E9">
        <v>912791</v>
      </c>
      <c r="F9">
        <v>-141345</v>
      </c>
      <c r="G9">
        <v>-7940</v>
      </c>
      <c r="H9">
        <v>307530</v>
      </c>
      <c r="I9">
        <v>147958</v>
      </c>
      <c r="J9">
        <v>-32482</v>
      </c>
      <c r="K9">
        <v>461177</v>
      </c>
      <c r="L9">
        <v>-22648</v>
      </c>
      <c r="M9">
        <v>11.94</v>
      </c>
      <c r="N9">
        <v>1839643</v>
      </c>
      <c r="O9">
        <v>21215300</v>
      </c>
      <c r="P9" s="2">
        <v>8.6713032575546887</v>
      </c>
      <c r="Q9" s="4">
        <v>25.331068200000001</v>
      </c>
    </row>
    <row r="10" spans="1:17" x14ac:dyDescent="0.4">
      <c r="A10">
        <v>20210809</v>
      </c>
      <c r="B10" s="1">
        <v>0.77083333333333337</v>
      </c>
      <c r="C10">
        <v>105998</v>
      </c>
      <c r="D10">
        <v>169847</v>
      </c>
      <c r="E10">
        <v>225060</v>
      </c>
      <c r="F10">
        <v>520613</v>
      </c>
      <c r="G10">
        <v>74221</v>
      </c>
      <c r="H10">
        <v>469078</v>
      </c>
      <c r="I10">
        <v>215803</v>
      </c>
      <c r="J10">
        <v>82016</v>
      </c>
      <c r="K10">
        <v>358727</v>
      </c>
      <c r="L10">
        <v>-25278</v>
      </c>
      <c r="M10">
        <v>16.27</v>
      </c>
      <c r="N10">
        <v>2196085</v>
      </c>
      <c r="O10">
        <v>21889150</v>
      </c>
      <c r="P10" s="2">
        <v>10.032755954434046</v>
      </c>
      <c r="Q10" s="4">
        <v>35.613647049999997</v>
      </c>
    </row>
    <row r="11" spans="1:17" x14ac:dyDescent="0.4">
      <c r="A11">
        <v>20210810</v>
      </c>
      <c r="B11" s="1">
        <v>0.77083333333333337</v>
      </c>
      <c r="C11">
        <v>148702</v>
      </c>
      <c r="D11">
        <v>292337</v>
      </c>
      <c r="E11">
        <v>1129849</v>
      </c>
      <c r="F11">
        <v>1016657</v>
      </c>
      <c r="G11">
        <v>138053</v>
      </c>
      <c r="H11">
        <v>852620</v>
      </c>
      <c r="I11">
        <v>87134</v>
      </c>
      <c r="J11">
        <v>110007</v>
      </c>
      <c r="K11">
        <v>542326</v>
      </c>
      <c r="L11">
        <v>-33903</v>
      </c>
      <c r="M11">
        <v>14.96</v>
      </c>
      <c r="N11">
        <v>4283782</v>
      </c>
      <c r="O11">
        <v>22866900</v>
      </c>
      <c r="P11" s="2">
        <v>18.733549366114339</v>
      </c>
      <c r="Q11" s="4">
        <v>34.2088824</v>
      </c>
    </row>
    <row r="12" spans="1:17" x14ac:dyDescent="0.4">
      <c r="A12">
        <v>20210811</v>
      </c>
      <c r="B12" s="1">
        <v>0.77083333333333337</v>
      </c>
      <c r="C12">
        <v>85827</v>
      </c>
      <c r="D12">
        <v>285936</v>
      </c>
      <c r="E12">
        <v>1705214</v>
      </c>
      <c r="F12">
        <v>262100</v>
      </c>
      <c r="G12">
        <v>82871</v>
      </c>
      <c r="H12">
        <v>569721</v>
      </c>
      <c r="I12">
        <v>225997</v>
      </c>
      <c r="J12">
        <v>119550</v>
      </c>
      <c r="K12">
        <v>568570</v>
      </c>
      <c r="L12">
        <v>-24264</v>
      </c>
      <c r="M12">
        <v>12.1</v>
      </c>
      <c r="N12">
        <v>3881522</v>
      </c>
      <c r="O12">
        <v>22822150</v>
      </c>
      <c r="P12" s="2">
        <v>17.007696470315022</v>
      </c>
      <c r="Q12" s="4">
        <v>27.614801499999999</v>
      </c>
    </row>
    <row r="13" spans="1:17" x14ac:dyDescent="0.4">
      <c r="A13">
        <v>20210812</v>
      </c>
      <c r="B13" s="1">
        <v>0.77083333333333337</v>
      </c>
      <c r="C13">
        <v>-21933</v>
      </c>
      <c r="D13">
        <v>201086</v>
      </c>
      <c r="E13">
        <v>1438298</v>
      </c>
      <c r="F13">
        <v>467982</v>
      </c>
      <c r="G13">
        <v>81321</v>
      </c>
      <c r="H13">
        <v>533553</v>
      </c>
      <c r="I13">
        <v>42307</v>
      </c>
      <c r="J13">
        <v>98202</v>
      </c>
      <c r="K13">
        <v>66328</v>
      </c>
      <c r="L13">
        <v>-25248</v>
      </c>
      <c r="M13">
        <v>10.01</v>
      </c>
      <c r="N13">
        <v>2881896</v>
      </c>
      <c r="O13">
        <v>23900350</v>
      </c>
      <c r="P13" s="2">
        <v>12.057965678326886</v>
      </c>
      <c r="Q13" s="4">
        <v>23.924250350000001</v>
      </c>
    </row>
    <row r="14" spans="1:17" x14ac:dyDescent="0.4">
      <c r="A14">
        <v>20210813</v>
      </c>
      <c r="B14" s="1">
        <v>0.77083333333333337</v>
      </c>
      <c r="C14">
        <v>126985</v>
      </c>
      <c r="D14">
        <v>368741</v>
      </c>
      <c r="E14">
        <v>1126345</v>
      </c>
      <c r="F14">
        <v>28636</v>
      </c>
      <c r="G14">
        <v>37522</v>
      </c>
      <c r="H14">
        <v>83271</v>
      </c>
      <c r="I14">
        <v>-61304</v>
      </c>
      <c r="J14">
        <v>-20908</v>
      </c>
      <c r="K14">
        <v>-124730</v>
      </c>
      <c r="L14">
        <v>-4151</v>
      </c>
      <c r="M14">
        <v>8.11</v>
      </c>
      <c r="N14">
        <v>1560407</v>
      </c>
      <c r="O14">
        <v>21940500</v>
      </c>
      <c r="P14" s="2">
        <v>7.1119938014174702</v>
      </c>
      <c r="Q14" s="4">
        <v>17.7937455</v>
      </c>
    </row>
    <row r="15" spans="1:17" x14ac:dyDescent="0.4">
      <c r="A15">
        <v>20210814</v>
      </c>
      <c r="B15" s="1">
        <v>0.77083333333333337</v>
      </c>
      <c r="C15">
        <v>82277</v>
      </c>
      <c r="D15">
        <v>249428</v>
      </c>
      <c r="E15">
        <v>1175757</v>
      </c>
      <c r="F15">
        <v>-7835</v>
      </c>
      <c r="G15">
        <v>-25495</v>
      </c>
      <c r="H15">
        <v>-390009</v>
      </c>
      <c r="I15">
        <v>-50068</v>
      </c>
      <c r="J15">
        <v>8542</v>
      </c>
      <c r="K15">
        <v>221047</v>
      </c>
      <c r="L15">
        <v>-13292</v>
      </c>
      <c r="M15">
        <v>8.86</v>
      </c>
      <c r="N15">
        <v>1250352</v>
      </c>
      <c r="O15">
        <v>20966350</v>
      </c>
      <c r="P15" s="2">
        <v>5.9636131229326992</v>
      </c>
      <c r="Q15" s="4">
        <v>18.576186100000001</v>
      </c>
    </row>
    <row r="16" spans="1:17" x14ac:dyDescent="0.4">
      <c r="A16">
        <v>20210815</v>
      </c>
      <c r="B16" s="1">
        <v>0.77083333333333337</v>
      </c>
      <c r="C16">
        <v>25451</v>
      </c>
      <c r="D16">
        <v>125165</v>
      </c>
      <c r="E16">
        <v>1485698</v>
      </c>
      <c r="F16">
        <v>184356</v>
      </c>
      <c r="G16">
        <v>-70540</v>
      </c>
      <c r="H16">
        <v>237081</v>
      </c>
      <c r="I16">
        <v>-135296</v>
      </c>
      <c r="J16">
        <v>54279</v>
      </c>
      <c r="K16">
        <v>98422</v>
      </c>
      <c r="L16">
        <v>-5717</v>
      </c>
      <c r="M16">
        <v>7.54</v>
      </c>
      <c r="N16">
        <v>1998899</v>
      </c>
      <c r="O16">
        <v>20674800</v>
      </c>
      <c r="P16" s="2">
        <v>9.6682869967303198</v>
      </c>
      <c r="Q16" s="4">
        <v>15.5887992</v>
      </c>
    </row>
    <row r="17" spans="1:17" x14ac:dyDescent="0.4">
      <c r="A17">
        <v>20210816</v>
      </c>
      <c r="B17" s="1">
        <v>0.77083333333333337</v>
      </c>
      <c r="C17">
        <v>37756</v>
      </c>
      <c r="D17">
        <v>-5231</v>
      </c>
      <c r="E17">
        <v>1619854</v>
      </c>
      <c r="F17">
        <v>228898</v>
      </c>
      <c r="G17">
        <v>68180</v>
      </c>
      <c r="H17">
        <v>3687</v>
      </c>
      <c r="I17">
        <v>-16756</v>
      </c>
      <c r="J17">
        <v>-4817</v>
      </c>
      <c r="K17">
        <v>-49171</v>
      </c>
      <c r="L17">
        <v>-25614</v>
      </c>
      <c r="M17">
        <v>9.0399999999999991</v>
      </c>
      <c r="N17">
        <v>1856786</v>
      </c>
      <c r="O17">
        <v>22435150</v>
      </c>
      <c r="P17" s="2">
        <v>8.2762361740393988</v>
      </c>
      <c r="Q17" s="4">
        <v>20.281375599999997</v>
      </c>
    </row>
    <row r="18" spans="1:17" x14ac:dyDescent="0.4">
      <c r="A18">
        <v>20210817</v>
      </c>
      <c r="B18" s="1">
        <v>0.77083333333333337</v>
      </c>
      <c r="C18">
        <v>19099</v>
      </c>
      <c r="D18">
        <v>90087</v>
      </c>
      <c r="E18">
        <v>338604</v>
      </c>
      <c r="F18">
        <v>-127223</v>
      </c>
      <c r="G18">
        <v>-13327</v>
      </c>
      <c r="H18">
        <v>349930</v>
      </c>
      <c r="I18">
        <v>10166</v>
      </c>
      <c r="J18">
        <v>2926</v>
      </c>
      <c r="K18">
        <v>89615</v>
      </c>
      <c r="L18">
        <v>-26319</v>
      </c>
      <c r="M18">
        <v>8.14</v>
      </c>
      <c r="N18">
        <v>733558</v>
      </c>
      <c r="O18">
        <v>22911950</v>
      </c>
      <c r="P18" s="2">
        <v>3.2016393192198831</v>
      </c>
      <c r="Q18" s="4">
        <v>18.650327300000001</v>
      </c>
    </row>
    <row r="19" spans="1:17" x14ac:dyDescent="0.4">
      <c r="A19">
        <v>20210818</v>
      </c>
      <c r="B19" s="1">
        <v>0.77083333333333337</v>
      </c>
      <c r="C19">
        <v>-52246</v>
      </c>
      <c r="D19">
        <v>390401</v>
      </c>
      <c r="E19">
        <v>716978</v>
      </c>
      <c r="F19">
        <v>33860</v>
      </c>
      <c r="G19">
        <v>-17771</v>
      </c>
      <c r="H19">
        <v>26730</v>
      </c>
      <c r="I19">
        <v>60548</v>
      </c>
      <c r="J19">
        <v>-6005</v>
      </c>
      <c r="K19">
        <v>171914</v>
      </c>
      <c r="L19">
        <v>9318</v>
      </c>
      <c r="M19">
        <v>9.57</v>
      </c>
      <c r="N19">
        <v>1333727</v>
      </c>
      <c r="O19">
        <v>22176250</v>
      </c>
      <c r="P19" s="2">
        <v>6.0142134039794826</v>
      </c>
      <c r="Q19" s="4">
        <v>21.222671250000001</v>
      </c>
    </row>
    <row r="20" spans="1:17" x14ac:dyDescent="0.4">
      <c r="A20">
        <v>20210819</v>
      </c>
      <c r="B20" s="1">
        <v>0.77083333333333337</v>
      </c>
      <c r="C20">
        <v>-42019</v>
      </c>
      <c r="D20">
        <v>-79441</v>
      </c>
      <c r="E20">
        <v>510124</v>
      </c>
      <c r="F20">
        <v>255024</v>
      </c>
      <c r="G20">
        <v>93468</v>
      </c>
      <c r="H20">
        <v>766908</v>
      </c>
      <c r="I20">
        <v>89582</v>
      </c>
      <c r="J20">
        <v>-39755</v>
      </c>
      <c r="K20">
        <v>-95136</v>
      </c>
      <c r="L20">
        <v>43331</v>
      </c>
      <c r="M20">
        <v>9.9700000000000006</v>
      </c>
      <c r="N20">
        <v>1502086</v>
      </c>
      <c r="O20">
        <v>22703850</v>
      </c>
      <c r="P20" s="2">
        <v>6.615996846349848</v>
      </c>
      <c r="Q20" s="4">
        <v>22.635738450000002</v>
      </c>
    </row>
    <row r="21" spans="1:17" x14ac:dyDescent="0.4">
      <c r="A21">
        <v>20210820</v>
      </c>
      <c r="B21" s="1">
        <v>0.77083333333333337</v>
      </c>
      <c r="C21">
        <v>9698</v>
      </c>
      <c r="D21">
        <v>-101543</v>
      </c>
      <c r="E21">
        <v>436730</v>
      </c>
      <c r="F21">
        <v>252393</v>
      </c>
      <c r="G21">
        <v>-33110</v>
      </c>
      <c r="H21">
        <v>412026</v>
      </c>
      <c r="I21">
        <v>-35073</v>
      </c>
      <c r="J21">
        <v>1964</v>
      </c>
      <c r="K21">
        <v>186001</v>
      </c>
      <c r="L21">
        <v>1450</v>
      </c>
      <c r="M21">
        <v>10.27</v>
      </c>
      <c r="N21">
        <v>1130536</v>
      </c>
      <c r="O21">
        <v>22264600</v>
      </c>
      <c r="P21" s="2">
        <v>5.0777287712332582</v>
      </c>
      <c r="Q21" s="4">
        <v>22.865744200000002</v>
      </c>
    </row>
    <row r="22" spans="1:17" x14ac:dyDescent="0.4">
      <c r="A22">
        <v>20210821</v>
      </c>
      <c r="B22" s="1">
        <v>0.77083333333333337</v>
      </c>
      <c r="C22">
        <v>56576</v>
      </c>
      <c r="D22">
        <v>-78500</v>
      </c>
      <c r="E22">
        <v>-459409</v>
      </c>
      <c r="F22">
        <v>43945</v>
      </c>
      <c r="G22">
        <v>-16761</v>
      </c>
      <c r="H22">
        <v>324453</v>
      </c>
      <c r="I22">
        <v>-42580</v>
      </c>
      <c r="J22">
        <v>-25677</v>
      </c>
      <c r="K22">
        <v>-135562</v>
      </c>
      <c r="L22">
        <v>1124</v>
      </c>
      <c r="M22">
        <v>9.61</v>
      </c>
      <c r="N22">
        <v>-332391</v>
      </c>
      <c r="O22">
        <v>20551250</v>
      </c>
      <c r="P22" s="2">
        <v>-1.6173760720150843</v>
      </c>
      <c r="Q22" s="4">
        <v>19.749751249999999</v>
      </c>
    </row>
    <row r="23" spans="1:17" x14ac:dyDescent="0.4">
      <c r="A23">
        <v>20210822</v>
      </c>
      <c r="B23" s="1">
        <v>0.77083333333333337</v>
      </c>
      <c r="C23">
        <v>3194</v>
      </c>
      <c r="D23">
        <v>-222209</v>
      </c>
      <c r="E23">
        <v>-920817</v>
      </c>
      <c r="F23">
        <v>-109214</v>
      </c>
      <c r="G23">
        <v>31800</v>
      </c>
      <c r="H23">
        <v>-163273</v>
      </c>
      <c r="I23">
        <v>81333</v>
      </c>
      <c r="J23">
        <v>-98835</v>
      </c>
      <c r="K23">
        <v>-118528</v>
      </c>
      <c r="L23">
        <v>-31809</v>
      </c>
      <c r="M23">
        <v>9.41</v>
      </c>
      <c r="N23">
        <v>-1548358</v>
      </c>
      <c r="O23">
        <v>20584550</v>
      </c>
      <c r="P23" s="2">
        <v>-7.5219424276945572</v>
      </c>
      <c r="Q23" s="4">
        <v>19.370061549999999</v>
      </c>
    </row>
    <row r="24" spans="1:17" x14ac:dyDescent="0.4">
      <c r="A24">
        <v>20210823</v>
      </c>
      <c r="B24" s="1">
        <v>0.77083333333333337</v>
      </c>
      <c r="C24">
        <v>10806</v>
      </c>
      <c r="D24">
        <v>58935</v>
      </c>
      <c r="E24">
        <v>-201154</v>
      </c>
      <c r="F24">
        <v>-244476</v>
      </c>
      <c r="G24">
        <v>-22247</v>
      </c>
      <c r="H24">
        <v>-297459</v>
      </c>
      <c r="I24">
        <v>-64937</v>
      </c>
      <c r="J24">
        <v>-22552</v>
      </c>
      <c r="K24">
        <v>-107442</v>
      </c>
      <c r="L24">
        <v>-31763</v>
      </c>
      <c r="M24">
        <v>10.26</v>
      </c>
      <c r="N24">
        <v>-922289</v>
      </c>
      <c r="O24">
        <v>22244750</v>
      </c>
      <c r="P24" s="2">
        <v>-4.1460973937670689</v>
      </c>
      <c r="Q24" s="4">
        <v>22.823113500000002</v>
      </c>
    </row>
    <row r="25" spans="1:17" x14ac:dyDescent="0.4">
      <c r="A25">
        <v>20210824</v>
      </c>
      <c r="B25" s="1">
        <v>0.77083333333333337</v>
      </c>
      <c r="C25">
        <v>38095</v>
      </c>
      <c r="D25">
        <v>-15279</v>
      </c>
      <c r="E25">
        <v>-338891</v>
      </c>
      <c r="F25">
        <v>98670</v>
      </c>
      <c r="G25">
        <v>70097</v>
      </c>
      <c r="H25">
        <v>288022</v>
      </c>
      <c r="I25">
        <v>-5336</v>
      </c>
      <c r="J25">
        <v>-29166</v>
      </c>
      <c r="K25">
        <v>64437</v>
      </c>
      <c r="L25">
        <v>-3041</v>
      </c>
      <c r="M25">
        <v>10.32</v>
      </c>
      <c r="N25">
        <v>167608</v>
      </c>
      <c r="O25">
        <v>22449100</v>
      </c>
      <c r="P25" s="2">
        <v>0.74661344998240464</v>
      </c>
      <c r="Q25" s="4">
        <v>23.167471200000001</v>
      </c>
    </row>
    <row r="26" spans="1:17" x14ac:dyDescent="0.4">
      <c r="A26">
        <v>20210825</v>
      </c>
      <c r="B26" s="1">
        <v>0.77083333333333337</v>
      </c>
      <c r="C26">
        <v>23074</v>
      </c>
      <c r="D26">
        <v>21185</v>
      </c>
      <c r="E26">
        <v>-1349648</v>
      </c>
      <c r="F26">
        <v>-186512</v>
      </c>
      <c r="G26">
        <v>-5982</v>
      </c>
      <c r="H26">
        <v>-232343</v>
      </c>
      <c r="I26">
        <v>-22037</v>
      </c>
      <c r="J26">
        <v>54059</v>
      </c>
      <c r="K26">
        <v>125833</v>
      </c>
      <c r="L26">
        <v>-30535</v>
      </c>
      <c r="M26">
        <v>10.32</v>
      </c>
      <c r="N26">
        <v>-1602906</v>
      </c>
      <c r="O26">
        <v>22680400</v>
      </c>
      <c r="P26" s="2">
        <v>-7.0673621276520695</v>
      </c>
      <c r="Q26" s="4">
        <v>23.4061728</v>
      </c>
    </row>
    <row r="27" spans="1:17" x14ac:dyDescent="0.4">
      <c r="A27">
        <v>20210826</v>
      </c>
      <c r="B27" s="1">
        <v>0.77083333333333337</v>
      </c>
      <c r="C27">
        <v>-64552</v>
      </c>
      <c r="D27">
        <v>-2422</v>
      </c>
      <c r="E27">
        <v>-873991</v>
      </c>
      <c r="F27">
        <v>32241</v>
      </c>
      <c r="G27">
        <v>39864</v>
      </c>
      <c r="H27">
        <v>68390</v>
      </c>
      <c r="I27">
        <v>-41540</v>
      </c>
      <c r="J27">
        <v>-739</v>
      </c>
      <c r="K27">
        <v>54538</v>
      </c>
      <c r="L27">
        <v>-37729</v>
      </c>
      <c r="M27">
        <v>17.010000000000002</v>
      </c>
      <c r="N27">
        <v>-825940</v>
      </c>
      <c r="O27">
        <v>22215350</v>
      </c>
      <c r="P27" s="2">
        <v>-3.7178797543140214</v>
      </c>
      <c r="Q27" s="4">
        <v>37.788310350000003</v>
      </c>
    </row>
    <row r="28" spans="1:17" x14ac:dyDescent="0.4">
      <c r="A28">
        <v>20210827</v>
      </c>
      <c r="B28" s="1">
        <v>0.77083333333333337</v>
      </c>
      <c r="C28">
        <v>-675</v>
      </c>
      <c r="D28">
        <v>-86415</v>
      </c>
      <c r="E28">
        <v>-359037</v>
      </c>
      <c r="F28">
        <v>242505</v>
      </c>
      <c r="G28">
        <v>73309</v>
      </c>
      <c r="H28">
        <v>340465</v>
      </c>
      <c r="I28">
        <v>89382</v>
      </c>
      <c r="J28">
        <v>4684</v>
      </c>
      <c r="K28">
        <v>37070</v>
      </c>
      <c r="L28">
        <v>-9724</v>
      </c>
      <c r="M28">
        <v>12.36</v>
      </c>
      <c r="N28">
        <v>331564</v>
      </c>
      <c r="O28">
        <v>22213900</v>
      </c>
      <c r="P28" s="2">
        <v>1.4925969775680992</v>
      </c>
      <c r="Q28" s="4">
        <v>27.4563804</v>
      </c>
    </row>
    <row r="29" spans="1:17" x14ac:dyDescent="0.4">
      <c r="A29">
        <v>20210828</v>
      </c>
      <c r="B29" s="1">
        <v>0.77083333333333337</v>
      </c>
      <c r="C29">
        <v>24880</v>
      </c>
      <c r="D29">
        <v>93049</v>
      </c>
      <c r="E29">
        <v>-644597</v>
      </c>
      <c r="F29">
        <v>-154818</v>
      </c>
      <c r="G29">
        <v>11838</v>
      </c>
      <c r="H29">
        <v>275752</v>
      </c>
      <c r="I29">
        <v>57835</v>
      </c>
      <c r="J29">
        <v>45207</v>
      </c>
      <c r="K29">
        <v>235713</v>
      </c>
      <c r="L29">
        <v>-14048</v>
      </c>
      <c r="M29">
        <v>10.36</v>
      </c>
      <c r="N29">
        <v>-69189</v>
      </c>
      <c r="O29">
        <v>20002950</v>
      </c>
      <c r="P29" s="2">
        <v>-0.34589398063785592</v>
      </c>
      <c r="Q29" s="4">
        <v>20.723056199999998</v>
      </c>
    </row>
    <row r="30" spans="1:17" x14ac:dyDescent="0.4">
      <c r="A30">
        <v>20210829</v>
      </c>
      <c r="B30" s="1">
        <v>0.77083333333333337</v>
      </c>
      <c r="C30">
        <v>-17872</v>
      </c>
      <c r="D30">
        <v>3570</v>
      </c>
      <c r="E30">
        <v>81703</v>
      </c>
      <c r="F30">
        <v>-110616</v>
      </c>
      <c r="G30">
        <v>-58116</v>
      </c>
      <c r="H30">
        <v>185932</v>
      </c>
      <c r="I30">
        <v>-8392</v>
      </c>
      <c r="J30">
        <v>51473</v>
      </c>
      <c r="K30">
        <v>52927</v>
      </c>
      <c r="L30">
        <v>6625</v>
      </c>
      <c r="M30">
        <v>10.35</v>
      </c>
      <c r="N30">
        <v>187234</v>
      </c>
      <c r="O30">
        <v>20083850</v>
      </c>
      <c r="P30" s="2">
        <v>0.93226149368771427</v>
      </c>
      <c r="Q30" s="4">
        <v>20.786784749999999</v>
      </c>
    </row>
    <row r="31" spans="1:17" x14ac:dyDescent="0.4">
      <c r="A31">
        <v>20210830</v>
      </c>
      <c r="B31" s="1">
        <v>0.77083333333333337</v>
      </c>
      <c r="C31">
        <v>-5410</v>
      </c>
      <c r="D31">
        <v>119504</v>
      </c>
      <c r="E31">
        <v>-1112112</v>
      </c>
      <c r="F31">
        <v>-48038</v>
      </c>
      <c r="G31">
        <v>-34444</v>
      </c>
      <c r="H31">
        <v>-16296</v>
      </c>
      <c r="I31">
        <v>7079</v>
      </c>
      <c r="J31">
        <v>-9261</v>
      </c>
      <c r="K31">
        <v>-3719</v>
      </c>
      <c r="L31">
        <v>-20428</v>
      </c>
      <c r="M31">
        <v>15</v>
      </c>
      <c r="N31">
        <v>-1123125</v>
      </c>
      <c r="O31">
        <v>22448300</v>
      </c>
      <c r="P31" s="2">
        <v>-5.0031628230200056</v>
      </c>
      <c r="Q31" s="4">
        <v>33.672449999999998</v>
      </c>
    </row>
    <row r="32" spans="1:17" x14ac:dyDescent="0.4">
      <c r="A32">
        <v>20210831</v>
      </c>
      <c r="B32" s="1">
        <v>0.77083333333333337</v>
      </c>
      <c r="C32">
        <v>9721</v>
      </c>
      <c r="D32">
        <v>42268</v>
      </c>
      <c r="E32">
        <v>502114</v>
      </c>
      <c r="F32">
        <v>210728</v>
      </c>
      <c r="G32">
        <v>891</v>
      </c>
      <c r="H32">
        <v>282308</v>
      </c>
      <c r="I32">
        <v>21080</v>
      </c>
      <c r="J32">
        <v>-85145</v>
      </c>
      <c r="K32">
        <v>-11057</v>
      </c>
      <c r="L32">
        <v>-5178</v>
      </c>
      <c r="M32">
        <v>11.35</v>
      </c>
      <c r="N32">
        <v>967730</v>
      </c>
      <c r="O32">
        <v>22365500</v>
      </c>
      <c r="P32" s="2">
        <v>4.3268873935302139</v>
      </c>
      <c r="Q32" s="4">
        <v>25.384842500000001</v>
      </c>
    </row>
    <row r="34" spans="2:17" x14ac:dyDescent="0.4">
      <c r="P34" s="2">
        <f>MIN(P2:P32)</f>
        <v>-7.5219424276945572</v>
      </c>
      <c r="Q34">
        <f>COUNTIF(P2:P32,"&lt;0")</f>
        <v>13</v>
      </c>
    </row>
    <row r="35" spans="2:17" x14ac:dyDescent="0.4">
      <c r="P35" s="2">
        <f>MAX(P2:P32)</f>
        <v>18.733549366114339</v>
      </c>
    </row>
    <row r="37" spans="2:17" x14ac:dyDescent="0.4">
      <c r="B37" s="1"/>
      <c r="P37" s="2"/>
      <c r="Q37" s="4"/>
    </row>
    <row r="38" spans="2:17" x14ac:dyDescent="0.4">
      <c r="B38" s="1"/>
      <c r="P38" s="2"/>
      <c r="Q38" s="4"/>
    </row>
    <row r="39" spans="2:17" x14ac:dyDescent="0.4">
      <c r="B39" s="1"/>
      <c r="P39" s="2"/>
      <c r="Q39" s="4"/>
    </row>
    <row r="40" spans="2:17" x14ac:dyDescent="0.4">
      <c r="B40" s="1"/>
      <c r="P40" s="2"/>
      <c r="Q40" s="4"/>
    </row>
    <row r="41" spans="2:17" x14ac:dyDescent="0.4">
      <c r="B41" s="1"/>
      <c r="P41" s="2"/>
      <c r="Q41" s="4"/>
    </row>
    <row r="42" spans="2:17" x14ac:dyDescent="0.4">
      <c r="B42" s="1"/>
      <c r="P42" s="2"/>
      <c r="Q42" s="4"/>
    </row>
    <row r="43" spans="2:17" x14ac:dyDescent="0.4">
      <c r="B43" s="1"/>
      <c r="P43" s="2"/>
      <c r="Q43" s="4"/>
    </row>
    <row r="44" spans="2:17" x14ac:dyDescent="0.4">
      <c r="B44" s="1"/>
      <c r="P44" s="2"/>
      <c r="Q44" s="4"/>
    </row>
    <row r="45" spans="2:17" x14ac:dyDescent="0.4">
      <c r="B45" s="1"/>
      <c r="P45" s="2"/>
      <c r="Q45" s="4"/>
    </row>
    <row r="46" spans="2:17" x14ac:dyDescent="0.4">
      <c r="B46" s="1"/>
      <c r="P46" s="2"/>
      <c r="Q46" s="4"/>
    </row>
    <row r="47" spans="2:17" x14ac:dyDescent="0.4">
      <c r="B47" s="1"/>
      <c r="P47" s="2"/>
      <c r="Q47" s="4"/>
    </row>
    <row r="48" spans="2:17" x14ac:dyDescent="0.4">
      <c r="B48" s="1"/>
      <c r="P48" s="2"/>
      <c r="Q48" s="4"/>
    </row>
    <row r="49" spans="2:17" x14ac:dyDescent="0.4">
      <c r="B49" s="1"/>
      <c r="P49" s="2"/>
      <c r="Q49" s="4"/>
    </row>
    <row r="50" spans="2:17" x14ac:dyDescent="0.4">
      <c r="B50" s="1"/>
      <c r="P50" s="2"/>
      <c r="Q50" s="4"/>
    </row>
    <row r="51" spans="2:17" x14ac:dyDescent="0.4">
      <c r="B51" s="1"/>
      <c r="P51" s="2"/>
      <c r="Q51" s="4"/>
    </row>
    <row r="52" spans="2:17" x14ac:dyDescent="0.4">
      <c r="B52" s="1"/>
      <c r="P52" s="2"/>
      <c r="Q52" s="4"/>
    </row>
    <row r="53" spans="2:17" x14ac:dyDescent="0.4">
      <c r="B53" s="1"/>
      <c r="P53" s="2"/>
      <c r="Q53" s="4"/>
    </row>
    <row r="54" spans="2:17" x14ac:dyDescent="0.4">
      <c r="B54" s="1"/>
      <c r="P54" s="2"/>
      <c r="Q54" s="4"/>
    </row>
    <row r="55" spans="2:17" x14ac:dyDescent="0.4">
      <c r="B55" s="1"/>
      <c r="P55" s="2"/>
      <c r="Q55" s="4"/>
    </row>
    <row r="56" spans="2:17" x14ac:dyDescent="0.4">
      <c r="B56" s="1"/>
      <c r="P56" s="2"/>
      <c r="Q56" s="4"/>
    </row>
    <row r="57" spans="2:17" x14ac:dyDescent="0.4">
      <c r="B57" s="1"/>
      <c r="P57" s="2"/>
      <c r="Q57" s="4"/>
    </row>
    <row r="58" spans="2:17" x14ac:dyDescent="0.4">
      <c r="B58" s="1"/>
      <c r="P58" s="2"/>
      <c r="Q58" s="4"/>
    </row>
    <row r="59" spans="2:17" x14ac:dyDescent="0.4">
      <c r="B59" s="1"/>
      <c r="P59" s="2"/>
      <c r="Q59" s="4"/>
    </row>
    <row r="60" spans="2:17" x14ac:dyDescent="0.4">
      <c r="B60" s="1"/>
      <c r="P60" s="2"/>
      <c r="Q60" s="4"/>
    </row>
    <row r="61" spans="2:17" x14ac:dyDescent="0.4">
      <c r="B61" s="1"/>
      <c r="P61" s="2"/>
      <c r="Q61" s="4"/>
    </row>
    <row r="62" spans="2:17" x14ac:dyDescent="0.4">
      <c r="B62" s="1"/>
      <c r="P62" s="2"/>
      <c r="Q62" s="4"/>
    </row>
    <row r="63" spans="2:17" x14ac:dyDescent="0.4">
      <c r="B63" s="1"/>
      <c r="P63" s="2"/>
      <c r="Q63" s="4"/>
    </row>
    <row r="64" spans="2:17" x14ac:dyDescent="0.4">
      <c r="B64" s="1"/>
      <c r="P64" s="2"/>
      <c r="Q64" s="4"/>
    </row>
    <row r="65" spans="2:17" x14ac:dyDescent="0.4">
      <c r="B65" s="1"/>
      <c r="P65" s="2"/>
      <c r="Q65" s="4"/>
    </row>
    <row r="66" spans="2:17" x14ac:dyDescent="0.4">
      <c r="B66" s="1"/>
      <c r="P66" s="2"/>
      <c r="Q66" s="4"/>
    </row>
    <row r="67" spans="2:17" x14ac:dyDescent="0.4">
      <c r="B67" s="1"/>
      <c r="P67" s="2"/>
      <c r="Q67" s="4"/>
    </row>
    <row r="69" spans="2:17" x14ac:dyDescent="0.4">
      <c r="P69" s="2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F97B7-C9F2-4847-BF84-668633AB2A93}">
  <dimension ref="A1:Q35"/>
  <sheetViews>
    <sheetView tabSelected="1" zoomScale="85" zoomScaleNormal="85" workbookViewId="0">
      <selection activeCell="U7" sqref="U7"/>
    </sheetView>
  </sheetViews>
  <sheetFormatPr defaultRowHeight="18.75" x14ac:dyDescent="0.4"/>
  <cols>
    <col min="1" max="1" width="10" bestFit="1" customWidth="1"/>
    <col min="2" max="2" width="6.25" bestFit="1" customWidth="1"/>
    <col min="3" max="3" width="8.625" bestFit="1" customWidth="1"/>
    <col min="4" max="4" width="7.875" bestFit="1" customWidth="1"/>
    <col min="5" max="5" width="9.625" bestFit="1" customWidth="1"/>
    <col min="6" max="6" width="8.625" bestFit="1" customWidth="1"/>
    <col min="7" max="7" width="7.875" bestFit="1" customWidth="1"/>
    <col min="9" max="10" width="8.625" bestFit="1" customWidth="1"/>
    <col min="12" max="12" width="7.625" bestFit="1" customWidth="1"/>
    <col min="13" max="13" width="25.75" bestFit="1" customWidth="1"/>
    <col min="14" max="14" width="25" bestFit="1" customWidth="1"/>
    <col min="15" max="15" width="12.5" bestFit="1" customWidth="1"/>
    <col min="16" max="16" width="18.5" bestFit="1" customWidth="1"/>
    <col min="17" max="17" width="15.5" bestFit="1" customWidth="1"/>
  </cols>
  <sheetData>
    <row r="1" spans="1:1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">
      <c r="A2" cm="1">
        <f t="array" ref="A2:Q32">_xlfn._xlws.FILTER('8月全国の電力取引データ'!A2:Q1489,'8月全国の電力取引データ'!B2:B1489='8月全国の電力取引データ'!B32,"")</f>
        <v>20210801</v>
      </c>
      <c r="B2" s="1">
        <v>0.625</v>
      </c>
      <c r="C2">
        <v>144934</v>
      </c>
      <c r="D2">
        <v>67029</v>
      </c>
      <c r="E2">
        <v>275797</v>
      </c>
      <c r="F2">
        <v>121998</v>
      </c>
      <c r="G2">
        <v>67898</v>
      </c>
      <c r="H2">
        <v>16578</v>
      </c>
      <c r="I2">
        <v>385299</v>
      </c>
      <c r="J2">
        <v>-15578</v>
      </c>
      <c r="K2">
        <v>1027700</v>
      </c>
      <c r="L2">
        <v>-22998</v>
      </c>
      <c r="M2">
        <v>8.32</v>
      </c>
      <c r="N2">
        <v>2068657</v>
      </c>
      <c r="O2">
        <v>22026650</v>
      </c>
      <c r="P2" s="2">
        <v>9.391609709147783</v>
      </c>
      <c r="Q2" s="4">
        <v>18.326172799999998</v>
      </c>
    </row>
    <row r="3" spans="1:17" x14ac:dyDescent="0.4">
      <c r="A3">
        <v>20210802</v>
      </c>
      <c r="B3" s="1">
        <v>0.625</v>
      </c>
      <c r="C3">
        <v>-39758</v>
      </c>
      <c r="D3">
        <v>778623</v>
      </c>
      <c r="E3">
        <v>1367991</v>
      </c>
      <c r="F3">
        <v>342223</v>
      </c>
      <c r="G3">
        <v>57330</v>
      </c>
      <c r="H3">
        <v>141996</v>
      </c>
      <c r="I3">
        <v>181092</v>
      </c>
      <c r="J3">
        <v>-29828</v>
      </c>
      <c r="K3">
        <v>51411</v>
      </c>
      <c r="L3">
        <v>-54138</v>
      </c>
      <c r="M3">
        <v>15.01</v>
      </c>
      <c r="N3">
        <v>2796942</v>
      </c>
      <c r="O3">
        <v>24518200</v>
      </c>
      <c r="P3" s="2">
        <v>11.407615567211296</v>
      </c>
      <c r="Q3" s="4">
        <v>36.8018182</v>
      </c>
    </row>
    <row r="4" spans="1:17" x14ac:dyDescent="0.4">
      <c r="A4">
        <v>20210803</v>
      </c>
      <c r="B4" s="1">
        <v>0.625</v>
      </c>
      <c r="C4">
        <v>126607</v>
      </c>
      <c r="D4">
        <v>172626</v>
      </c>
      <c r="E4">
        <v>307710</v>
      </c>
      <c r="F4">
        <v>9565</v>
      </c>
      <c r="G4">
        <v>9606</v>
      </c>
      <c r="H4">
        <v>88818</v>
      </c>
      <c r="I4">
        <v>184290</v>
      </c>
      <c r="J4">
        <v>-57265</v>
      </c>
      <c r="K4">
        <v>164065</v>
      </c>
      <c r="L4">
        <v>-77414</v>
      </c>
      <c r="M4">
        <v>11.03</v>
      </c>
      <c r="N4">
        <v>928608</v>
      </c>
      <c r="O4">
        <v>24928800</v>
      </c>
      <c r="P4" s="2">
        <v>3.7250409165302782</v>
      </c>
      <c r="Q4" s="4">
        <v>27.496466399999999</v>
      </c>
    </row>
    <row r="5" spans="1:17" x14ac:dyDescent="0.4">
      <c r="A5">
        <v>20210804</v>
      </c>
      <c r="B5" s="1">
        <v>0.625</v>
      </c>
      <c r="C5">
        <v>-108559</v>
      </c>
      <c r="D5">
        <v>-27713</v>
      </c>
      <c r="E5">
        <v>-47008</v>
      </c>
      <c r="F5">
        <v>225138</v>
      </c>
      <c r="G5">
        <v>57715</v>
      </c>
      <c r="H5">
        <v>129891</v>
      </c>
      <c r="I5">
        <v>121668</v>
      </c>
      <c r="J5">
        <v>27201</v>
      </c>
      <c r="K5">
        <v>338376</v>
      </c>
      <c r="L5">
        <v>-25831</v>
      </c>
      <c r="M5">
        <v>14.81</v>
      </c>
      <c r="N5">
        <v>690878</v>
      </c>
      <c r="O5">
        <v>25873400</v>
      </c>
      <c r="P5" s="2">
        <v>2.6702250187451204</v>
      </c>
      <c r="Q5" s="4">
        <v>38.318505399999999</v>
      </c>
    </row>
    <row r="6" spans="1:17" x14ac:dyDescent="0.4">
      <c r="A6">
        <v>20210805</v>
      </c>
      <c r="B6" s="1">
        <v>0.625</v>
      </c>
      <c r="C6">
        <v>-50290</v>
      </c>
      <c r="D6">
        <v>-89920</v>
      </c>
      <c r="E6">
        <v>193055</v>
      </c>
      <c r="F6">
        <v>407945</v>
      </c>
      <c r="G6">
        <v>77977</v>
      </c>
      <c r="H6">
        <v>92491</v>
      </c>
      <c r="I6">
        <v>62713</v>
      </c>
      <c r="J6">
        <v>-736</v>
      </c>
      <c r="K6">
        <v>222233</v>
      </c>
      <c r="L6">
        <v>42219</v>
      </c>
      <c r="M6">
        <v>14.16</v>
      </c>
      <c r="N6">
        <v>957687</v>
      </c>
      <c r="O6">
        <v>26498200</v>
      </c>
      <c r="P6" s="2">
        <v>3.6141586975719107</v>
      </c>
      <c r="Q6" s="4">
        <v>37.521451200000001</v>
      </c>
    </row>
    <row r="7" spans="1:17" x14ac:dyDescent="0.4">
      <c r="A7">
        <v>20210806</v>
      </c>
      <c r="B7" s="1">
        <v>0.625</v>
      </c>
      <c r="C7">
        <v>-56636</v>
      </c>
      <c r="D7">
        <v>485879</v>
      </c>
      <c r="E7">
        <v>429013</v>
      </c>
      <c r="F7">
        <v>521180</v>
      </c>
      <c r="G7">
        <v>33845</v>
      </c>
      <c r="H7">
        <v>86585</v>
      </c>
      <c r="I7">
        <v>72175</v>
      </c>
      <c r="J7">
        <v>-132784</v>
      </c>
      <c r="K7">
        <v>600378</v>
      </c>
      <c r="L7">
        <v>-5134</v>
      </c>
      <c r="M7">
        <v>14.81</v>
      </c>
      <c r="N7">
        <v>2034501</v>
      </c>
      <c r="O7">
        <v>25795350</v>
      </c>
      <c r="P7" s="2">
        <v>7.8870843000773396</v>
      </c>
      <c r="Q7" s="4">
        <v>38.202913350000003</v>
      </c>
    </row>
    <row r="8" spans="1:17" x14ac:dyDescent="0.4">
      <c r="A8">
        <v>20210807</v>
      </c>
      <c r="B8" s="1">
        <v>0.625</v>
      </c>
      <c r="C8">
        <v>107681</v>
      </c>
      <c r="D8">
        <v>472919</v>
      </c>
      <c r="E8">
        <v>1131797</v>
      </c>
      <c r="F8">
        <v>418803</v>
      </c>
      <c r="G8">
        <v>135466</v>
      </c>
      <c r="H8">
        <v>101155</v>
      </c>
      <c r="I8">
        <v>353784</v>
      </c>
      <c r="J8">
        <v>43736</v>
      </c>
      <c r="K8">
        <v>-208370</v>
      </c>
      <c r="L8">
        <v>-18837</v>
      </c>
      <c r="M8">
        <v>10.19</v>
      </c>
      <c r="N8">
        <v>2538134</v>
      </c>
      <c r="O8">
        <v>22065600</v>
      </c>
      <c r="P8" s="2">
        <v>11.502673845261402</v>
      </c>
      <c r="Q8" s="4">
        <v>22.484846399999999</v>
      </c>
    </row>
    <row r="9" spans="1:17" x14ac:dyDescent="0.4">
      <c r="A9">
        <v>20210808</v>
      </c>
      <c r="B9" s="1">
        <v>0.625</v>
      </c>
      <c r="C9">
        <v>148125</v>
      </c>
      <c r="D9">
        <v>398289</v>
      </c>
      <c r="E9">
        <v>94817</v>
      </c>
      <c r="F9">
        <v>279765</v>
      </c>
      <c r="G9">
        <v>46058</v>
      </c>
      <c r="H9">
        <v>228514</v>
      </c>
      <c r="I9">
        <v>-128077</v>
      </c>
      <c r="J9">
        <v>-6434</v>
      </c>
      <c r="K9">
        <v>-132840</v>
      </c>
      <c r="L9">
        <v>-21044</v>
      </c>
      <c r="M9">
        <v>10.01</v>
      </c>
      <c r="N9">
        <v>907173</v>
      </c>
      <c r="O9">
        <v>22316000</v>
      </c>
      <c r="P9" s="2">
        <v>4.0651236780785087</v>
      </c>
      <c r="Q9" s="4">
        <v>22.338315999999999</v>
      </c>
    </row>
    <row r="10" spans="1:17" x14ac:dyDescent="0.4">
      <c r="A10">
        <v>20210809</v>
      </c>
      <c r="B10" s="1">
        <v>0.625</v>
      </c>
      <c r="C10">
        <v>97944</v>
      </c>
      <c r="D10">
        <v>320924</v>
      </c>
      <c r="E10">
        <v>778041</v>
      </c>
      <c r="F10">
        <v>850594</v>
      </c>
      <c r="G10">
        <v>3735</v>
      </c>
      <c r="H10">
        <v>1254716</v>
      </c>
      <c r="I10">
        <v>106531</v>
      </c>
      <c r="J10">
        <v>-182146</v>
      </c>
      <c r="K10">
        <v>584592</v>
      </c>
      <c r="L10">
        <v>-6832</v>
      </c>
      <c r="M10">
        <v>10.55</v>
      </c>
      <c r="N10">
        <v>3808099</v>
      </c>
      <c r="O10">
        <v>22549400</v>
      </c>
      <c r="P10" s="2">
        <v>16.887806327441083</v>
      </c>
      <c r="Q10" s="4">
        <v>23.789617000000003</v>
      </c>
    </row>
    <row r="11" spans="1:17" x14ac:dyDescent="0.4">
      <c r="A11">
        <v>20210810</v>
      </c>
      <c r="B11" s="1">
        <v>0.625</v>
      </c>
      <c r="C11">
        <v>100094</v>
      </c>
      <c r="D11">
        <v>909820</v>
      </c>
      <c r="E11">
        <v>1672918</v>
      </c>
      <c r="F11">
        <v>504819</v>
      </c>
      <c r="G11">
        <v>118031</v>
      </c>
      <c r="H11">
        <v>884326</v>
      </c>
      <c r="I11">
        <v>235765</v>
      </c>
      <c r="J11">
        <v>140497</v>
      </c>
      <c r="K11">
        <v>-482209</v>
      </c>
      <c r="L11">
        <v>-38443</v>
      </c>
      <c r="M11">
        <v>10.220000000000001</v>
      </c>
      <c r="N11">
        <v>4045618</v>
      </c>
      <c r="O11">
        <v>25238100</v>
      </c>
      <c r="P11" s="2">
        <v>16.029804145319972</v>
      </c>
      <c r="Q11" s="4">
        <v>25.793338200000004</v>
      </c>
    </row>
    <row r="12" spans="1:17" x14ac:dyDescent="0.4">
      <c r="A12">
        <v>20210811</v>
      </c>
      <c r="B12" s="1">
        <v>0.625</v>
      </c>
      <c r="C12">
        <v>369199</v>
      </c>
      <c r="D12">
        <v>167902</v>
      </c>
      <c r="E12">
        <v>1965848</v>
      </c>
      <c r="F12">
        <v>409375</v>
      </c>
      <c r="G12">
        <v>64461</v>
      </c>
      <c r="H12">
        <v>838131</v>
      </c>
      <c r="I12">
        <v>-240053</v>
      </c>
      <c r="J12">
        <v>-112019</v>
      </c>
      <c r="K12">
        <v>78681</v>
      </c>
      <c r="L12">
        <v>-18617</v>
      </c>
      <c r="M12">
        <v>11.71</v>
      </c>
      <c r="N12">
        <v>3522908</v>
      </c>
      <c r="O12">
        <v>24169650</v>
      </c>
      <c r="P12" s="2">
        <v>14.575750993498044</v>
      </c>
      <c r="Q12" s="4">
        <v>28.302660150000001</v>
      </c>
    </row>
    <row r="13" spans="1:17" x14ac:dyDescent="0.4">
      <c r="A13">
        <v>20210812</v>
      </c>
      <c r="B13" s="1">
        <v>0.625</v>
      </c>
      <c r="C13">
        <v>281225</v>
      </c>
      <c r="D13">
        <v>207495</v>
      </c>
      <c r="E13">
        <v>1924921</v>
      </c>
      <c r="F13">
        <v>326654</v>
      </c>
      <c r="G13">
        <v>78506</v>
      </c>
      <c r="H13">
        <v>774407</v>
      </c>
      <c r="I13">
        <v>172617</v>
      </c>
      <c r="J13">
        <v>22821</v>
      </c>
      <c r="K13">
        <v>224374</v>
      </c>
      <c r="L13">
        <v>-33483</v>
      </c>
      <c r="M13">
        <v>10.27</v>
      </c>
      <c r="N13">
        <v>3979537</v>
      </c>
      <c r="O13">
        <v>24366800</v>
      </c>
      <c r="P13" s="2">
        <v>16.331799825992743</v>
      </c>
      <c r="Q13" s="4">
        <v>25.024703599999999</v>
      </c>
    </row>
    <row r="14" spans="1:17" x14ac:dyDescent="0.4">
      <c r="A14">
        <v>20210813</v>
      </c>
      <c r="B14" s="1">
        <v>0.625</v>
      </c>
      <c r="C14">
        <v>224352</v>
      </c>
      <c r="D14">
        <v>264942</v>
      </c>
      <c r="E14">
        <v>1860897</v>
      </c>
      <c r="F14">
        <v>259431</v>
      </c>
      <c r="G14">
        <v>141006</v>
      </c>
      <c r="H14">
        <v>616646</v>
      </c>
      <c r="I14">
        <v>-141514</v>
      </c>
      <c r="J14">
        <v>5496</v>
      </c>
      <c r="K14">
        <v>330961</v>
      </c>
      <c r="L14">
        <v>43876</v>
      </c>
      <c r="M14">
        <v>8.86</v>
      </c>
      <c r="N14">
        <v>3606093</v>
      </c>
      <c r="O14">
        <v>22531350</v>
      </c>
      <c r="P14" s="2">
        <v>16.004780006524243</v>
      </c>
      <c r="Q14" s="4">
        <v>19.962776099999999</v>
      </c>
    </row>
    <row r="15" spans="1:17" x14ac:dyDescent="0.4">
      <c r="A15">
        <v>20210814</v>
      </c>
      <c r="B15" s="1">
        <v>0.625</v>
      </c>
      <c r="C15">
        <v>146703</v>
      </c>
      <c r="D15">
        <v>354701</v>
      </c>
      <c r="E15">
        <v>1021838</v>
      </c>
      <c r="F15">
        <v>139669</v>
      </c>
      <c r="G15">
        <v>-78478</v>
      </c>
      <c r="H15">
        <v>-66862</v>
      </c>
      <c r="I15">
        <v>-8065</v>
      </c>
      <c r="J15">
        <v>-31540</v>
      </c>
      <c r="K15">
        <v>231490</v>
      </c>
      <c r="L15">
        <v>25307</v>
      </c>
      <c r="M15">
        <v>7.75</v>
      </c>
      <c r="N15">
        <v>1734763</v>
      </c>
      <c r="O15">
        <v>21073200</v>
      </c>
      <c r="P15" s="2">
        <v>8.232081506368278</v>
      </c>
      <c r="Q15" s="4">
        <v>16.33173</v>
      </c>
    </row>
    <row r="16" spans="1:17" x14ac:dyDescent="0.4">
      <c r="A16">
        <v>20210815</v>
      </c>
      <c r="B16" s="1">
        <v>0.625</v>
      </c>
      <c r="C16">
        <v>-84081</v>
      </c>
      <c r="D16">
        <v>362747</v>
      </c>
      <c r="E16">
        <v>1651918</v>
      </c>
      <c r="F16">
        <v>687597</v>
      </c>
      <c r="G16">
        <v>69997</v>
      </c>
      <c r="H16">
        <v>894378</v>
      </c>
      <c r="I16">
        <v>-96720</v>
      </c>
      <c r="J16">
        <v>48743</v>
      </c>
      <c r="K16">
        <v>372905</v>
      </c>
      <c r="L16">
        <v>44973</v>
      </c>
      <c r="M16">
        <v>7.23</v>
      </c>
      <c r="N16">
        <v>3952457</v>
      </c>
      <c r="O16">
        <v>21505150</v>
      </c>
      <c r="P16" s="2">
        <v>18.379118490222108</v>
      </c>
      <c r="Q16" s="4">
        <v>15.54822345</v>
      </c>
    </row>
    <row r="17" spans="1:17" x14ac:dyDescent="0.4">
      <c r="A17">
        <v>20210816</v>
      </c>
      <c r="B17" s="1">
        <v>0.625</v>
      </c>
      <c r="C17">
        <v>-55379</v>
      </c>
      <c r="D17">
        <v>-44103</v>
      </c>
      <c r="E17">
        <v>1312161</v>
      </c>
      <c r="F17">
        <v>565082</v>
      </c>
      <c r="G17">
        <v>112379</v>
      </c>
      <c r="H17">
        <v>217490</v>
      </c>
      <c r="I17">
        <v>144245</v>
      </c>
      <c r="J17">
        <v>-3068</v>
      </c>
      <c r="K17">
        <v>96196</v>
      </c>
      <c r="L17">
        <v>-19950</v>
      </c>
      <c r="M17">
        <v>9.1</v>
      </c>
      <c r="N17">
        <v>2325053</v>
      </c>
      <c r="O17">
        <v>22547100</v>
      </c>
      <c r="P17" s="2">
        <v>10.311982472246985</v>
      </c>
      <c r="Q17" s="4">
        <v>20.517861</v>
      </c>
    </row>
    <row r="18" spans="1:17" x14ac:dyDescent="0.4">
      <c r="A18">
        <v>20210817</v>
      </c>
      <c r="B18" s="1">
        <v>0.625</v>
      </c>
      <c r="C18">
        <v>-54467</v>
      </c>
      <c r="D18">
        <v>87684</v>
      </c>
      <c r="E18">
        <v>753725</v>
      </c>
      <c r="F18">
        <v>629294</v>
      </c>
      <c r="G18">
        <v>25831</v>
      </c>
      <c r="H18">
        <v>407000</v>
      </c>
      <c r="I18">
        <v>106848</v>
      </c>
      <c r="J18">
        <v>-37997</v>
      </c>
      <c r="K18">
        <v>268532</v>
      </c>
      <c r="L18">
        <v>-42691</v>
      </c>
      <c r="M18">
        <v>8.86</v>
      </c>
      <c r="N18">
        <v>2143759</v>
      </c>
      <c r="O18">
        <v>23080150</v>
      </c>
      <c r="P18" s="2">
        <v>9.2883235160949997</v>
      </c>
      <c r="Q18" s="4">
        <v>20.4490129</v>
      </c>
    </row>
    <row r="19" spans="1:17" x14ac:dyDescent="0.4">
      <c r="A19">
        <v>20210818</v>
      </c>
      <c r="B19" s="1">
        <v>0.625</v>
      </c>
      <c r="C19">
        <v>5182</v>
      </c>
      <c r="D19">
        <v>283685</v>
      </c>
      <c r="E19">
        <v>201434</v>
      </c>
      <c r="F19">
        <v>146511</v>
      </c>
      <c r="G19">
        <v>-40642</v>
      </c>
      <c r="H19">
        <v>723828</v>
      </c>
      <c r="I19">
        <v>142249</v>
      </c>
      <c r="J19">
        <v>-50771</v>
      </c>
      <c r="K19">
        <v>-330433</v>
      </c>
      <c r="L19">
        <v>2706</v>
      </c>
      <c r="M19">
        <v>8.41</v>
      </c>
      <c r="N19">
        <v>1083749</v>
      </c>
      <c r="O19">
        <v>23180350</v>
      </c>
      <c r="P19" s="2">
        <v>4.6752917880877556</v>
      </c>
      <c r="Q19" s="4">
        <v>19.49467435</v>
      </c>
    </row>
    <row r="20" spans="1:17" x14ac:dyDescent="0.4">
      <c r="A20">
        <v>20210819</v>
      </c>
      <c r="B20" s="1">
        <v>0.625</v>
      </c>
      <c r="C20">
        <v>114348</v>
      </c>
      <c r="D20">
        <v>117335</v>
      </c>
      <c r="E20">
        <v>-361145</v>
      </c>
      <c r="F20">
        <v>-296403</v>
      </c>
      <c r="G20">
        <v>77073</v>
      </c>
      <c r="H20">
        <v>492422</v>
      </c>
      <c r="I20">
        <v>78535</v>
      </c>
      <c r="J20">
        <v>-147802</v>
      </c>
      <c r="K20">
        <v>1059821</v>
      </c>
      <c r="L20">
        <v>24386</v>
      </c>
      <c r="M20">
        <v>9.2200000000000006</v>
      </c>
      <c r="N20">
        <v>1158570</v>
      </c>
      <c r="O20">
        <v>23774550</v>
      </c>
      <c r="P20" s="2">
        <v>4.8731521732272531</v>
      </c>
      <c r="Q20" s="4">
        <v>21.920135100000003</v>
      </c>
    </row>
    <row r="21" spans="1:17" x14ac:dyDescent="0.4">
      <c r="A21">
        <v>20210820</v>
      </c>
      <c r="B21" s="1">
        <v>0.625</v>
      </c>
      <c r="C21">
        <v>68020</v>
      </c>
      <c r="D21">
        <v>83546</v>
      </c>
      <c r="E21">
        <v>-120348</v>
      </c>
      <c r="F21">
        <v>-432924</v>
      </c>
      <c r="G21">
        <v>22144</v>
      </c>
      <c r="H21">
        <v>263756</v>
      </c>
      <c r="I21">
        <v>62684</v>
      </c>
      <c r="J21">
        <v>-268988</v>
      </c>
      <c r="K21">
        <v>402398</v>
      </c>
      <c r="L21">
        <v>961</v>
      </c>
      <c r="M21">
        <v>9.44</v>
      </c>
      <c r="N21">
        <v>81249</v>
      </c>
      <c r="O21">
        <v>23858400</v>
      </c>
      <c r="P21" s="2">
        <v>0.340546725681521</v>
      </c>
      <c r="Q21" s="4">
        <v>22.522329599999999</v>
      </c>
    </row>
    <row r="22" spans="1:17" x14ac:dyDescent="0.4">
      <c r="A22">
        <v>20210821</v>
      </c>
      <c r="B22" s="1">
        <v>0.625</v>
      </c>
      <c r="C22">
        <v>127872</v>
      </c>
      <c r="D22">
        <v>-50867</v>
      </c>
      <c r="E22">
        <v>-303076</v>
      </c>
      <c r="F22">
        <v>191741</v>
      </c>
      <c r="G22">
        <v>66008</v>
      </c>
      <c r="H22">
        <v>196796</v>
      </c>
      <c r="I22">
        <v>-10233</v>
      </c>
      <c r="J22">
        <v>-52469</v>
      </c>
      <c r="K22">
        <v>581931</v>
      </c>
      <c r="L22">
        <v>-1815</v>
      </c>
      <c r="M22">
        <v>8.39</v>
      </c>
      <c r="N22">
        <v>745888</v>
      </c>
      <c r="O22">
        <v>21239850</v>
      </c>
      <c r="P22" s="2">
        <v>3.5117385480594261</v>
      </c>
      <c r="Q22" s="4">
        <v>17.820234150000001</v>
      </c>
    </row>
    <row r="23" spans="1:17" x14ac:dyDescent="0.4">
      <c r="A23">
        <v>20210822</v>
      </c>
      <c r="B23" s="1">
        <v>0.625</v>
      </c>
      <c r="C23">
        <v>52833</v>
      </c>
      <c r="D23">
        <v>295508</v>
      </c>
      <c r="E23">
        <v>-615685</v>
      </c>
      <c r="F23">
        <v>-180699</v>
      </c>
      <c r="G23">
        <v>11506</v>
      </c>
      <c r="H23">
        <v>-153768</v>
      </c>
      <c r="I23">
        <v>-453199</v>
      </c>
      <c r="J23">
        <v>-194195</v>
      </c>
      <c r="K23">
        <v>-182684</v>
      </c>
      <c r="L23">
        <v>-41095</v>
      </c>
      <c r="M23">
        <v>7.08</v>
      </c>
      <c r="N23">
        <v>-1461478</v>
      </c>
      <c r="O23">
        <v>21529100</v>
      </c>
      <c r="P23" s="2">
        <v>-6.7883840940866085</v>
      </c>
      <c r="Q23" s="4">
        <v>15.2426028</v>
      </c>
    </row>
    <row r="24" spans="1:17" x14ac:dyDescent="0.4">
      <c r="A24">
        <v>20210823</v>
      </c>
      <c r="B24" s="1">
        <v>0.625</v>
      </c>
      <c r="C24">
        <v>-70410</v>
      </c>
      <c r="D24">
        <v>367388</v>
      </c>
      <c r="E24">
        <v>1436817</v>
      </c>
      <c r="F24">
        <v>271646</v>
      </c>
      <c r="G24">
        <v>42099</v>
      </c>
      <c r="H24">
        <v>6355</v>
      </c>
      <c r="I24">
        <v>298893</v>
      </c>
      <c r="J24">
        <v>57347</v>
      </c>
      <c r="K24">
        <v>208109</v>
      </c>
      <c r="L24">
        <v>-61502</v>
      </c>
      <c r="M24">
        <v>9.6300000000000008</v>
      </c>
      <c r="N24">
        <v>2556742</v>
      </c>
      <c r="O24">
        <v>23263300</v>
      </c>
      <c r="P24" s="2">
        <v>10.99045277325229</v>
      </c>
      <c r="Q24" s="4">
        <v>22.402557900000001</v>
      </c>
    </row>
    <row r="25" spans="1:17" x14ac:dyDescent="0.4">
      <c r="A25">
        <v>20210824</v>
      </c>
      <c r="B25" s="1">
        <v>0.625</v>
      </c>
      <c r="C25">
        <v>97684</v>
      </c>
      <c r="D25">
        <v>97837</v>
      </c>
      <c r="E25">
        <v>-282466</v>
      </c>
      <c r="F25">
        <v>390286</v>
      </c>
      <c r="G25">
        <v>8027</v>
      </c>
      <c r="H25">
        <v>144300</v>
      </c>
      <c r="I25">
        <v>-110846</v>
      </c>
      <c r="J25">
        <v>-58885</v>
      </c>
      <c r="K25">
        <v>406839</v>
      </c>
      <c r="L25">
        <v>16506</v>
      </c>
      <c r="M25">
        <v>10.32</v>
      </c>
      <c r="N25">
        <v>709282</v>
      </c>
      <c r="O25">
        <v>22973550</v>
      </c>
      <c r="P25" s="2">
        <v>3.0873852756757225</v>
      </c>
      <c r="Q25" s="4">
        <v>23.7087036</v>
      </c>
    </row>
    <row r="26" spans="1:17" x14ac:dyDescent="0.4">
      <c r="A26">
        <v>20210825</v>
      </c>
      <c r="B26" s="1">
        <v>0.625</v>
      </c>
      <c r="C26">
        <v>37487</v>
      </c>
      <c r="D26">
        <v>155089</v>
      </c>
      <c r="E26">
        <v>-1188684</v>
      </c>
      <c r="F26">
        <v>-382732</v>
      </c>
      <c r="G26">
        <v>-11047</v>
      </c>
      <c r="H26">
        <v>-57553</v>
      </c>
      <c r="I26">
        <v>233177</v>
      </c>
      <c r="J26">
        <v>-34285</v>
      </c>
      <c r="K26">
        <v>376442</v>
      </c>
      <c r="L26">
        <v>-111</v>
      </c>
      <c r="M26">
        <v>10.06</v>
      </c>
      <c r="N26">
        <v>-872217</v>
      </c>
      <c r="O26">
        <v>24028050</v>
      </c>
      <c r="P26" s="2">
        <v>-3.6299949434098897</v>
      </c>
      <c r="Q26" s="4">
        <v>24.172218300000001</v>
      </c>
    </row>
    <row r="27" spans="1:17" x14ac:dyDescent="0.4">
      <c r="A27">
        <v>20210826</v>
      </c>
      <c r="B27" s="1">
        <v>0.625</v>
      </c>
      <c r="C27">
        <v>62152</v>
      </c>
      <c r="D27">
        <v>-31991</v>
      </c>
      <c r="E27">
        <v>-730290</v>
      </c>
      <c r="F27">
        <v>-609869</v>
      </c>
      <c r="G27">
        <v>-34956</v>
      </c>
      <c r="H27">
        <v>235913</v>
      </c>
      <c r="I27">
        <v>135624</v>
      </c>
      <c r="J27">
        <v>-195343</v>
      </c>
      <c r="K27">
        <v>-347826</v>
      </c>
      <c r="L27">
        <v>-13568</v>
      </c>
      <c r="M27">
        <v>10.74</v>
      </c>
      <c r="N27">
        <v>-1530154</v>
      </c>
      <c r="O27">
        <v>24465950</v>
      </c>
      <c r="P27" s="2">
        <v>-6.2542186181202855</v>
      </c>
      <c r="Q27" s="4">
        <v>26.276430300000001</v>
      </c>
    </row>
    <row r="28" spans="1:17" x14ac:dyDescent="0.4">
      <c r="A28">
        <v>20210827</v>
      </c>
      <c r="B28" s="1">
        <v>0.625</v>
      </c>
      <c r="C28">
        <v>-14956</v>
      </c>
      <c r="D28">
        <v>517949</v>
      </c>
      <c r="E28">
        <v>-354431</v>
      </c>
      <c r="F28">
        <v>210969</v>
      </c>
      <c r="G28">
        <v>77176</v>
      </c>
      <c r="H28">
        <v>462849</v>
      </c>
      <c r="I28">
        <v>-112952</v>
      </c>
      <c r="J28">
        <v>-42432</v>
      </c>
      <c r="K28">
        <v>431163</v>
      </c>
      <c r="L28">
        <v>-614</v>
      </c>
      <c r="M28">
        <v>10.74</v>
      </c>
      <c r="N28">
        <v>1174721</v>
      </c>
      <c r="O28">
        <v>24130400</v>
      </c>
      <c r="P28" s="2">
        <v>4.8682201704074526</v>
      </c>
      <c r="Q28" s="4">
        <v>25.916049600000001</v>
      </c>
    </row>
    <row r="29" spans="1:17" x14ac:dyDescent="0.4">
      <c r="A29">
        <v>20210828</v>
      </c>
      <c r="B29" s="1">
        <v>0.625</v>
      </c>
      <c r="C29">
        <v>-2935</v>
      </c>
      <c r="D29">
        <v>330076</v>
      </c>
      <c r="E29">
        <v>-694954</v>
      </c>
      <c r="F29">
        <v>69171</v>
      </c>
      <c r="G29">
        <v>-8487</v>
      </c>
      <c r="H29">
        <v>295705</v>
      </c>
      <c r="I29">
        <v>41585</v>
      </c>
      <c r="J29">
        <v>65725</v>
      </c>
      <c r="K29">
        <v>230206</v>
      </c>
      <c r="L29">
        <v>9657</v>
      </c>
      <c r="M29">
        <v>8.8800000000000008</v>
      </c>
      <c r="N29">
        <v>335749</v>
      </c>
      <c r="O29">
        <v>21328100</v>
      </c>
      <c r="P29" s="2">
        <v>1.5742096107951482</v>
      </c>
      <c r="Q29" s="4">
        <v>18.939352800000002</v>
      </c>
    </row>
    <row r="30" spans="1:17" x14ac:dyDescent="0.4">
      <c r="A30">
        <v>20210829</v>
      </c>
      <c r="B30" s="1">
        <v>0.625</v>
      </c>
      <c r="C30">
        <v>9174</v>
      </c>
      <c r="D30">
        <v>349582</v>
      </c>
      <c r="E30">
        <v>406235</v>
      </c>
      <c r="F30">
        <v>-32321</v>
      </c>
      <c r="G30">
        <v>5981</v>
      </c>
      <c r="H30">
        <v>325362</v>
      </c>
      <c r="I30">
        <v>218275</v>
      </c>
      <c r="J30">
        <v>-50087</v>
      </c>
      <c r="K30">
        <v>82377</v>
      </c>
      <c r="L30">
        <v>38817</v>
      </c>
      <c r="M30">
        <v>7.15</v>
      </c>
      <c r="N30">
        <v>1353395</v>
      </c>
      <c r="O30">
        <v>21006600</v>
      </c>
      <c r="P30" s="2">
        <v>6.4427132425047366</v>
      </c>
      <c r="Q30" s="4">
        <v>15.019719</v>
      </c>
    </row>
    <row r="31" spans="1:17" x14ac:dyDescent="0.4">
      <c r="A31">
        <v>20210830</v>
      </c>
      <c r="B31" s="1">
        <v>0.625</v>
      </c>
      <c r="C31">
        <v>40501</v>
      </c>
      <c r="D31">
        <v>278149</v>
      </c>
      <c r="E31">
        <v>-632329</v>
      </c>
      <c r="F31">
        <v>-178825</v>
      </c>
      <c r="G31">
        <v>31175</v>
      </c>
      <c r="H31">
        <v>202518</v>
      </c>
      <c r="I31">
        <v>56364</v>
      </c>
      <c r="J31">
        <v>-51522</v>
      </c>
      <c r="K31">
        <v>8559</v>
      </c>
      <c r="L31">
        <v>-2819</v>
      </c>
      <c r="M31">
        <v>10.84</v>
      </c>
      <c r="N31">
        <v>-248229</v>
      </c>
      <c r="O31">
        <v>24509150</v>
      </c>
      <c r="P31" s="2">
        <v>-1.0128013415397923</v>
      </c>
      <c r="Q31" s="4">
        <v>26.567918599999999</v>
      </c>
    </row>
    <row r="32" spans="1:17" x14ac:dyDescent="0.4">
      <c r="A32">
        <v>20210831</v>
      </c>
      <c r="B32" s="1">
        <v>0.625</v>
      </c>
      <c r="C32">
        <v>105601</v>
      </c>
      <c r="D32">
        <v>494220</v>
      </c>
      <c r="E32">
        <v>1446783</v>
      </c>
      <c r="F32">
        <v>582871</v>
      </c>
      <c r="G32">
        <v>58492</v>
      </c>
      <c r="H32">
        <v>281805</v>
      </c>
      <c r="I32">
        <v>133379</v>
      </c>
      <c r="J32">
        <v>-97917</v>
      </c>
      <c r="K32">
        <v>357278</v>
      </c>
      <c r="L32">
        <v>-9743</v>
      </c>
      <c r="M32">
        <v>10.32</v>
      </c>
      <c r="N32">
        <v>3352769</v>
      </c>
      <c r="O32">
        <v>23801200</v>
      </c>
      <c r="P32" s="2">
        <v>14.08655445943902</v>
      </c>
      <c r="Q32" s="4">
        <v>24.5628384</v>
      </c>
    </row>
    <row r="34" spans="16:17" x14ac:dyDescent="0.4">
      <c r="P34" s="2">
        <f>MIN(P2:P32)</f>
        <v>-6.7883840940866085</v>
      </c>
      <c r="Q34">
        <f>COUNTIF(P2:P32,"&lt;0")</f>
        <v>4</v>
      </c>
    </row>
    <row r="35" spans="16:17" x14ac:dyDescent="0.4">
      <c r="P35" s="2">
        <f>MAX(P2:P32)</f>
        <v>18.379118490222108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8月全国の電力取引データ</vt:lpstr>
      <vt:lpstr>抽出(不足のみ)</vt:lpstr>
      <vt:lpstr>抽出(余剰のみ)</vt:lpstr>
      <vt:lpstr>抽出(18時30分)</vt:lpstr>
      <vt:lpstr>抽出(15時00分)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</dc:creator>
  <cp:lastModifiedBy>hidet</cp:lastModifiedBy>
  <dcterms:created xsi:type="dcterms:W3CDTF">2021-11-20T06:43:07Z</dcterms:created>
  <dcterms:modified xsi:type="dcterms:W3CDTF">2021-11-29T06:39:00Z</dcterms:modified>
</cp:coreProperties>
</file>