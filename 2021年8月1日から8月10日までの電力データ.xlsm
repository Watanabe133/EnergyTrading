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マイドライブ\TUS\BLOCKCHAIN\研究\研究\"/>
    </mc:Choice>
  </mc:AlternateContent>
  <xr:revisionPtr revIDLastSave="0" documentId="13_ncr:1_{A12DB812-5A77-41B5-AB68-662773613C98}" xr6:coauthVersionLast="47" xr6:coauthVersionMax="47" xr10:uidLastSave="{00000000-0000-0000-0000-000000000000}"/>
  <bookViews>
    <workbookView xWindow="-120" yWindow="-120" windowWidth="29040" windowHeight="16440" activeTab="4" xr2:uid="{DB254090-C126-4D82-84F6-22EC1EFE686A}"/>
  </bookViews>
  <sheets>
    <sheet name="8月1日~8月10日の全国の取引状況" sheetId="1" r:id="rId1"/>
    <sheet name="抽出(不足のみ)" sheetId="2" r:id="rId2"/>
    <sheet name="抽出(余剰のみ)" sheetId="3" r:id="rId3"/>
    <sheet name="抽出(18時0分と10時0分のみ)" sheetId="4" r:id="rId4"/>
    <sheet name="測定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4" i="5" l="1"/>
  <c r="U2" i="1"/>
  <c r="U1" i="1"/>
  <c r="C3" i="5"/>
  <c r="M13" i="5"/>
  <c r="N13" i="5"/>
  <c r="A15" i="4" a="1"/>
  <c r="A15" i="4" s="1"/>
  <c r="T10" i="5"/>
  <c r="T11" i="5"/>
  <c r="T9" i="5"/>
  <c r="T5" i="5"/>
  <c r="T6" i="5"/>
  <c r="T7" i="5"/>
  <c r="T8" i="5"/>
  <c r="T12" i="5"/>
  <c r="T13" i="5"/>
  <c r="T4" i="5"/>
  <c r="S5" i="5"/>
  <c r="S6" i="5"/>
  <c r="S7" i="5"/>
  <c r="S8" i="5"/>
  <c r="S9" i="5"/>
  <c r="S10" i="5"/>
  <c r="S11" i="5"/>
  <c r="S12" i="5"/>
  <c r="S13" i="5"/>
  <c r="S4" i="5"/>
  <c r="Q6" i="5"/>
  <c r="Q7" i="5"/>
  <c r="Q8" i="5"/>
  <c r="Q9" i="5"/>
  <c r="Q10" i="5" s="1"/>
  <c r="Q11" i="5" s="1"/>
  <c r="Q12" i="5" s="1"/>
  <c r="Q13" i="5" s="1"/>
  <c r="Q5" i="5"/>
  <c r="Q4" i="5"/>
  <c r="T3" i="4"/>
  <c r="T4" i="4"/>
  <c r="T5" i="4"/>
  <c r="T6" i="4"/>
  <c r="T7" i="4"/>
  <c r="T8" i="4"/>
  <c r="T9" i="4"/>
  <c r="T10" i="4"/>
  <c r="T11" i="4"/>
  <c r="T2" i="4"/>
  <c r="B371" i="3" a="1"/>
  <c r="B371" i="3" s="1"/>
  <c r="B117" i="2" a="1"/>
  <c r="B117" i="2" s="1"/>
  <c r="A2" i="4" a="1"/>
  <c r="A2" i="4" s="1"/>
  <c r="A2" i="3" a="1"/>
  <c r="A2" i="3" s="1"/>
  <c r="A2" i="2" a="1"/>
  <c r="A2" i="2" s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2" i="1"/>
  <c r="R160" i="1"/>
  <c r="N146" i="1"/>
  <c r="N147" i="1"/>
  <c r="N148" i="1"/>
  <c r="Q148" i="1" s="1"/>
  <c r="N149" i="1"/>
  <c r="Q149" i="1" s="1"/>
  <c r="N150" i="1"/>
  <c r="N151" i="1"/>
  <c r="Q151" i="1" s="1"/>
  <c r="N152" i="1"/>
  <c r="N153" i="1"/>
  <c r="N154" i="1"/>
  <c r="N155" i="1"/>
  <c r="N156" i="1"/>
  <c r="N157" i="1"/>
  <c r="N158" i="1"/>
  <c r="N159" i="1"/>
  <c r="Q159" i="1" s="1"/>
  <c r="N160" i="1"/>
  <c r="Q160" i="1" s="1"/>
  <c r="N161" i="1"/>
  <c r="Q161" i="1" s="1"/>
  <c r="N162" i="1"/>
  <c r="N163" i="1"/>
  <c r="Q163" i="1" s="1"/>
  <c r="N164" i="1"/>
  <c r="N165" i="1"/>
  <c r="N166" i="1"/>
  <c r="N167" i="1"/>
  <c r="N168" i="1"/>
  <c r="N169" i="1"/>
  <c r="N170" i="1"/>
  <c r="N171" i="1"/>
  <c r="N172" i="1"/>
  <c r="Q172" i="1" s="1"/>
  <c r="N173" i="1"/>
  <c r="Q173" i="1" s="1"/>
  <c r="N174" i="1"/>
  <c r="N175" i="1"/>
  <c r="Q175" i="1" s="1"/>
  <c r="N176" i="1"/>
  <c r="N177" i="1"/>
  <c r="N178" i="1"/>
  <c r="N179" i="1"/>
  <c r="N180" i="1"/>
  <c r="N181" i="1"/>
  <c r="N182" i="1"/>
  <c r="N183" i="1"/>
  <c r="Q183" i="1" s="1"/>
  <c r="N184" i="1"/>
  <c r="Q184" i="1" s="1"/>
  <c r="N185" i="1"/>
  <c r="Q185" i="1" s="1"/>
  <c r="N186" i="1"/>
  <c r="N187" i="1"/>
  <c r="Q187" i="1" s="1"/>
  <c r="N188" i="1"/>
  <c r="N189" i="1"/>
  <c r="N190" i="1"/>
  <c r="N191" i="1"/>
  <c r="Q191" i="1" s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Q207" i="1" s="1"/>
  <c r="N208" i="1"/>
  <c r="Q208" i="1" s="1"/>
  <c r="N209" i="1"/>
  <c r="Q209" i="1" s="1"/>
  <c r="N210" i="1"/>
  <c r="N211" i="1"/>
  <c r="N212" i="1"/>
  <c r="N213" i="1"/>
  <c r="N214" i="1"/>
  <c r="N215" i="1"/>
  <c r="Q215" i="1" s="1"/>
  <c r="N216" i="1"/>
  <c r="N217" i="1"/>
  <c r="N218" i="1"/>
  <c r="N219" i="1"/>
  <c r="N220" i="1"/>
  <c r="Q220" i="1" s="1"/>
  <c r="N221" i="1"/>
  <c r="Q221" i="1" s="1"/>
  <c r="N222" i="1"/>
  <c r="N223" i="1"/>
  <c r="N224" i="1"/>
  <c r="N225" i="1"/>
  <c r="N226" i="1"/>
  <c r="N227" i="1"/>
  <c r="N228" i="1"/>
  <c r="N229" i="1"/>
  <c r="N230" i="1"/>
  <c r="N231" i="1"/>
  <c r="Q231" i="1" s="1"/>
  <c r="N232" i="1"/>
  <c r="Q232" i="1" s="1"/>
  <c r="N233" i="1"/>
  <c r="Q233" i="1" s="1"/>
  <c r="N234" i="1"/>
  <c r="N235" i="1"/>
  <c r="N236" i="1"/>
  <c r="N237" i="1"/>
  <c r="N238" i="1"/>
  <c r="Q238" i="1" s="1"/>
  <c r="N239" i="1"/>
  <c r="N240" i="1"/>
  <c r="N241" i="1"/>
  <c r="N242" i="1"/>
  <c r="N243" i="1"/>
  <c r="Q243" i="1" s="1"/>
  <c r="N244" i="1"/>
  <c r="Q244" i="1" s="1"/>
  <c r="N245" i="1"/>
  <c r="Q245" i="1" s="1"/>
  <c r="N246" i="1"/>
  <c r="N247" i="1"/>
  <c r="Q247" i="1" s="1"/>
  <c r="N248" i="1"/>
  <c r="N249" i="1"/>
  <c r="N250" i="1"/>
  <c r="N251" i="1"/>
  <c r="N252" i="1"/>
  <c r="N253" i="1"/>
  <c r="N254" i="1"/>
  <c r="N255" i="1"/>
  <c r="Q255" i="1" s="1"/>
  <c r="N256" i="1"/>
  <c r="N257" i="1"/>
  <c r="Q257" i="1" s="1"/>
  <c r="N258" i="1"/>
  <c r="N259" i="1"/>
  <c r="N260" i="1"/>
  <c r="N261" i="1"/>
  <c r="N262" i="1"/>
  <c r="N263" i="1"/>
  <c r="N264" i="1"/>
  <c r="N265" i="1"/>
  <c r="N266" i="1"/>
  <c r="N267" i="1"/>
  <c r="Q267" i="1" s="1"/>
  <c r="N268" i="1"/>
  <c r="Q268" i="1" s="1"/>
  <c r="N269" i="1"/>
  <c r="N270" i="1"/>
  <c r="N271" i="1"/>
  <c r="Q271" i="1" s="1"/>
  <c r="N272" i="1"/>
  <c r="N273" i="1"/>
  <c r="N274" i="1"/>
  <c r="N275" i="1"/>
  <c r="N276" i="1"/>
  <c r="N277" i="1"/>
  <c r="N278" i="1"/>
  <c r="N279" i="1"/>
  <c r="Q279" i="1" s="1"/>
  <c r="N280" i="1"/>
  <c r="N281" i="1"/>
  <c r="Q281" i="1" s="1"/>
  <c r="N282" i="1"/>
  <c r="N283" i="1"/>
  <c r="N284" i="1"/>
  <c r="N285" i="1"/>
  <c r="N286" i="1"/>
  <c r="N287" i="1"/>
  <c r="N288" i="1"/>
  <c r="N289" i="1"/>
  <c r="N290" i="1"/>
  <c r="N291" i="1"/>
  <c r="N292" i="1"/>
  <c r="Q292" i="1" s="1"/>
  <c r="N293" i="1"/>
  <c r="Q293" i="1" s="1"/>
  <c r="N294" i="1"/>
  <c r="N295" i="1"/>
  <c r="Q295" i="1" s="1"/>
  <c r="N296" i="1"/>
  <c r="N297" i="1"/>
  <c r="N298" i="1"/>
  <c r="N299" i="1"/>
  <c r="N300" i="1"/>
  <c r="N301" i="1"/>
  <c r="N302" i="1"/>
  <c r="N303" i="1"/>
  <c r="Q303" i="1" s="1"/>
  <c r="N304" i="1"/>
  <c r="Q304" i="1" s="1"/>
  <c r="N305" i="1"/>
  <c r="Q305" i="1" s="1"/>
  <c r="N306" i="1"/>
  <c r="N307" i="1"/>
  <c r="R307" i="1" s="1"/>
  <c r="N308" i="1"/>
  <c r="N309" i="1"/>
  <c r="N310" i="1"/>
  <c r="N311" i="1"/>
  <c r="N312" i="1"/>
  <c r="N313" i="1"/>
  <c r="N314" i="1"/>
  <c r="N315" i="1"/>
  <c r="Q315" i="1" s="1"/>
  <c r="N316" i="1"/>
  <c r="Q316" i="1" s="1"/>
  <c r="N317" i="1"/>
  <c r="Q317" i="1" s="1"/>
  <c r="N318" i="1"/>
  <c r="N319" i="1"/>
  <c r="Q319" i="1" s="1"/>
  <c r="N320" i="1"/>
  <c r="N321" i="1"/>
  <c r="N322" i="1"/>
  <c r="N323" i="1"/>
  <c r="N324" i="1"/>
  <c r="N325" i="1"/>
  <c r="N326" i="1"/>
  <c r="N327" i="1"/>
  <c r="Q327" i="1" s="1"/>
  <c r="N328" i="1"/>
  <c r="N329" i="1"/>
  <c r="Q329" i="1" s="1"/>
  <c r="N330" i="1"/>
  <c r="N331" i="1"/>
  <c r="Q331" i="1" s="1"/>
  <c r="N332" i="1"/>
  <c r="N333" i="1"/>
  <c r="N334" i="1"/>
  <c r="N335" i="1"/>
  <c r="Q335" i="1" s="1"/>
  <c r="N336" i="1"/>
  <c r="N337" i="1"/>
  <c r="N338" i="1"/>
  <c r="N339" i="1"/>
  <c r="Q339" i="1" s="1"/>
  <c r="N340" i="1"/>
  <c r="N341" i="1"/>
  <c r="N342" i="1"/>
  <c r="N343" i="1"/>
  <c r="N344" i="1"/>
  <c r="N345" i="1"/>
  <c r="N346" i="1"/>
  <c r="N347" i="1"/>
  <c r="N348" i="1"/>
  <c r="N349" i="1"/>
  <c r="N350" i="1"/>
  <c r="N351" i="1"/>
  <c r="Q351" i="1" s="1"/>
  <c r="N352" i="1"/>
  <c r="N353" i="1"/>
  <c r="Q353" i="1" s="1"/>
  <c r="N354" i="1"/>
  <c r="N355" i="1"/>
  <c r="Q355" i="1" s="1"/>
  <c r="N356" i="1"/>
  <c r="N357" i="1"/>
  <c r="N358" i="1"/>
  <c r="N359" i="1"/>
  <c r="N360" i="1"/>
  <c r="N361" i="1"/>
  <c r="N362" i="1"/>
  <c r="N363" i="1"/>
  <c r="Q363" i="1" s="1"/>
  <c r="N364" i="1"/>
  <c r="N365" i="1"/>
  <c r="Q365" i="1" s="1"/>
  <c r="N366" i="1"/>
  <c r="N367" i="1"/>
  <c r="N368" i="1"/>
  <c r="N369" i="1"/>
  <c r="N370" i="1"/>
  <c r="N371" i="1"/>
  <c r="N372" i="1"/>
  <c r="N373" i="1"/>
  <c r="N374" i="1"/>
  <c r="N375" i="1"/>
  <c r="Q375" i="1" s="1"/>
  <c r="N376" i="1"/>
  <c r="N377" i="1"/>
  <c r="Q377" i="1" s="1"/>
  <c r="N378" i="1"/>
  <c r="N379" i="1"/>
  <c r="Q379" i="1" s="1"/>
  <c r="N380" i="1"/>
  <c r="N381" i="1"/>
  <c r="N382" i="1"/>
  <c r="Q382" i="1" s="1"/>
  <c r="N383" i="1"/>
  <c r="Q383" i="1" s="1"/>
  <c r="N384" i="1"/>
  <c r="N385" i="1"/>
  <c r="N386" i="1"/>
  <c r="N387" i="1"/>
  <c r="Q387" i="1" s="1"/>
  <c r="N388" i="1"/>
  <c r="N389" i="1"/>
  <c r="Q389" i="1" s="1"/>
  <c r="N390" i="1"/>
  <c r="N391" i="1"/>
  <c r="Q391" i="1" s="1"/>
  <c r="N392" i="1"/>
  <c r="N393" i="1"/>
  <c r="N394" i="1"/>
  <c r="Q394" i="1" s="1"/>
  <c r="N395" i="1"/>
  <c r="N396" i="1"/>
  <c r="N397" i="1"/>
  <c r="N398" i="1"/>
  <c r="N399" i="1"/>
  <c r="N400" i="1"/>
  <c r="Q400" i="1" s="1"/>
  <c r="N401" i="1"/>
  <c r="Q401" i="1" s="1"/>
  <c r="N402" i="1"/>
  <c r="N403" i="1"/>
  <c r="Q403" i="1" s="1"/>
  <c r="N404" i="1"/>
  <c r="N405" i="1"/>
  <c r="N406" i="1"/>
  <c r="N407" i="1"/>
  <c r="N408" i="1"/>
  <c r="N409" i="1"/>
  <c r="N410" i="1"/>
  <c r="N411" i="1"/>
  <c r="Q411" i="1" s="1"/>
  <c r="N412" i="1"/>
  <c r="Q412" i="1" s="1"/>
  <c r="N413" i="1"/>
  <c r="N414" i="1"/>
  <c r="N415" i="1"/>
  <c r="Q415" i="1" s="1"/>
  <c r="N416" i="1"/>
  <c r="N417" i="1"/>
  <c r="N418" i="1"/>
  <c r="Q418" i="1" s="1"/>
  <c r="N419" i="1"/>
  <c r="N420" i="1"/>
  <c r="N421" i="1"/>
  <c r="N422" i="1"/>
  <c r="N423" i="1"/>
  <c r="N424" i="1"/>
  <c r="N425" i="1"/>
  <c r="Q425" i="1" s="1"/>
  <c r="N426" i="1"/>
  <c r="N427" i="1"/>
  <c r="Q427" i="1" s="1"/>
  <c r="N428" i="1"/>
  <c r="N429" i="1"/>
  <c r="N430" i="1"/>
  <c r="Q430" i="1" s="1"/>
  <c r="N431" i="1"/>
  <c r="N432" i="1"/>
  <c r="N433" i="1"/>
  <c r="N434" i="1"/>
  <c r="N435" i="1"/>
  <c r="N436" i="1"/>
  <c r="Q436" i="1" s="1"/>
  <c r="N437" i="1"/>
  <c r="Q437" i="1" s="1"/>
  <c r="N438" i="1"/>
  <c r="N439" i="1"/>
  <c r="Q439" i="1" s="1"/>
  <c r="N440" i="1"/>
  <c r="N441" i="1"/>
  <c r="N442" i="1"/>
  <c r="N443" i="1"/>
  <c r="N444" i="1"/>
  <c r="N445" i="1"/>
  <c r="N446" i="1"/>
  <c r="N447" i="1"/>
  <c r="N448" i="1"/>
  <c r="N449" i="1"/>
  <c r="Q449" i="1" s="1"/>
  <c r="N450" i="1"/>
  <c r="N451" i="1"/>
  <c r="R451" i="1" s="1"/>
  <c r="N452" i="1"/>
  <c r="N453" i="1"/>
  <c r="N454" i="1"/>
  <c r="N455" i="1"/>
  <c r="N456" i="1"/>
  <c r="N457" i="1"/>
  <c r="N458" i="1"/>
  <c r="N459" i="1"/>
  <c r="Q459" i="1" s="1"/>
  <c r="N460" i="1"/>
  <c r="N461" i="1"/>
  <c r="Q461" i="1" s="1"/>
  <c r="N462" i="1"/>
  <c r="N463" i="1"/>
  <c r="Q463" i="1" s="1"/>
  <c r="N464" i="1"/>
  <c r="N465" i="1"/>
  <c r="N466" i="1"/>
  <c r="N467" i="1"/>
  <c r="Q467" i="1" s="1"/>
  <c r="N468" i="1"/>
  <c r="N469" i="1"/>
  <c r="N470" i="1"/>
  <c r="N471" i="1"/>
  <c r="N472" i="1"/>
  <c r="Q472" i="1" s="1"/>
  <c r="N473" i="1"/>
  <c r="Q473" i="1" s="1"/>
  <c r="N474" i="1"/>
  <c r="N475" i="1"/>
  <c r="R475" i="1" s="1"/>
  <c r="N476" i="1"/>
  <c r="N477" i="1"/>
  <c r="N478" i="1"/>
  <c r="Q478" i="1" s="1"/>
  <c r="N479" i="1"/>
  <c r="N480" i="1"/>
  <c r="N481" i="1"/>
  <c r="R58" i="1"/>
  <c r="Q130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Q15" i="1" s="1"/>
  <c r="N16" i="1"/>
  <c r="N17" i="1"/>
  <c r="N18" i="1"/>
  <c r="N19" i="1"/>
  <c r="Q19" i="1" s="1"/>
  <c r="N20" i="1"/>
  <c r="N21" i="1"/>
  <c r="N22" i="1"/>
  <c r="N23" i="1"/>
  <c r="Q23" i="1" s="1"/>
  <c r="N24" i="1"/>
  <c r="Q24" i="1" s="1"/>
  <c r="N25" i="1"/>
  <c r="N26" i="1"/>
  <c r="N27" i="1"/>
  <c r="N28" i="1"/>
  <c r="N29" i="1"/>
  <c r="N30" i="1"/>
  <c r="N31" i="1"/>
  <c r="N32" i="1"/>
  <c r="N33" i="1"/>
  <c r="Q33" i="1" s="1"/>
  <c r="N34" i="1"/>
  <c r="N35" i="1"/>
  <c r="N36" i="1"/>
  <c r="N37" i="1"/>
  <c r="N38" i="1"/>
  <c r="N39" i="1"/>
  <c r="N40" i="1"/>
  <c r="Q40" i="1" s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Q58" i="1" s="1"/>
  <c r="N59" i="1"/>
  <c r="N60" i="1"/>
  <c r="N61" i="1"/>
  <c r="N62" i="1"/>
  <c r="N63" i="1"/>
  <c r="Q63" i="1" s="1"/>
  <c r="N64" i="1"/>
  <c r="N65" i="1"/>
  <c r="N66" i="1"/>
  <c r="N67" i="1"/>
  <c r="N68" i="1"/>
  <c r="N69" i="1"/>
  <c r="Q69" i="1" s="1"/>
  <c r="N70" i="1"/>
  <c r="N71" i="1"/>
  <c r="N72" i="1"/>
  <c r="Q72" i="1" s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Q91" i="1" s="1"/>
  <c r="N92" i="1"/>
  <c r="N93" i="1"/>
  <c r="N94" i="1"/>
  <c r="Q94" i="1" s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Q117" i="1" s="1"/>
  <c r="N118" i="1"/>
  <c r="N119" i="1"/>
  <c r="N120" i="1"/>
  <c r="N121" i="1"/>
  <c r="N122" i="1"/>
  <c r="N123" i="1"/>
  <c r="Q123" i="1" s="1"/>
  <c r="N124" i="1"/>
  <c r="N125" i="1"/>
  <c r="N126" i="1"/>
  <c r="N127" i="1"/>
  <c r="Q127" i="1" s="1"/>
  <c r="N128" i="1"/>
  <c r="N129" i="1"/>
  <c r="N130" i="1"/>
  <c r="N131" i="1"/>
  <c r="Q131" i="1" s="1"/>
  <c r="N132" i="1"/>
  <c r="Q132" i="1" s="1"/>
  <c r="N133" i="1"/>
  <c r="N134" i="1"/>
  <c r="N135" i="1"/>
  <c r="Q135" i="1" s="1"/>
  <c r="N136" i="1"/>
  <c r="N137" i="1"/>
  <c r="N138" i="1"/>
  <c r="N139" i="1"/>
  <c r="N140" i="1"/>
  <c r="N141" i="1"/>
  <c r="N142" i="1"/>
  <c r="N143" i="1"/>
  <c r="N144" i="1"/>
  <c r="Q144" i="1" s="1"/>
  <c r="N145" i="1"/>
  <c r="N2" i="1"/>
  <c r="R280" i="1" l="1"/>
  <c r="R424" i="1"/>
  <c r="Q87" i="1"/>
  <c r="Q22" i="1"/>
  <c r="R63" i="1"/>
  <c r="Q171" i="1"/>
  <c r="Q59" i="1"/>
  <c r="Q51" i="1"/>
  <c r="R208" i="1"/>
  <c r="Q81" i="1"/>
  <c r="Q27" i="1"/>
  <c r="R304" i="1"/>
  <c r="R319" i="1"/>
  <c r="R184" i="1"/>
  <c r="Q291" i="1"/>
  <c r="R315" i="1"/>
  <c r="Q280" i="1"/>
  <c r="Q262" i="1"/>
  <c r="Q259" i="1"/>
  <c r="Q108" i="1"/>
  <c r="R267" i="1"/>
  <c r="Q211" i="1"/>
  <c r="Q105" i="1"/>
  <c r="R117" i="1"/>
  <c r="Q99" i="1"/>
  <c r="Q190" i="1"/>
  <c r="Q352" i="1"/>
  <c r="Q60" i="1"/>
  <c r="Q9" i="1"/>
  <c r="R331" i="1"/>
  <c r="R271" i="1"/>
  <c r="R215" i="1"/>
  <c r="R163" i="1"/>
  <c r="Q307" i="1"/>
  <c r="Q219" i="1"/>
  <c r="R72" i="1"/>
  <c r="R132" i="1"/>
  <c r="Q96" i="1"/>
  <c r="Q45" i="1"/>
  <c r="R328" i="1"/>
  <c r="R256" i="1"/>
  <c r="R199" i="1"/>
  <c r="Q475" i="1"/>
  <c r="Q376" i="1"/>
  <c r="Q283" i="1"/>
  <c r="Q195" i="1"/>
  <c r="Q36" i="1"/>
  <c r="Q454" i="1"/>
  <c r="Q95" i="1"/>
  <c r="Q141" i="1"/>
  <c r="R247" i="1"/>
  <c r="R187" i="1"/>
  <c r="Q451" i="1"/>
  <c r="R295" i="1"/>
  <c r="R235" i="1"/>
  <c r="R22" i="1"/>
  <c r="R232" i="1"/>
  <c r="Q424" i="1"/>
  <c r="Q334" i="1"/>
  <c r="Q256" i="1"/>
  <c r="R382" i="1"/>
  <c r="R343" i="1"/>
  <c r="R283" i="1"/>
  <c r="R223" i="1"/>
  <c r="R467" i="1"/>
  <c r="R335" i="1"/>
  <c r="Q328" i="1"/>
  <c r="Q235" i="1"/>
  <c r="R122" i="1"/>
  <c r="Q122" i="1"/>
  <c r="R74" i="1"/>
  <c r="Q74" i="1"/>
  <c r="R127" i="1"/>
  <c r="R55" i="1"/>
  <c r="R145" i="1"/>
  <c r="Q145" i="1"/>
  <c r="R133" i="1"/>
  <c r="Q133" i="1"/>
  <c r="R121" i="1"/>
  <c r="Q121" i="1"/>
  <c r="R109" i="1"/>
  <c r="Q109" i="1"/>
  <c r="R97" i="1"/>
  <c r="Q97" i="1"/>
  <c r="R85" i="1"/>
  <c r="Q85" i="1"/>
  <c r="R73" i="1"/>
  <c r="Q73" i="1"/>
  <c r="R61" i="1"/>
  <c r="Q61" i="1"/>
  <c r="R49" i="1"/>
  <c r="Q49" i="1"/>
  <c r="Q143" i="1"/>
  <c r="Q125" i="1"/>
  <c r="Q107" i="1"/>
  <c r="Q89" i="1"/>
  <c r="Q71" i="1"/>
  <c r="Q53" i="1"/>
  <c r="Q35" i="1"/>
  <c r="Q17" i="1"/>
  <c r="R125" i="1"/>
  <c r="R191" i="1"/>
  <c r="Q479" i="1"/>
  <c r="R134" i="1"/>
  <c r="Q134" i="1"/>
  <c r="R110" i="1"/>
  <c r="Q110" i="1"/>
  <c r="R98" i="1"/>
  <c r="Q98" i="1"/>
  <c r="R50" i="1"/>
  <c r="Q50" i="1"/>
  <c r="Q55" i="1"/>
  <c r="R144" i="1"/>
  <c r="R108" i="1"/>
  <c r="R96" i="1"/>
  <c r="R60" i="1"/>
  <c r="R36" i="1"/>
  <c r="R24" i="1"/>
  <c r="Q142" i="1"/>
  <c r="Q124" i="1"/>
  <c r="Q106" i="1"/>
  <c r="Q88" i="1"/>
  <c r="Q70" i="1"/>
  <c r="Q52" i="1"/>
  <c r="Q34" i="1"/>
  <c r="Q16" i="1"/>
  <c r="R106" i="1"/>
  <c r="R70" i="1"/>
  <c r="R455" i="1"/>
  <c r="Q443" i="1"/>
  <c r="R431" i="1"/>
  <c r="Q419" i="1"/>
  <c r="R407" i="1"/>
  <c r="R395" i="1"/>
  <c r="Q395" i="1"/>
  <c r="Q371" i="1"/>
  <c r="R347" i="1"/>
  <c r="Q347" i="1"/>
  <c r="Q323" i="1"/>
  <c r="R323" i="1"/>
  <c r="Q311" i="1"/>
  <c r="R311" i="1"/>
  <c r="Q299" i="1"/>
  <c r="R299" i="1"/>
  <c r="Q287" i="1"/>
  <c r="R287" i="1"/>
  <c r="Q275" i="1"/>
  <c r="R275" i="1"/>
  <c r="Q263" i="1"/>
  <c r="R263" i="1"/>
  <c r="Q251" i="1"/>
  <c r="R251" i="1"/>
  <c r="R239" i="1"/>
  <c r="Q239" i="1"/>
  <c r="R227" i="1"/>
  <c r="Q227" i="1"/>
  <c r="Q203" i="1"/>
  <c r="R203" i="1"/>
  <c r="Q179" i="1"/>
  <c r="R179" i="1"/>
  <c r="Q167" i="1"/>
  <c r="R167" i="1"/>
  <c r="Q155" i="1"/>
  <c r="R155" i="1"/>
  <c r="R479" i="1"/>
  <c r="R238" i="1"/>
  <c r="Q359" i="1"/>
  <c r="R86" i="1"/>
  <c r="Q86" i="1"/>
  <c r="R143" i="1"/>
  <c r="R131" i="1"/>
  <c r="R107" i="1"/>
  <c r="R71" i="1"/>
  <c r="R35" i="1"/>
  <c r="R23" i="1"/>
  <c r="Q466" i="1"/>
  <c r="R466" i="1"/>
  <c r="R454" i="1"/>
  <c r="Q442" i="1"/>
  <c r="R406" i="1"/>
  <c r="R370" i="1"/>
  <c r="Q370" i="1"/>
  <c r="R346" i="1"/>
  <c r="Q346" i="1"/>
  <c r="R334" i="1"/>
  <c r="Q322" i="1"/>
  <c r="R322" i="1"/>
  <c r="R310" i="1"/>
  <c r="Q298" i="1"/>
  <c r="R298" i="1"/>
  <c r="R286" i="1"/>
  <c r="Q274" i="1"/>
  <c r="R274" i="1"/>
  <c r="R262" i="1"/>
  <c r="Q250" i="1"/>
  <c r="R250" i="1"/>
  <c r="Q226" i="1"/>
  <c r="R226" i="1"/>
  <c r="R214" i="1"/>
  <c r="Q202" i="1"/>
  <c r="R202" i="1"/>
  <c r="R190" i="1"/>
  <c r="Q178" i="1"/>
  <c r="R178" i="1"/>
  <c r="R166" i="1"/>
  <c r="Q154" i="1"/>
  <c r="R154" i="1"/>
  <c r="R478" i="1"/>
  <c r="R419" i="1"/>
  <c r="Q358" i="1"/>
  <c r="Q286" i="1"/>
  <c r="Q214" i="1"/>
  <c r="R359" i="1"/>
  <c r="Q113" i="1"/>
  <c r="R113" i="1"/>
  <c r="R5" i="1"/>
  <c r="R2" i="1"/>
  <c r="Q2" i="1"/>
  <c r="R142" i="1"/>
  <c r="R130" i="1"/>
  <c r="R94" i="1"/>
  <c r="R34" i="1"/>
  <c r="Q139" i="1"/>
  <c r="Q120" i="1"/>
  <c r="Q103" i="1"/>
  <c r="Q84" i="1"/>
  <c r="Q67" i="1"/>
  <c r="Q48" i="1"/>
  <c r="Q31" i="1"/>
  <c r="Q12" i="1"/>
  <c r="R120" i="1"/>
  <c r="R84" i="1"/>
  <c r="R48" i="1"/>
  <c r="R31" i="1"/>
  <c r="R12" i="1"/>
  <c r="Q477" i="1"/>
  <c r="R477" i="1"/>
  <c r="Q465" i="1"/>
  <c r="R465" i="1"/>
  <c r="Q453" i="1"/>
  <c r="R453" i="1"/>
  <c r="Q441" i="1"/>
  <c r="R441" i="1"/>
  <c r="Q429" i="1"/>
  <c r="R429" i="1"/>
  <c r="Q417" i="1"/>
  <c r="R417" i="1"/>
  <c r="Q405" i="1"/>
  <c r="R405" i="1"/>
  <c r="R393" i="1"/>
  <c r="Q393" i="1"/>
  <c r="Q381" i="1"/>
  <c r="R381" i="1"/>
  <c r="Q369" i="1"/>
  <c r="R369" i="1"/>
  <c r="Q357" i="1"/>
  <c r="R357" i="1"/>
  <c r="Q345" i="1"/>
  <c r="R345" i="1"/>
  <c r="R333" i="1"/>
  <c r="Q333" i="1"/>
  <c r="R321" i="1"/>
  <c r="Q321" i="1"/>
  <c r="Q309" i="1"/>
  <c r="R309" i="1"/>
  <c r="Q297" i="1"/>
  <c r="R297" i="1"/>
  <c r="Q285" i="1"/>
  <c r="R285" i="1"/>
  <c r="Q273" i="1"/>
  <c r="R273" i="1"/>
  <c r="Q261" i="1"/>
  <c r="R261" i="1"/>
  <c r="Q249" i="1"/>
  <c r="R249" i="1"/>
  <c r="Q237" i="1"/>
  <c r="R237" i="1"/>
  <c r="Q225" i="1"/>
  <c r="R225" i="1"/>
  <c r="Q213" i="1"/>
  <c r="R213" i="1"/>
  <c r="Q201" i="1"/>
  <c r="R201" i="1"/>
  <c r="Q189" i="1"/>
  <c r="R189" i="1"/>
  <c r="Q177" i="1"/>
  <c r="R177" i="1"/>
  <c r="Q165" i="1"/>
  <c r="R165" i="1"/>
  <c r="Q153" i="1"/>
  <c r="R153" i="1"/>
  <c r="R418" i="1"/>
  <c r="Q407" i="1"/>
  <c r="R91" i="1"/>
  <c r="R53" i="1"/>
  <c r="Q77" i="1"/>
  <c r="R62" i="1"/>
  <c r="Q62" i="1"/>
  <c r="R59" i="1"/>
  <c r="R141" i="1"/>
  <c r="R105" i="1"/>
  <c r="R81" i="1"/>
  <c r="R69" i="1"/>
  <c r="R45" i="1"/>
  <c r="R33" i="1"/>
  <c r="R9" i="1"/>
  <c r="Q137" i="1"/>
  <c r="Q119" i="1"/>
  <c r="Q101" i="1"/>
  <c r="Q83" i="1"/>
  <c r="Q65" i="1"/>
  <c r="Q47" i="1"/>
  <c r="Q29" i="1"/>
  <c r="Q11" i="1"/>
  <c r="R137" i="1"/>
  <c r="R119" i="1"/>
  <c r="R101" i="1"/>
  <c r="R83" i="1"/>
  <c r="R65" i="1"/>
  <c r="R47" i="1"/>
  <c r="R29" i="1"/>
  <c r="R11" i="1"/>
  <c r="R476" i="1"/>
  <c r="Q476" i="1"/>
  <c r="R464" i="1"/>
  <c r="Q464" i="1"/>
  <c r="R452" i="1"/>
  <c r="Q452" i="1"/>
  <c r="R440" i="1"/>
  <c r="Q440" i="1"/>
  <c r="R428" i="1"/>
  <c r="Q428" i="1"/>
  <c r="Q416" i="1"/>
  <c r="R404" i="1"/>
  <c r="Q404" i="1"/>
  <c r="R392" i="1"/>
  <c r="Q392" i="1"/>
  <c r="R380" i="1"/>
  <c r="Q380" i="1"/>
  <c r="R368" i="1"/>
  <c r="Q368" i="1"/>
  <c r="Q356" i="1"/>
  <c r="Q344" i="1"/>
  <c r="R344" i="1"/>
  <c r="Q332" i="1"/>
  <c r="R332" i="1"/>
  <c r="Q320" i="1"/>
  <c r="R320" i="1"/>
  <c r="Q308" i="1"/>
  <c r="R308" i="1"/>
  <c r="Q296" i="1"/>
  <c r="R296" i="1"/>
  <c r="Q284" i="1"/>
  <c r="R284" i="1"/>
  <c r="Q272" i="1"/>
  <c r="R272" i="1"/>
  <c r="Q260" i="1"/>
  <c r="R260" i="1"/>
  <c r="Q248" i="1"/>
  <c r="R248" i="1"/>
  <c r="Q236" i="1"/>
  <c r="R236" i="1"/>
  <c r="Q224" i="1"/>
  <c r="R224" i="1"/>
  <c r="Q212" i="1"/>
  <c r="R212" i="1"/>
  <c r="Q200" i="1"/>
  <c r="R200" i="1"/>
  <c r="R188" i="1"/>
  <c r="Q188" i="1"/>
  <c r="Q176" i="1"/>
  <c r="R176" i="1"/>
  <c r="Q164" i="1"/>
  <c r="R164" i="1"/>
  <c r="Q152" i="1"/>
  <c r="R152" i="1"/>
  <c r="R443" i="1"/>
  <c r="R416" i="1"/>
  <c r="R358" i="1"/>
  <c r="Q406" i="1"/>
  <c r="R118" i="1"/>
  <c r="R67" i="1"/>
  <c r="R89" i="1"/>
  <c r="Q41" i="1"/>
  <c r="R41" i="1"/>
  <c r="R95" i="1"/>
  <c r="R140" i="1"/>
  <c r="Q140" i="1"/>
  <c r="R128" i="1"/>
  <c r="Q128" i="1"/>
  <c r="R116" i="1"/>
  <c r="Q116" i="1"/>
  <c r="R104" i="1"/>
  <c r="Q104" i="1"/>
  <c r="R92" i="1"/>
  <c r="Q92" i="1"/>
  <c r="Q136" i="1"/>
  <c r="Q118" i="1"/>
  <c r="Q100" i="1"/>
  <c r="Q82" i="1"/>
  <c r="Q64" i="1"/>
  <c r="Q46" i="1"/>
  <c r="Q28" i="1"/>
  <c r="Q10" i="1"/>
  <c r="R82" i="1"/>
  <c r="R46" i="1"/>
  <c r="R10" i="1"/>
  <c r="R259" i="1"/>
  <c r="R211" i="1"/>
  <c r="R442" i="1"/>
  <c r="R383" i="1"/>
  <c r="R356" i="1"/>
  <c r="Q455" i="1"/>
  <c r="R448" i="1"/>
  <c r="R139" i="1"/>
  <c r="R19" i="1"/>
  <c r="Q462" i="1"/>
  <c r="R462" i="1"/>
  <c r="Q450" i="1"/>
  <c r="R450" i="1"/>
  <c r="Q438" i="1"/>
  <c r="R438" i="1"/>
  <c r="R426" i="1"/>
  <c r="Q426" i="1"/>
  <c r="Q414" i="1"/>
  <c r="R414" i="1"/>
  <c r="Q402" i="1"/>
  <c r="R402" i="1"/>
  <c r="Q390" i="1"/>
  <c r="R390" i="1"/>
  <c r="Q378" i="1"/>
  <c r="R378" i="1"/>
  <c r="Q366" i="1"/>
  <c r="R366" i="1"/>
  <c r="Q354" i="1"/>
  <c r="R354" i="1"/>
  <c r="Q342" i="1"/>
  <c r="R342" i="1"/>
  <c r="Q330" i="1"/>
  <c r="R330" i="1"/>
  <c r="Q318" i="1"/>
  <c r="R318" i="1"/>
  <c r="Q306" i="1"/>
  <c r="R306" i="1"/>
  <c r="Q294" i="1"/>
  <c r="R294" i="1"/>
  <c r="Q282" i="1"/>
  <c r="R282" i="1"/>
  <c r="Q270" i="1"/>
  <c r="R270" i="1"/>
  <c r="Q258" i="1"/>
  <c r="R258" i="1"/>
  <c r="Q246" i="1"/>
  <c r="R246" i="1"/>
  <c r="Q234" i="1"/>
  <c r="R234" i="1"/>
  <c r="Q222" i="1"/>
  <c r="R222" i="1"/>
  <c r="Q210" i="1"/>
  <c r="R210" i="1"/>
  <c r="Q198" i="1"/>
  <c r="R198" i="1"/>
  <c r="Q186" i="1"/>
  <c r="R186" i="1"/>
  <c r="Q174" i="1"/>
  <c r="R174" i="1"/>
  <c r="Q162" i="1"/>
  <c r="R162" i="1"/>
  <c r="Q150" i="1"/>
  <c r="R150" i="1"/>
  <c r="R77" i="1"/>
  <c r="Q474" i="1"/>
  <c r="R474" i="1"/>
  <c r="R138" i="1"/>
  <c r="Q138" i="1"/>
  <c r="R126" i="1"/>
  <c r="Q126" i="1"/>
  <c r="R114" i="1"/>
  <c r="Q114" i="1"/>
  <c r="R102" i="1"/>
  <c r="Q102" i="1"/>
  <c r="R90" i="1"/>
  <c r="Q90" i="1"/>
  <c r="R78" i="1"/>
  <c r="Q78" i="1"/>
  <c r="R66" i="1"/>
  <c r="Q66" i="1"/>
  <c r="R54" i="1"/>
  <c r="Q54" i="1"/>
  <c r="Q115" i="1"/>
  <c r="Q79" i="1"/>
  <c r="Q43" i="1"/>
  <c r="Q7" i="1"/>
  <c r="R115" i="1"/>
  <c r="R43" i="1"/>
  <c r="R7" i="1"/>
  <c r="R17" i="1"/>
  <c r="Q5" i="1"/>
  <c r="R472" i="1"/>
  <c r="Q448" i="1"/>
  <c r="R79" i="1"/>
  <c r="Q460" i="1"/>
  <c r="R460" i="1"/>
  <c r="R136" i="1"/>
  <c r="R52" i="1"/>
  <c r="R28" i="1"/>
  <c r="Q4" i="1"/>
  <c r="R112" i="1"/>
  <c r="R76" i="1"/>
  <c r="R471" i="1"/>
  <c r="Q471" i="1"/>
  <c r="R435" i="1"/>
  <c r="R399" i="1"/>
  <c r="Q399" i="1"/>
  <c r="Q435" i="1"/>
  <c r="R103" i="1"/>
  <c r="R124" i="1"/>
  <c r="R100" i="1"/>
  <c r="R88" i="1"/>
  <c r="R64" i="1"/>
  <c r="R16" i="1"/>
  <c r="Q112" i="1"/>
  <c r="Q76" i="1"/>
  <c r="R40" i="1"/>
  <c r="R4" i="1"/>
  <c r="R459" i="1"/>
  <c r="R447" i="1"/>
  <c r="Q447" i="1"/>
  <c r="R423" i="1"/>
  <c r="Q423" i="1"/>
  <c r="R411" i="1"/>
  <c r="R135" i="1"/>
  <c r="R123" i="1"/>
  <c r="R99" i="1"/>
  <c r="R87" i="1"/>
  <c r="R51" i="1"/>
  <c r="R27" i="1"/>
  <c r="R15" i="1"/>
  <c r="Q129" i="1"/>
  <c r="Q111" i="1"/>
  <c r="Q93" i="1"/>
  <c r="Q75" i="1"/>
  <c r="Q57" i="1"/>
  <c r="Q39" i="1"/>
  <c r="Q21" i="1"/>
  <c r="Q3" i="1"/>
  <c r="R129" i="1"/>
  <c r="R111" i="1"/>
  <c r="R93" i="1"/>
  <c r="R75" i="1"/>
  <c r="R57" i="1"/>
  <c r="R39" i="1"/>
  <c r="R21" i="1"/>
  <c r="R3" i="1"/>
  <c r="R470" i="1"/>
  <c r="Q470" i="1"/>
  <c r="Q458" i="1"/>
  <c r="R458" i="1"/>
  <c r="Q446" i="1"/>
  <c r="R446" i="1"/>
  <c r="Q434" i="1"/>
  <c r="R434" i="1"/>
  <c r="Q422" i="1"/>
  <c r="R422" i="1"/>
  <c r="R410" i="1"/>
  <c r="Q410" i="1"/>
  <c r="R430" i="1"/>
  <c r="R371" i="1"/>
  <c r="Q431" i="1"/>
  <c r="Q310" i="1"/>
  <c r="Q166" i="1"/>
  <c r="R394" i="1"/>
  <c r="Q42" i="1"/>
  <c r="Q30" i="1"/>
  <c r="Q18" i="1"/>
  <c r="Q6" i="1"/>
  <c r="R42" i="1"/>
  <c r="R30" i="1"/>
  <c r="R18" i="1"/>
  <c r="R6" i="1"/>
  <c r="R463" i="1"/>
  <c r="R439" i="1"/>
  <c r="R427" i="1"/>
  <c r="R415" i="1"/>
  <c r="R403" i="1"/>
  <c r="R391" i="1"/>
  <c r="R379" i="1"/>
  <c r="R367" i="1"/>
  <c r="R355" i="1"/>
  <c r="R341" i="1"/>
  <c r="R327" i="1"/>
  <c r="R303" i="1"/>
  <c r="R279" i="1"/>
  <c r="R255" i="1"/>
  <c r="R231" i="1"/>
  <c r="R207" i="1"/>
  <c r="R183" i="1"/>
  <c r="R159" i="1"/>
  <c r="R352" i="1"/>
  <c r="R340" i="1"/>
  <c r="R175" i="1"/>
  <c r="R291" i="1"/>
  <c r="R243" i="1"/>
  <c r="R219" i="1"/>
  <c r="R195" i="1"/>
  <c r="R171" i="1"/>
  <c r="R147" i="1"/>
  <c r="R473" i="1"/>
  <c r="R461" i="1"/>
  <c r="R449" i="1"/>
  <c r="R437" i="1"/>
  <c r="R413" i="1"/>
  <c r="R389" i="1"/>
  <c r="R377" i="1"/>
  <c r="R365" i="1"/>
  <c r="R353" i="1"/>
  <c r="R339" i="1"/>
  <c r="R376" i="1"/>
  <c r="Q398" i="1"/>
  <c r="Q386" i="1"/>
  <c r="Q374" i="1"/>
  <c r="Q362" i="1"/>
  <c r="Q350" i="1"/>
  <c r="Q338" i="1"/>
  <c r="Q326" i="1"/>
  <c r="R326" i="1"/>
  <c r="Q314" i="1"/>
  <c r="R314" i="1"/>
  <c r="Q302" i="1"/>
  <c r="R302" i="1"/>
  <c r="Q290" i="1"/>
  <c r="R290" i="1"/>
  <c r="Q278" i="1"/>
  <c r="R278" i="1"/>
  <c r="Q266" i="1"/>
  <c r="R266" i="1"/>
  <c r="Q254" i="1"/>
  <c r="R254" i="1"/>
  <c r="Q242" i="1"/>
  <c r="R242" i="1"/>
  <c r="Q230" i="1"/>
  <c r="R230" i="1"/>
  <c r="Q218" i="1"/>
  <c r="R218" i="1"/>
  <c r="Q206" i="1"/>
  <c r="R206" i="1"/>
  <c r="Q194" i="1"/>
  <c r="R194" i="1"/>
  <c r="Q182" i="1"/>
  <c r="R182" i="1"/>
  <c r="R170" i="1"/>
  <c r="Q170" i="1"/>
  <c r="Q158" i="1"/>
  <c r="R158" i="1"/>
  <c r="R146" i="1"/>
  <c r="R436" i="1"/>
  <c r="R412" i="1"/>
  <c r="R400" i="1"/>
  <c r="R388" i="1"/>
  <c r="R364" i="1"/>
  <c r="R338" i="1"/>
  <c r="Q367" i="1"/>
  <c r="Q343" i="1"/>
  <c r="Q223" i="1"/>
  <c r="Q199" i="1"/>
  <c r="R401" i="1"/>
  <c r="Q38" i="1"/>
  <c r="Q26" i="1"/>
  <c r="Q14" i="1"/>
  <c r="R38" i="1"/>
  <c r="R26" i="1"/>
  <c r="R14" i="1"/>
  <c r="R481" i="1"/>
  <c r="Q481" i="1"/>
  <c r="R469" i="1"/>
  <c r="Q469" i="1"/>
  <c r="R457" i="1"/>
  <c r="Q457" i="1"/>
  <c r="R445" i="1"/>
  <c r="Q445" i="1"/>
  <c r="R433" i="1"/>
  <c r="Q433" i="1"/>
  <c r="R421" i="1"/>
  <c r="Q421" i="1"/>
  <c r="R409" i="1"/>
  <c r="Q409" i="1"/>
  <c r="R397" i="1"/>
  <c r="Q397" i="1"/>
  <c r="R385" i="1"/>
  <c r="Q385" i="1"/>
  <c r="R373" i="1"/>
  <c r="Q373" i="1"/>
  <c r="R361" i="1"/>
  <c r="Q361" i="1"/>
  <c r="R349" i="1"/>
  <c r="Q349" i="1"/>
  <c r="Q337" i="1"/>
  <c r="Q325" i="1"/>
  <c r="R325" i="1"/>
  <c r="R313" i="1"/>
  <c r="Q313" i="1"/>
  <c r="Q301" i="1"/>
  <c r="R301" i="1"/>
  <c r="Q289" i="1"/>
  <c r="R289" i="1"/>
  <c r="Q277" i="1"/>
  <c r="R277" i="1"/>
  <c r="Q265" i="1"/>
  <c r="R265" i="1"/>
  <c r="Q253" i="1"/>
  <c r="R253" i="1"/>
  <c r="Q241" i="1"/>
  <c r="R241" i="1"/>
  <c r="Q229" i="1"/>
  <c r="R229" i="1"/>
  <c r="Q217" i="1"/>
  <c r="R217" i="1"/>
  <c r="Q205" i="1"/>
  <c r="R205" i="1"/>
  <c r="Q193" i="1"/>
  <c r="R193" i="1"/>
  <c r="Q181" i="1"/>
  <c r="R181" i="1"/>
  <c r="Q169" i="1"/>
  <c r="R169" i="1"/>
  <c r="Q157" i="1"/>
  <c r="R157" i="1"/>
  <c r="Q147" i="1"/>
  <c r="R387" i="1"/>
  <c r="R375" i="1"/>
  <c r="R363" i="1"/>
  <c r="R351" i="1"/>
  <c r="R337" i="1"/>
  <c r="R317" i="1"/>
  <c r="R293" i="1"/>
  <c r="R269" i="1"/>
  <c r="R245" i="1"/>
  <c r="R221" i="1"/>
  <c r="R197" i="1"/>
  <c r="R173" i="1"/>
  <c r="R149" i="1"/>
  <c r="Q413" i="1"/>
  <c r="Q341" i="1"/>
  <c r="Q269" i="1"/>
  <c r="Q197" i="1"/>
  <c r="Q37" i="1"/>
  <c r="Q25" i="1"/>
  <c r="Q13" i="1"/>
  <c r="R37" i="1"/>
  <c r="R25" i="1"/>
  <c r="R13" i="1"/>
  <c r="R480" i="1"/>
  <c r="Q480" i="1"/>
  <c r="R468" i="1"/>
  <c r="Q468" i="1"/>
  <c r="R456" i="1"/>
  <c r="Q456" i="1"/>
  <c r="R444" i="1"/>
  <c r="Q444" i="1"/>
  <c r="R432" i="1"/>
  <c r="Q432" i="1"/>
  <c r="R420" i="1"/>
  <c r="Q420" i="1"/>
  <c r="R408" i="1"/>
  <c r="Q408" i="1"/>
  <c r="R396" i="1"/>
  <c r="Q396" i="1"/>
  <c r="R384" i="1"/>
  <c r="Q384" i="1"/>
  <c r="R372" i="1"/>
  <c r="Q372" i="1"/>
  <c r="R360" i="1"/>
  <c r="Q360" i="1"/>
  <c r="R348" i="1"/>
  <c r="Q348" i="1"/>
  <c r="Q336" i="1"/>
  <c r="Q324" i="1"/>
  <c r="R324" i="1"/>
  <c r="Q312" i="1"/>
  <c r="R312" i="1"/>
  <c r="Q300" i="1"/>
  <c r="R300" i="1"/>
  <c r="Q288" i="1"/>
  <c r="R288" i="1"/>
  <c r="Q276" i="1"/>
  <c r="R276" i="1"/>
  <c r="Q264" i="1"/>
  <c r="R264" i="1"/>
  <c r="Q252" i="1"/>
  <c r="R252" i="1"/>
  <c r="Q240" i="1"/>
  <c r="R240" i="1"/>
  <c r="Q228" i="1"/>
  <c r="R228" i="1"/>
  <c r="Q216" i="1"/>
  <c r="R216" i="1"/>
  <c r="R204" i="1"/>
  <c r="Q204" i="1"/>
  <c r="Q192" i="1"/>
  <c r="R192" i="1"/>
  <c r="Q180" i="1"/>
  <c r="R180" i="1"/>
  <c r="Q168" i="1"/>
  <c r="R168" i="1"/>
  <c r="Q156" i="1"/>
  <c r="R156" i="1"/>
  <c r="Q146" i="1"/>
  <c r="R398" i="1"/>
  <c r="R386" i="1"/>
  <c r="R374" i="1"/>
  <c r="R362" i="1"/>
  <c r="R350" i="1"/>
  <c r="R336" i="1"/>
  <c r="R316" i="1"/>
  <c r="R292" i="1"/>
  <c r="R268" i="1"/>
  <c r="R244" i="1"/>
  <c r="R220" i="1"/>
  <c r="R196" i="1"/>
  <c r="R172" i="1"/>
  <c r="R148" i="1"/>
  <c r="Q388" i="1"/>
  <c r="Q364" i="1"/>
  <c r="Q340" i="1"/>
  <c r="Q196" i="1"/>
  <c r="R425" i="1"/>
  <c r="Q80" i="1"/>
  <c r="Q68" i="1"/>
  <c r="Q56" i="1"/>
  <c r="Q44" i="1"/>
  <c r="Q32" i="1"/>
  <c r="Q20" i="1"/>
  <c r="Q8" i="1"/>
  <c r="R80" i="1"/>
  <c r="R68" i="1"/>
  <c r="R56" i="1"/>
  <c r="R44" i="1"/>
  <c r="R32" i="1"/>
  <c r="R20" i="1"/>
  <c r="R8" i="1"/>
  <c r="R151" i="1"/>
  <c r="R329" i="1"/>
  <c r="R305" i="1"/>
  <c r="R281" i="1"/>
  <c r="R257" i="1"/>
  <c r="R233" i="1"/>
  <c r="R209" i="1"/>
  <c r="R185" i="1"/>
  <c r="R161" i="1"/>
  <c r="U22" i="1" l="1"/>
  <c r="U10" i="1"/>
  <c r="U32" i="1"/>
  <c r="U21" i="1"/>
  <c r="U9" i="1"/>
  <c r="U20" i="1"/>
  <c r="U8" i="1"/>
  <c r="U19" i="1"/>
  <c r="U31" i="1"/>
  <c r="U7" i="1"/>
  <c r="U30" i="1"/>
  <c r="U18" i="1"/>
  <c r="U6" i="1"/>
  <c r="U29" i="1"/>
  <c r="U17" i="1"/>
  <c r="U5" i="1"/>
  <c r="U28" i="1"/>
  <c r="U16" i="1"/>
  <c r="U4" i="1"/>
  <c r="U27" i="1"/>
  <c r="U15" i="1"/>
  <c r="U3" i="1"/>
  <c r="U13" i="1"/>
  <c r="U26" i="1"/>
  <c r="U14" i="1"/>
  <c r="U25" i="1"/>
  <c r="U24" i="1"/>
  <c r="U12" i="1"/>
  <c r="U23" i="1"/>
  <c r="U11" i="1"/>
  <c r="U35" i="1" l="1"/>
  <c r="U3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<sst xmlns="http://schemas.openxmlformats.org/spreadsheetml/2006/main" count="167" uniqueCount="70">
  <si>
    <t>北海道</t>
    <rPh sb="0" eb="3">
      <t>ホッカイドウ</t>
    </rPh>
    <phoneticPr fontId="1"/>
  </si>
  <si>
    <t>東北</t>
    <rPh sb="0" eb="2">
      <t>トウホク</t>
    </rPh>
    <phoneticPr fontId="1"/>
  </si>
  <si>
    <t>東京</t>
    <rPh sb="0" eb="2">
      <t>トウキョウ</t>
    </rPh>
    <phoneticPr fontId="1"/>
  </si>
  <si>
    <t>中部</t>
    <rPh sb="0" eb="2">
      <t>チュウブ</t>
    </rPh>
    <phoneticPr fontId="1"/>
  </si>
  <si>
    <t>北陸</t>
    <rPh sb="0" eb="2">
      <t>ホクリク</t>
    </rPh>
    <phoneticPr fontId="1"/>
  </si>
  <si>
    <t>関西</t>
    <rPh sb="0" eb="2">
      <t>カンサイ</t>
    </rPh>
    <phoneticPr fontId="1"/>
  </si>
  <si>
    <t>中国</t>
    <rPh sb="0" eb="2">
      <t>チュウゴク</t>
    </rPh>
    <phoneticPr fontId="1"/>
  </si>
  <si>
    <t>四国</t>
    <rPh sb="0" eb="2">
      <t>シコク</t>
    </rPh>
    <phoneticPr fontId="1"/>
  </si>
  <si>
    <t>九州</t>
    <rPh sb="0" eb="2">
      <t>キュウシュウ</t>
    </rPh>
    <phoneticPr fontId="1"/>
  </si>
  <si>
    <t>沖縄</t>
    <rPh sb="0" eb="2">
      <t>オキナワ</t>
    </rPh>
    <phoneticPr fontId="1"/>
  </si>
  <si>
    <t>合計インバランス量[kwh]</t>
    <rPh sb="0" eb="2">
      <t>ゴウケイ</t>
    </rPh>
    <rPh sb="8" eb="9">
      <t>リョウ</t>
    </rPh>
    <phoneticPr fontId="1"/>
  </si>
  <si>
    <t>約定量[kwh]</t>
    <rPh sb="0" eb="3">
      <t>ヤクジョウリョウ</t>
    </rPh>
    <phoneticPr fontId="1"/>
  </si>
  <si>
    <t>インバランス率[%]</t>
    <rPh sb="6" eb="7">
      <t>リツ</t>
    </rPh>
    <phoneticPr fontId="1"/>
  </si>
  <si>
    <t>不足?</t>
    <rPh sb="0" eb="2">
      <t>フソク</t>
    </rPh>
    <phoneticPr fontId="1"/>
  </si>
  <si>
    <t>インバランス率(不足か余剰か)</t>
    <rPh sb="6" eb="7">
      <t>リツ</t>
    </rPh>
    <rPh sb="8" eb="10">
      <t>フソク</t>
    </rPh>
    <rPh sb="11" eb="13">
      <t>ヨジョウ</t>
    </rPh>
    <phoneticPr fontId="1"/>
  </si>
  <si>
    <t>&lt;-10</t>
    <phoneticPr fontId="1"/>
  </si>
  <si>
    <t>0&lt;X&lt;1</t>
    <phoneticPr fontId="1"/>
  </si>
  <si>
    <t>1&lt;X&lt;2</t>
    <phoneticPr fontId="1"/>
  </si>
  <si>
    <t>2&lt;X&lt;3</t>
    <phoneticPr fontId="1"/>
  </si>
  <si>
    <t>3&lt;X&lt;4</t>
    <phoneticPr fontId="1"/>
  </si>
  <si>
    <t>4&lt;X&lt;5</t>
    <phoneticPr fontId="1"/>
  </si>
  <si>
    <t>5&lt;X&lt;6</t>
    <phoneticPr fontId="1"/>
  </si>
  <si>
    <t>6&lt;X&lt;7</t>
    <phoneticPr fontId="1"/>
  </si>
  <si>
    <t>7&lt;X&lt;8</t>
    <phoneticPr fontId="1"/>
  </si>
  <si>
    <t>8&lt;X&lt;9</t>
    <phoneticPr fontId="1"/>
  </si>
  <si>
    <t>9&lt;X&lt;10</t>
    <phoneticPr fontId="1"/>
  </si>
  <si>
    <t>10&lt;X&lt;11</t>
    <phoneticPr fontId="1"/>
  </si>
  <si>
    <t>11&lt;X&lt;12</t>
    <phoneticPr fontId="1"/>
  </si>
  <si>
    <t>12&lt;X&lt;13</t>
    <phoneticPr fontId="1"/>
  </si>
  <si>
    <t>13&lt;X&lt;14</t>
    <phoneticPr fontId="1"/>
  </si>
  <si>
    <t>14&lt;X&lt;15</t>
    <phoneticPr fontId="1"/>
  </si>
  <si>
    <t>-10&lt;X&lt;-9</t>
    <phoneticPr fontId="1"/>
  </si>
  <si>
    <t>-9&lt;X&lt;-8</t>
    <phoneticPr fontId="1"/>
  </si>
  <si>
    <t>-8&lt;X&lt;-7</t>
    <phoneticPr fontId="1"/>
  </si>
  <si>
    <t>-7&lt;X&lt;-6</t>
    <phoneticPr fontId="1"/>
  </si>
  <si>
    <t>-6&lt;X&lt;-5</t>
    <phoneticPr fontId="1"/>
  </si>
  <si>
    <t>-5&lt;X&lt;-4</t>
    <phoneticPr fontId="1"/>
  </si>
  <si>
    <t>-4&lt;X&lt;-3</t>
    <phoneticPr fontId="1"/>
  </si>
  <si>
    <t>-3&lt;X&lt;-2</t>
    <phoneticPr fontId="1"/>
  </si>
  <si>
    <t>-2&lt;X&lt;-1</t>
    <phoneticPr fontId="1"/>
  </si>
  <si>
    <t>-1&lt;X&lt;0</t>
    <phoneticPr fontId="1"/>
  </si>
  <si>
    <t>SUM</t>
    <phoneticPr fontId="1"/>
  </si>
  <si>
    <t>15&lt;X&lt;16</t>
    <phoneticPr fontId="1"/>
  </si>
  <si>
    <t>16&lt;X&lt;17</t>
    <phoneticPr fontId="1"/>
  </si>
  <si>
    <t>17&lt;X&lt;18</t>
    <phoneticPr fontId="1"/>
  </si>
  <si>
    <t>18&lt;X&lt;19</t>
    <phoneticPr fontId="1"/>
  </si>
  <si>
    <t>19&lt;X&lt;20</t>
    <phoneticPr fontId="1"/>
  </si>
  <si>
    <t>&gt;20</t>
    <phoneticPr fontId="1"/>
  </si>
  <si>
    <t>不足SUM</t>
    <rPh sb="0" eb="2">
      <t>フソク</t>
    </rPh>
    <phoneticPr fontId="1"/>
  </si>
  <si>
    <t>システムプライス(円/kwh)</t>
    <rPh sb="9" eb="10">
      <t>エン</t>
    </rPh>
    <phoneticPr fontId="1"/>
  </si>
  <si>
    <t>value(仮) [ETH]</t>
    <rPh sb="6" eb="7">
      <t>カリ</t>
    </rPh>
    <phoneticPr fontId="1"/>
  </si>
  <si>
    <t>日付</t>
    <rPh sb="0" eb="2">
      <t>ヒヅケ</t>
    </rPh>
    <phoneticPr fontId="1"/>
  </si>
  <si>
    <t>時間</t>
    <rPh sb="0" eb="2">
      <t>ジカン</t>
    </rPh>
    <phoneticPr fontId="1"/>
  </si>
  <si>
    <t>再頻の時間帯</t>
    <rPh sb="0" eb="1">
      <t>サイ</t>
    </rPh>
    <rPh sb="1" eb="2">
      <t>ヒン</t>
    </rPh>
    <rPh sb="3" eb="6">
      <t>ジカンタイ</t>
    </rPh>
    <phoneticPr fontId="1"/>
  </si>
  <si>
    <t>最頻の時間帯</t>
    <rPh sb="0" eb="2">
      <t>サイヒン</t>
    </rPh>
    <rPh sb="3" eb="6">
      <t>ジカンタイ</t>
    </rPh>
    <phoneticPr fontId="1"/>
  </si>
  <si>
    <t>trueEnergy</t>
    <phoneticPr fontId="1"/>
  </si>
  <si>
    <t>Account</t>
    <phoneticPr fontId="1"/>
  </si>
  <si>
    <t>Prosumer</t>
    <phoneticPr fontId="1"/>
  </si>
  <si>
    <t>Value</t>
    <phoneticPr fontId="1"/>
  </si>
  <si>
    <t>Consumer</t>
    <phoneticPr fontId="1"/>
  </si>
  <si>
    <t>kwh</t>
    <phoneticPr fontId="1"/>
  </si>
  <si>
    <t>板情報</t>
    <rPh sb="0" eb="3">
      <t>イタジョウホウ</t>
    </rPh>
    <phoneticPr fontId="1"/>
  </si>
  <si>
    <t>Total</t>
    <phoneticPr fontId="1"/>
  </si>
  <si>
    <t>value</t>
    <phoneticPr fontId="1"/>
  </si>
  <si>
    <t>許容率</t>
    <rPh sb="0" eb="3">
      <t>キョヨウリツ</t>
    </rPh>
    <phoneticPr fontId="1"/>
  </si>
  <si>
    <t>gas</t>
    <phoneticPr fontId="1"/>
  </si>
  <si>
    <t>不足</t>
    <rPh sb="0" eb="2">
      <t>フソク</t>
    </rPh>
    <phoneticPr fontId="1"/>
  </si>
  <si>
    <t>余剰</t>
    <rPh sb="0" eb="2">
      <t>ヨジョウ</t>
    </rPh>
    <phoneticPr fontId="1"/>
  </si>
  <si>
    <t>結果(18時0分)</t>
    <rPh sb="0" eb="2">
      <t>ケッカ</t>
    </rPh>
    <rPh sb="5" eb="6">
      <t>ジ</t>
    </rPh>
    <rPh sb="7" eb="8">
      <t>フン</t>
    </rPh>
    <phoneticPr fontId="1"/>
  </si>
  <si>
    <t>transact
cost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</si>
</sst>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2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0" borderId="0" xfId="0" applyNumberFormat="1">
      <alignment vertical="center"/>
    </xf>
    <xf numFmtId="1" fontId="0" fillId="0" borderId="0" xfId="0" applyNumberFormat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 wrapText="1"/>
    </xf>
    <xf numFmtId="0" fontId="0" fillId="0" borderId="2" xfId="0" applyBorder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3" xfId="0" applyBorder="1" applyAlignment="1">
      <alignment vertical="center"/>
    </xf>
    <xf numFmtId="0" fontId="0" fillId="0" borderId="9" xfId="0" applyBorder="1">
      <alignment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インバランス率ごとの分布（</a:t>
            </a:r>
            <a:r>
              <a:rPr lang="en-US" altLang="ja-JP"/>
              <a:t>2021</a:t>
            </a:r>
            <a:r>
              <a:rPr lang="ja-JP" altLang="en-US"/>
              <a:t>年</a:t>
            </a:r>
            <a:r>
              <a:rPr lang="en-US" altLang="ja-JP"/>
              <a:t>8</a:t>
            </a:r>
            <a:r>
              <a:rPr lang="ja-JP" altLang="en-US"/>
              <a:t>月</a:t>
            </a:r>
            <a:r>
              <a:rPr lang="en-US" altLang="ja-JP"/>
              <a:t>1</a:t>
            </a:r>
            <a:r>
              <a:rPr lang="ja-JP" altLang="en-US"/>
              <a:t>日～</a:t>
            </a:r>
            <a:r>
              <a:rPr lang="en-US" altLang="ja-JP"/>
              <a:t>8</a:t>
            </a:r>
            <a:r>
              <a:rPr lang="ja-JP" altLang="en-US"/>
              <a:t>月</a:t>
            </a:r>
            <a:r>
              <a:rPr lang="en-US" altLang="ja-JP"/>
              <a:t>10</a:t>
            </a:r>
            <a:r>
              <a:rPr lang="ja-JP" altLang="en-US"/>
              <a:t>日）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5CC-4045-A21A-F8E42F7A010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5CC-4045-A21A-F8E42F7A010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5CC-4045-A21A-F8E42F7A010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1E70-479B-A0C6-348276CF6BF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E70-479B-A0C6-348276CF6BF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1E70-479B-A0C6-348276CF6BF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E70-479B-A0C6-348276CF6BF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1E70-479B-A0C6-348276CF6BF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E70-479B-A0C6-348276CF6BF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E70-479B-A0C6-348276CF6BF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E70-479B-A0C6-348276CF6BF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E70-479B-A0C6-348276CF6BF8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E70-479B-A0C6-348276CF6BF8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E70-479B-A0C6-348276CF6BF8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1E70-479B-A0C6-348276CF6BF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E70-479B-A0C6-348276CF6BF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E70-479B-A0C6-348276CF6BF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E70-479B-A0C6-348276CF6BF8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1E70-479B-A0C6-348276CF6BF8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1E70-479B-A0C6-348276CF6BF8}"/>
              </c:ext>
            </c:extLst>
          </c:dPt>
          <c:dPt>
            <c:idx val="2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E70-479B-A0C6-348276CF6BF8}"/>
              </c:ext>
            </c:extLst>
          </c:dPt>
          <c:dPt>
            <c:idx val="2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1E70-479B-A0C6-348276CF6BF8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1E70-479B-A0C6-348276CF6BF8}"/>
              </c:ext>
            </c:extLst>
          </c:dPt>
          <c:dPt>
            <c:idx val="2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1E70-479B-A0C6-348276CF6BF8}"/>
              </c:ext>
            </c:extLst>
          </c:dPt>
          <c:dPt>
            <c:idx val="2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1E70-479B-A0C6-348276CF6BF8}"/>
              </c:ext>
            </c:extLst>
          </c:dPt>
          <c:dPt>
            <c:idx val="2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1E70-479B-A0C6-348276CF6BF8}"/>
              </c:ext>
            </c:extLst>
          </c:dPt>
          <c:dPt>
            <c:idx val="26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1E70-479B-A0C6-348276CF6BF8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1E70-479B-A0C6-348276CF6BF8}"/>
              </c:ext>
            </c:extLst>
          </c:dPt>
          <c:dPt>
            <c:idx val="28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1E70-479B-A0C6-348276CF6BF8}"/>
              </c:ext>
            </c:extLst>
          </c:dPt>
          <c:dPt>
            <c:idx val="29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1E70-479B-A0C6-348276CF6BF8}"/>
              </c:ext>
            </c:extLst>
          </c:dPt>
          <c:dPt>
            <c:idx val="3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1E70-479B-A0C6-348276CF6BF8}"/>
              </c:ext>
            </c:extLst>
          </c:dPt>
          <c:dPt>
            <c:idx val="3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1E70-479B-A0C6-348276CF6BF8}"/>
              </c:ext>
            </c:extLst>
          </c:dPt>
          <c:cat>
            <c:strRef>
              <c:f>'8月1日~8月10日の全国の取引状況'!$T$1:$T$32</c:f>
              <c:strCache>
                <c:ptCount val="32"/>
                <c:pt idx="0">
                  <c:v>&lt;-10</c:v>
                </c:pt>
                <c:pt idx="1">
                  <c:v>-10&lt;X&lt;-9</c:v>
                </c:pt>
                <c:pt idx="2">
                  <c:v>-9&lt;X&lt;-8</c:v>
                </c:pt>
                <c:pt idx="3">
                  <c:v>-8&lt;X&lt;-7</c:v>
                </c:pt>
                <c:pt idx="4">
                  <c:v>-7&lt;X&lt;-6</c:v>
                </c:pt>
                <c:pt idx="5">
                  <c:v>-6&lt;X&lt;-5</c:v>
                </c:pt>
                <c:pt idx="6">
                  <c:v>-5&lt;X&lt;-4</c:v>
                </c:pt>
                <c:pt idx="7">
                  <c:v>-4&lt;X&lt;-3</c:v>
                </c:pt>
                <c:pt idx="8">
                  <c:v>-3&lt;X&lt;-2</c:v>
                </c:pt>
                <c:pt idx="9">
                  <c:v>-2&lt;X&lt;-1</c:v>
                </c:pt>
                <c:pt idx="10">
                  <c:v>-1&lt;X&lt;0</c:v>
                </c:pt>
                <c:pt idx="11">
                  <c:v>0&lt;X&lt;1</c:v>
                </c:pt>
                <c:pt idx="12">
                  <c:v>1&lt;X&lt;2</c:v>
                </c:pt>
                <c:pt idx="13">
                  <c:v>2&lt;X&lt;3</c:v>
                </c:pt>
                <c:pt idx="14">
                  <c:v>3&lt;X&lt;4</c:v>
                </c:pt>
                <c:pt idx="15">
                  <c:v>4&lt;X&lt;5</c:v>
                </c:pt>
                <c:pt idx="16">
                  <c:v>5&lt;X&lt;6</c:v>
                </c:pt>
                <c:pt idx="17">
                  <c:v>6&lt;X&lt;7</c:v>
                </c:pt>
                <c:pt idx="18">
                  <c:v>7&lt;X&lt;8</c:v>
                </c:pt>
                <c:pt idx="19">
                  <c:v>8&lt;X&lt;9</c:v>
                </c:pt>
                <c:pt idx="20">
                  <c:v>9&lt;X&lt;10</c:v>
                </c:pt>
                <c:pt idx="21">
                  <c:v>10&lt;X&lt;11</c:v>
                </c:pt>
                <c:pt idx="22">
                  <c:v>11&lt;X&lt;12</c:v>
                </c:pt>
                <c:pt idx="23">
                  <c:v>12&lt;X&lt;13</c:v>
                </c:pt>
                <c:pt idx="24">
                  <c:v>13&lt;X&lt;14</c:v>
                </c:pt>
                <c:pt idx="25">
                  <c:v>14&lt;X&lt;15</c:v>
                </c:pt>
                <c:pt idx="26">
                  <c:v>15&lt;X&lt;16</c:v>
                </c:pt>
                <c:pt idx="27">
                  <c:v>16&lt;X&lt;17</c:v>
                </c:pt>
                <c:pt idx="28">
                  <c:v>17&lt;X&lt;18</c:v>
                </c:pt>
                <c:pt idx="29">
                  <c:v>18&lt;X&lt;19</c:v>
                </c:pt>
                <c:pt idx="30">
                  <c:v>19&lt;X&lt;20</c:v>
                </c:pt>
                <c:pt idx="31">
                  <c:v>&gt;20</c:v>
                </c:pt>
              </c:strCache>
            </c:strRef>
          </c:cat>
          <c:val>
            <c:numRef>
              <c:f>'8月1日~8月10日の全国の取引状況'!$U$1:$U$32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5</c:v>
                </c:pt>
                <c:pt idx="6">
                  <c:v>10</c:v>
                </c:pt>
                <c:pt idx="7">
                  <c:v>14</c:v>
                </c:pt>
                <c:pt idx="8">
                  <c:v>22</c:v>
                </c:pt>
                <c:pt idx="9">
                  <c:v>28</c:v>
                </c:pt>
                <c:pt idx="10">
                  <c:v>31</c:v>
                </c:pt>
                <c:pt idx="11">
                  <c:v>44</c:v>
                </c:pt>
                <c:pt idx="12">
                  <c:v>63</c:v>
                </c:pt>
                <c:pt idx="13">
                  <c:v>42</c:v>
                </c:pt>
                <c:pt idx="14">
                  <c:v>30</c:v>
                </c:pt>
                <c:pt idx="15">
                  <c:v>15</c:v>
                </c:pt>
                <c:pt idx="16">
                  <c:v>21</c:v>
                </c:pt>
                <c:pt idx="17">
                  <c:v>17</c:v>
                </c:pt>
                <c:pt idx="18">
                  <c:v>25</c:v>
                </c:pt>
                <c:pt idx="19">
                  <c:v>14</c:v>
                </c:pt>
                <c:pt idx="20">
                  <c:v>7</c:v>
                </c:pt>
                <c:pt idx="21">
                  <c:v>12</c:v>
                </c:pt>
                <c:pt idx="22">
                  <c:v>10</c:v>
                </c:pt>
                <c:pt idx="23">
                  <c:v>9</c:v>
                </c:pt>
                <c:pt idx="24">
                  <c:v>9</c:v>
                </c:pt>
                <c:pt idx="25">
                  <c:v>10</c:v>
                </c:pt>
                <c:pt idx="26">
                  <c:v>4</c:v>
                </c:pt>
                <c:pt idx="27">
                  <c:v>7</c:v>
                </c:pt>
                <c:pt idx="28">
                  <c:v>6</c:v>
                </c:pt>
                <c:pt idx="29">
                  <c:v>9</c:v>
                </c:pt>
                <c:pt idx="30">
                  <c:v>6</c:v>
                </c:pt>
                <c:pt idx="3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B7-4DBA-9588-573B45C45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700793103"/>
        <c:axId val="700795599"/>
      </c:barChart>
      <c:catAx>
        <c:axId val="70079310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インバランス率範囲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00795599"/>
        <c:crosses val="autoZero"/>
        <c:auto val="1"/>
        <c:lblAlgn val="ctr"/>
        <c:lblOffset val="100"/>
        <c:noMultiLvlLbl val="0"/>
      </c:catAx>
      <c:valAx>
        <c:axId val="70079559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該当コマ数</a:t>
                </a:r>
              </a:p>
            </c:rich>
          </c:tx>
          <c:layout>
            <c:manualLayout>
              <c:xMode val="edge"/>
              <c:yMode val="edge"/>
              <c:x val="1.1144277908455963E-2"/>
              <c:y val="0.420102705845102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00793103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4709910934255"/>
          <c:y val="1.8972434145213712E-2"/>
          <c:w val="0.86210622966151262"/>
          <c:h val="0.87786436021922132"/>
        </c:manualLayout>
      </c:layout>
      <c:barChart>
        <c:barDir val="col"/>
        <c:grouping val="clustered"/>
        <c:varyColors val="0"/>
        <c:ser>
          <c:idx val="0"/>
          <c:order val="0"/>
          <c:tx>
            <c:v>不足インバランス許容率：6%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測定!$K$17:$K$19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cat>
          <c:val>
            <c:numRef>
              <c:f>測定!$C$17:$C$19</c:f>
              <c:numCache>
                <c:formatCode>General</c:formatCode>
                <c:ptCount val="3"/>
                <c:pt idx="0">
                  <c:v>235279</c:v>
                </c:pt>
                <c:pt idx="1">
                  <c:v>192243</c:v>
                </c:pt>
                <c:pt idx="2">
                  <c:v>75481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E7-4C42-8184-96674C7B8D1F}"/>
            </c:ext>
          </c:extLst>
        </c:ser>
        <c:ser>
          <c:idx val="1"/>
          <c:order val="1"/>
          <c:tx>
            <c:v>不足インバランス許容率：4%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測定!$K$17:$K$19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cat>
          <c:val>
            <c:numRef>
              <c:f>測定!$F$17:$F$19</c:f>
              <c:numCache>
                <c:formatCode>General</c:formatCode>
                <c:ptCount val="3"/>
                <c:pt idx="0">
                  <c:v>333625</c:v>
                </c:pt>
                <c:pt idx="1">
                  <c:v>290589</c:v>
                </c:pt>
                <c:pt idx="2">
                  <c:v>173827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EE7-4C42-8184-96674C7B8D1F}"/>
            </c:ext>
          </c:extLst>
        </c:ser>
        <c:ser>
          <c:idx val="2"/>
          <c:order val="2"/>
          <c:tx>
            <c:v>不足インバランス許容率：2%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測定!$K$17:$K$19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cat>
          <c:val>
            <c:numRef>
              <c:f>測定!$I$17:$I$19</c:f>
              <c:numCache>
                <c:formatCode>General</c:formatCode>
                <c:ptCount val="3"/>
                <c:pt idx="0">
                  <c:v>373591</c:v>
                </c:pt>
                <c:pt idx="1">
                  <c:v>330555</c:v>
                </c:pt>
                <c:pt idx="2">
                  <c:v>213793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EE7-4C42-8184-96674C7B8D1F}"/>
            </c:ext>
          </c:extLst>
        </c:ser>
        <c:ser>
          <c:idx val="3"/>
          <c:order val="3"/>
          <c:tx>
            <c:v>不足インバランス許容率：0%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測定!$K$17:$K$19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cat>
          <c:val>
            <c:numRef>
              <c:f>測定!$L$17:$L$19</c:f>
              <c:numCache>
                <c:formatCode>General</c:formatCode>
                <c:ptCount val="3"/>
                <c:pt idx="0">
                  <c:v>554869</c:v>
                </c:pt>
                <c:pt idx="1">
                  <c:v>511833</c:v>
                </c:pt>
                <c:pt idx="2">
                  <c:v>395071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EE7-4C42-8184-96674C7B8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85"/>
        <c:axId val="1128359520"/>
        <c:axId val="1128361600"/>
      </c:barChart>
      <c:lineChart>
        <c:grouping val="standard"/>
        <c:varyColors val="0"/>
        <c:ser>
          <c:idx val="4"/>
          <c:order val="4"/>
          <c:tx>
            <c:v>Agreement Cost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測定!$K$17:$K$19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cat>
          <c:val>
            <c:numRef>
              <c:f>測定!$N$17:$N$19</c:f>
              <c:numCache>
                <c:formatCode>General</c:formatCode>
                <c:ptCount val="3"/>
                <c:pt idx="0">
                  <c:v>468999</c:v>
                </c:pt>
                <c:pt idx="1">
                  <c:v>468999</c:v>
                </c:pt>
                <c:pt idx="2">
                  <c:v>468999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EC-45D1-9C13-207456559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8359520"/>
        <c:axId val="1128361600"/>
      </c:lineChart>
      <c:catAx>
        <c:axId val="1128359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余剰インバランス許容率 </a:t>
                </a:r>
                <a:r>
                  <a:rPr lang="en-US" altLang="ja-JP"/>
                  <a:t>[%]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0.40154562936278276"/>
              <c:y val="0.9318480138169257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28361600"/>
        <c:crosses val="autoZero"/>
        <c:auto val="1"/>
        <c:lblAlgn val="ctr"/>
        <c:lblOffset val="100"/>
        <c:noMultiLvlLbl val="0"/>
      </c:catAx>
      <c:valAx>
        <c:axId val="11283616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transaction const [Gas]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2835952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66198282007773379"/>
          <c:y val="2.3409897596997256E-2"/>
          <c:w val="0.32255184020146344"/>
          <c:h val="0.167100485496307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700087</xdr:colOff>
      <xdr:row>4</xdr:row>
      <xdr:rowOff>166687</xdr:rowOff>
    </xdr:from>
    <xdr:to>
      <xdr:col>31</xdr:col>
      <xdr:colOff>228600</xdr:colOff>
      <xdr:row>23</xdr:row>
      <xdr:rowOff>219075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0EACFF6-1449-4195-A374-B531BA231C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185737</xdr:colOff>
      <xdr:row>19</xdr:row>
      <xdr:rowOff>190500</xdr:rowOff>
    </xdr:from>
    <xdr:to>
      <xdr:col>13</xdr:col>
      <xdr:colOff>784412</xdr:colOff>
      <xdr:row>36</xdr:row>
      <xdr:rowOff>168088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B863B17A-60EE-4622-B638-4E343E7718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585E5-4C64-4C81-A346-1727FAE62170}">
  <sheetPr codeName="Sheet1"/>
  <dimension ref="A1:U481"/>
  <sheetViews>
    <sheetView topLeftCell="L1" zoomScale="85" zoomScaleNormal="85" workbookViewId="0">
      <selection activeCell="AB4" sqref="AB4"/>
    </sheetView>
  </sheetViews>
  <sheetFormatPr defaultRowHeight="18.75" x14ac:dyDescent="0.4"/>
  <cols>
    <col min="2" max="2" width="6.25" bestFit="1" customWidth="1"/>
    <col min="13" max="13" width="26" bestFit="1" customWidth="1"/>
    <col min="14" max="14" width="25" bestFit="1" customWidth="1"/>
    <col min="15" max="15" width="12.5" bestFit="1" customWidth="1"/>
    <col min="16" max="16" width="18.5" bestFit="1" customWidth="1"/>
    <col min="17" max="17" width="6.25" bestFit="1" customWidth="1"/>
    <col min="18" max="18" width="29.25" bestFit="1" customWidth="1"/>
    <col min="19" max="19" width="15.5" bestFit="1" customWidth="1"/>
    <col min="20" max="20" width="10.25" bestFit="1" customWidth="1"/>
    <col min="21" max="21" width="4.5" bestFit="1" customWidth="1"/>
    <col min="22" max="22" width="9.25" bestFit="1" customWidth="1"/>
    <col min="23" max="23" width="13" bestFit="1" customWidth="1"/>
    <col min="24" max="24" width="9.25" bestFit="1" customWidth="1"/>
    <col min="27" max="30" width="9.25" bestFit="1" customWidth="1"/>
    <col min="31" max="31" width="8.375" bestFit="1" customWidth="1"/>
    <col min="32" max="40" width="7.5" bestFit="1" customWidth="1"/>
    <col min="41" max="41" width="8.5" bestFit="1" customWidth="1"/>
    <col min="42" max="46" width="9.5" bestFit="1" customWidth="1"/>
    <col min="47" max="47" width="4.875" bestFit="1" customWidth="1"/>
  </cols>
  <sheetData>
    <row r="1" spans="1:21" x14ac:dyDescent="0.4">
      <c r="A1" t="s">
        <v>51</v>
      </c>
      <c r="B1" t="s">
        <v>52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49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50</v>
      </c>
      <c r="T1" s="4" t="s">
        <v>15</v>
      </c>
      <c r="U1">
        <f>COUNTIF(R2:R481,"&lt;-10")</f>
        <v>0</v>
      </c>
    </row>
    <row r="2" spans="1:21" x14ac:dyDescent="0.4">
      <c r="A2">
        <v>20210801</v>
      </c>
      <c r="B2" s="1">
        <v>0</v>
      </c>
      <c r="C2">
        <v>15532</v>
      </c>
      <c r="D2">
        <v>-26679</v>
      </c>
      <c r="E2">
        <v>-33793</v>
      </c>
      <c r="F2">
        <v>210874</v>
      </c>
      <c r="G2">
        <v>-13087</v>
      </c>
      <c r="H2">
        <v>210470</v>
      </c>
      <c r="I2">
        <v>-89236</v>
      </c>
      <c r="J2">
        <v>-17860</v>
      </c>
      <c r="K2">
        <v>-110700</v>
      </c>
      <c r="L2">
        <v>-50207</v>
      </c>
      <c r="M2">
        <v>6.93</v>
      </c>
      <c r="N2">
        <f>SUM(C2:L2)</f>
        <v>95314</v>
      </c>
      <c r="O2">
        <v>17655400</v>
      </c>
      <c r="P2" s="2">
        <f>((N2*100)/O2)</f>
        <v>0.53985749402449112</v>
      </c>
      <c r="Q2" s="3" t="str">
        <f>IF(N2&lt;0,"〇","")</f>
        <v/>
      </c>
      <c r="R2" s="2">
        <f t="shared" ref="R2:R65" si="0">IF(N2&lt;0,-P2,P2)</f>
        <v>0.53985749402449112</v>
      </c>
      <c r="S2" s="5">
        <f>(M2*O2)/10^7</f>
        <v>12.2351922</v>
      </c>
      <c r="T2" s="4" t="s">
        <v>31</v>
      </c>
      <c r="U2">
        <f>COUNTIFS(R2:R481,"&gt;=-10",R2:R481,"&lt;-9")</f>
        <v>0</v>
      </c>
    </row>
    <row r="3" spans="1:21" x14ac:dyDescent="0.4">
      <c r="A3">
        <v>20210801</v>
      </c>
      <c r="B3" s="1">
        <v>2.0833333333333332E-2</v>
      </c>
      <c r="C3">
        <v>13765</v>
      </c>
      <c r="D3">
        <v>8553</v>
      </c>
      <c r="E3">
        <v>-121859</v>
      </c>
      <c r="F3">
        <v>243887</v>
      </c>
      <c r="G3">
        <v>10507</v>
      </c>
      <c r="H3">
        <v>190937</v>
      </c>
      <c r="I3">
        <v>-90586</v>
      </c>
      <c r="J3">
        <v>-23970</v>
      </c>
      <c r="K3">
        <v>-93444</v>
      </c>
      <c r="L3">
        <v>-46398</v>
      </c>
      <c r="M3">
        <v>6.93</v>
      </c>
      <c r="N3">
        <f t="shared" ref="N3:N66" si="1">SUM(C3:L3)</f>
        <v>91392</v>
      </c>
      <c r="O3">
        <v>18958700</v>
      </c>
      <c r="P3" s="2">
        <f t="shared" ref="P3:P66" si="2">((ABS(N3)*100)/O3)</f>
        <v>0.48205836898099552</v>
      </c>
      <c r="Q3" t="str">
        <f t="shared" ref="Q3:Q66" si="3">IF(N3&lt;0,"〇","")</f>
        <v/>
      </c>
      <c r="R3" s="2">
        <f t="shared" si="0"/>
        <v>0.48205836898099552</v>
      </c>
      <c r="S3" s="5">
        <f t="shared" ref="S3:S66" si="4">(M3*O3)/10^7</f>
        <v>13.1383791</v>
      </c>
      <c r="T3" s="4" t="s">
        <v>32</v>
      </c>
      <c r="U3">
        <f>COUNTIFS(R2:R481,"&gt;=-9",R2:R481,"&lt;-8")</f>
        <v>0</v>
      </c>
    </row>
    <row r="4" spans="1:21" x14ac:dyDescent="0.4">
      <c r="A4">
        <v>20210801</v>
      </c>
      <c r="B4" s="1">
        <v>4.1666666666666664E-2</v>
      </c>
      <c r="C4">
        <v>40699</v>
      </c>
      <c r="D4">
        <v>-45666</v>
      </c>
      <c r="E4">
        <v>-152555</v>
      </c>
      <c r="F4">
        <v>236714</v>
      </c>
      <c r="G4">
        <v>10703</v>
      </c>
      <c r="H4">
        <v>199471</v>
      </c>
      <c r="I4">
        <v>-44477</v>
      </c>
      <c r="J4">
        <v>-10904</v>
      </c>
      <c r="K4">
        <v>-59007</v>
      </c>
      <c r="L4">
        <v>-41214</v>
      </c>
      <c r="M4">
        <v>7.03</v>
      </c>
      <c r="N4">
        <f t="shared" si="1"/>
        <v>133764</v>
      </c>
      <c r="O4">
        <v>19205250</v>
      </c>
      <c r="P4" s="2">
        <f t="shared" si="2"/>
        <v>0.69649705158745656</v>
      </c>
      <c r="Q4" t="str">
        <f t="shared" si="3"/>
        <v/>
      </c>
      <c r="R4" s="2">
        <f t="shared" si="0"/>
        <v>0.69649705158745656</v>
      </c>
      <c r="S4" s="5">
        <f t="shared" si="4"/>
        <v>13.501290750000001</v>
      </c>
      <c r="T4" s="4" t="s">
        <v>33</v>
      </c>
      <c r="U4">
        <f>COUNTIFS(R2:R481,"&gt;=-8",R2:R481,"&lt;-7")</f>
        <v>2</v>
      </c>
    </row>
    <row r="5" spans="1:21" x14ac:dyDescent="0.4">
      <c r="A5">
        <v>20210801</v>
      </c>
      <c r="B5" s="1">
        <v>6.25E-2</v>
      </c>
      <c r="C5">
        <v>43710</v>
      </c>
      <c r="D5">
        <v>-47171</v>
      </c>
      <c r="E5">
        <v>5069</v>
      </c>
      <c r="F5">
        <v>225977</v>
      </c>
      <c r="G5">
        <v>-2754</v>
      </c>
      <c r="H5">
        <v>156520</v>
      </c>
      <c r="I5">
        <v>-22997</v>
      </c>
      <c r="J5">
        <v>-16464</v>
      </c>
      <c r="K5">
        <v>-36193</v>
      </c>
      <c r="L5">
        <v>-42234</v>
      </c>
      <c r="M5">
        <v>6.99</v>
      </c>
      <c r="N5">
        <f t="shared" si="1"/>
        <v>263463</v>
      </c>
      <c r="O5">
        <v>19286800</v>
      </c>
      <c r="P5" s="2">
        <f t="shared" si="2"/>
        <v>1.3660275421531825</v>
      </c>
      <c r="Q5" t="str">
        <f t="shared" si="3"/>
        <v/>
      </c>
      <c r="R5" s="2">
        <f t="shared" si="0"/>
        <v>1.3660275421531825</v>
      </c>
      <c r="S5" s="5">
        <f t="shared" si="4"/>
        <v>13.4814732</v>
      </c>
      <c r="T5" s="4" t="s">
        <v>34</v>
      </c>
      <c r="U5">
        <f>COUNTIFS(R2:R481,"&gt;=-7",R2:R481,"&lt;-6")</f>
        <v>1</v>
      </c>
    </row>
    <row r="6" spans="1:21" x14ac:dyDescent="0.4">
      <c r="A6">
        <v>20210801</v>
      </c>
      <c r="B6" s="1">
        <v>8.3333333333333329E-2</v>
      </c>
      <c r="C6">
        <v>34667</v>
      </c>
      <c r="D6">
        <v>-60448</v>
      </c>
      <c r="E6">
        <v>-99797</v>
      </c>
      <c r="F6">
        <v>250335</v>
      </c>
      <c r="G6">
        <v>12366</v>
      </c>
      <c r="H6">
        <v>130315</v>
      </c>
      <c r="I6">
        <v>-6157</v>
      </c>
      <c r="J6">
        <v>-6901</v>
      </c>
      <c r="K6">
        <v>-82360</v>
      </c>
      <c r="L6">
        <v>-36874</v>
      </c>
      <c r="M6">
        <v>6.72</v>
      </c>
      <c r="N6">
        <f t="shared" si="1"/>
        <v>135146</v>
      </c>
      <c r="O6">
        <v>19354300</v>
      </c>
      <c r="P6" s="2">
        <f t="shared" si="2"/>
        <v>0.69827376861989321</v>
      </c>
      <c r="Q6" t="str">
        <f t="shared" si="3"/>
        <v/>
      </c>
      <c r="R6" s="2">
        <f t="shared" si="0"/>
        <v>0.69827376861989321</v>
      </c>
      <c r="S6" s="5">
        <f t="shared" si="4"/>
        <v>13.006089599999999</v>
      </c>
      <c r="T6" s="4" t="s">
        <v>35</v>
      </c>
      <c r="U6">
        <f>COUNTIFS(R2:R481,"&gt;=-6",R2:R481,"&lt;-5")</f>
        <v>5</v>
      </c>
    </row>
    <row r="7" spans="1:21" x14ac:dyDescent="0.4">
      <c r="A7">
        <v>20210801</v>
      </c>
      <c r="B7" s="1">
        <v>0.10416666666666667</v>
      </c>
      <c r="C7">
        <v>95393</v>
      </c>
      <c r="D7">
        <v>-46171</v>
      </c>
      <c r="E7">
        <v>-7859</v>
      </c>
      <c r="F7">
        <v>282793</v>
      </c>
      <c r="G7">
        <v>-210</v>
      </c>
      <c r="H7">
        <v>82810</v>
      </c>
      <c r="I7">
        <v>-39216</v>
      </c>
      <c r="J7">
        <v>-7439</v>
      </c>
      <c r="K7">
        <v>-76289</v>
      </c>
      <c r="L7">
        <v>-46219</v>
      </c>
      <c r="M7">
        <v>6.64</v>
      </c>
      <c r="N7">
        <f t="shared" si="1"/>
        <v>237593</v>
      </c>
      <c r="O7">
        <v>19478100</v>
      </c>
      <c r="P7" s="2">
        <f t="shared" si="2"/>
        <v>1.2197955652758738</v>
      </c>
      <c r="Q7" t="str">
        <f t="shared" si="3"/>
        <v/>
      </c>
      <c r="R7" s="2">
        <f t="shared" si="0"/>
        <v>1.2197955652758738</v>
      </c>
      <c r="S7" s="5">
        <f t="shared" si="4"/>
        <v>12.933458399999999</v>
      </c>
      <c r="T7" s="4" t="s">
        <v>36</v>
      </c>
      <c r="U7">
        <f>COUNTIFS(R2:R481,"&gt;=-5",R2:R481,"&lt;-4")</f>
        <v>10</v>
      </c>
    </row>
    <row r="8" spans="1:21" x14ac:dyDescent="0.4">
      <c r="A8">
        <v>20210801</v>
      </c>
      <c r="B8" s="1">
        <v>0.125</v>
      </c>
      <c r="C8">
        <v>50620</v>
      </c>
      <c r="D8">
        <v>-63868</v>
      </c>
      <c r="E8">
        <v>-100555</v>
      </c>
      <c r="F8">
        <v>220451</v>
      </c>
      <c r="G8">
        <v>9310</v>
      </c>
      <c r="H8">
        <v>124574</v>
      </c>
      <c r="I8">
        <v>-35978</v>
      </c>
      <c r="J8">
        <v>5124</v>
      </c>
      <c r="K8">
        <v>-78296</v>
      </c>
      <c r="L8">
        <v>-41617</v>
      </c>
      <c r="M8">
        <v>6.78</v>
      </c>
      <c r="N8">
        <f t="shared" si="1"/>
        <v>89765</v>
      </c>
      <c r="O8">
        <v>19630600</v>
      </c>
      <c r="P8" s="2">
        <f t="shared" si="2"/>
        <v>0.45727079151936262</v>
      </c>
      <c r="Q8" t="str">
        <f t="shared" si="3"/>
        <v/>
      </c>
      <c r="R8" s="2">
        <f t="shared" si="0"/>
        <v>0.45727079151936262</v>
      </c>
      <c r="S8" s="5">
        <f t="shared" si="4"/>
        <v>13.3095468</v>
      </c>
      <c r="T8" s="4" t="s">
        <v>37</v>
      </c>
      <c r="U8">
        <f>COUNTIFS(R2:R481,"&gt;=-4",R2:R481,"&lt;-3")</f>
        <v>14</v>
      </c>
    </row>
    <row r="9" spans="1:21" x14ac:dyDescent="0.4">
      <c r="A9">
        <v>20210801</v>
      </c>
      <c r="B9" s="1">
        <v>0.14583333333333334</v>
      </c>
      <c r="C9">
        <v>29282</v>
      </c>
      <c r="D9">
        <v>-42491</v>
      </c>
      <c r="E9">
        <v>-6132</v>
      </c>
      <c r="F9">
        <v>230161</v>
      </c>
      <c r="G9">
        <v>26846</v>
      </c>
      <c r="H9">
        <v>122642</v>
      </c>
      <c r="I9">
        <v>23671</v>
      </c>
      <c r="J9">
        <v>21113</v>
      </c>
      <c r="K9">
        <v>-20359</v>
      </c>
      <c r="L9">
        <v>-40148</v>
      </c>
      <c r="M9">
        <v>6.72</v>
      </c>
      <c r="N9">
        <f t="shared" si="1"/>
        <v>344585</v>
      </c>
      <c r="O9">
        <v>19671400</v>
      </c>
      <c r="P9" s="2">
        <f t="shared" si="2"/>
        <v>1.7517055217218906</v>
      </c>
      <c r="Q9" t="str">
        <f t="shared" si="3"/>
        <v/>
      </c>
      <c r="R9" s="2">
        <f t="shared" si="0"/>
        <v>1.7517055217218906</v>
      </c>
      <c r="S9" s="5">
        <f t="shared" si="4"/>
        <v>13.2191808</v>
      </c>
      <c r="T9" s="4" t="s">
        <v>38</v>
      </c>
      <c r="U9">
        <f>COUNTIFS(R2:R481,"&gt;=-3",R2:R481,"&lt;-2")</f>
        <v>22</v>
      </c>
    </row>
    <row r="10" spans="1:21" x14ac:dyDescent="0.4">
      <c r="A10">
        <v>20210801</v>
      </c>
      <c r="B10" s="1">
        <v>0.16666666666666666</v>
      </c>
      <c r="C10">
        <v>53859</v>
      </c>
      <c r="D10">
        <v>-55393</v>
      </c>
      <c r="E10">
        <v>-7903</v>
      </c>
      <c r="F10">
        <v>42878</v>
      </c>
      <c r="G10">
        <v>30778</v>
      </c>
      <c r="H10">
        <v>203201</v>
      </c>
      <c r="I10">
        <v>22149</v>
      </c>
      <c r="J10">
        <v>50012</v>
      </c>
      <c r="K10">
        <v>-23002</v>
      </c>
      <c r="L10">
        <v>-37405</v>
      </c>
      <c r="M10">
        <v>6.77</v>
      </c>
      <c r="N10">
        <f t="shared" si="1"/>
        <v>279174</v>
      </c>
      <c r="O10">
        <v>19693950</v>
      </c>
      <c r="P10" s="2">
        <f t="shared" si="2"/>
        <v>1.4175622462736017</v>
      </c>
      <c r="Q10" t="str">
        <f t="shared" si="3"/>
        <v/>
      </c>
      <c r="R10" s="2">
        <f t="shared" si="0"/>
        <v>1.4175622462736017</v>
      </c>
      <c r="S10" s="5">
        <f t="shared" si="4"/>
        <v>13.332804149999998</v>
      </c>
      <c r="T10" s="4" t="s">
        <v>39</v>
      </c>
      <c r="U10">
        <f>COUNTIFS(R2:R481,"&gt;=-2",R2:R481,"&lt;-1")</f>
        <v>28</v>
      </c>
    </row>
    <row r="11" spans="1:21" x14ac:dyDescent="0.4">
      <c r="A11">
        <v>20210801</v>
      </c>
      <c r="B11" s="1">
        <v>0.1875</v>
      </c>
      <c r="C11">
        <v>20961</v>
      </c>
      <c r="D11">
        <v>-21574</v>
      </c>
      <c r="E11">
        <v>32411</v>
      </c>
      <c r="F11">
        <v>50284</v>
      </c>
      <c r="G11">
        <v>5676</v>
      </c>
      <c r="H11">
        <v>129662</v>
      </c>
      <c r="I11">
        <v>-23372</v>
      </c>
      <c r="J11">
        <v>30798</v>
      </c>
      <c r="K11">
        <v>73523</v>
      </c>
      <c r="L11">
        <v>-43755</v>
      </c>
      <c r="M11">
        <v>6.77</v>
      </c>
      <c r="N11">
        <f t="shared" si="1"/>
        <v>254614</v>
      </c>
      <c r="O11">
        <v>19808300</v>
      </c>
      <c r="P11" s="2">
        <f t="shared" si="2"/>
        <v>1.2853904676322552</v>
      </c>
      <c r="Q11" t="str">
        <f t="shared" si="3"/>
        <v/>
      </c>
      <c r="R11" s="2">
        <f t="shared" si="0"/>
        <v>1.2853904676322552</v>
      </c>
      <c r="S11" s="5">
        <f t="shared" si="4"/>
        <v>13.410219099999999</v>
      </c>
      <c r="T11" s="4" t="s">
        <v>40</v>
      </c>
      <c r="U11">
        <f>COUNTIFS(R2:R481,"&gt;=-1",R2:R481,"&lt;0")</f>
        <v>31</v>
      </c>
    </row>
    <row r="12" spans="1:21" x14ac:dyDescent="0.4">
      <c r="A12">
        <v>20210801</v>
      </c>
      <c r="B12" s="1">
        <v>0.20833333333333334</v>
      </c>
      <c r="C12">
        <v>44954</v>
      </c>
      <c r="D12">
        <v>39060</v>
      </c>
      <c r="E12">
        <v>-110005</v>
      </c>
      <c r="F12">
        <v>27209</v>
      </c>
      <c r="G12">
        <v>-8791</v>
      </c>
      <c r="H12">
        <v>98854</v>
      </c>
      <c r="I12">
        <v>-4221</v>
      </c>
      <c r="J12">
        <v>30755</v>
      </c>
      <c r="K12">
        <v>5202</v>
      </c>
      <c r="L12">
        <v>-42462</v>
      </c>
      <c r="M12">
        <v>6.77</v>
      </c>
      <c r="N12">
        <f t="shared" si="1"/>
        <v>80555</v>
      </c>
      <c r="O12">
        <v>19812950</v>
      </c>
      <c r="P12" s="2">
        <f t="shared" si="2"/>
        <v>0.4065775162204518</v>
      </c>
      <c r="Q12" t="str">
        <f t="shared" si="3"/>
        <v/>
      </c>
      <c r="R12" s="2">
        <f t="shared" si="0"/>
        <v>0.4065775162204518</v>
      </c>
      <c r="S12" s="5">
        <f t="shared" si="4"/>
        <v>13.413367149999999</v>
      </c>
      <c r="T12" s="4" t="s">
        <v>16</v>
      </c>
      <c r="U12">
        <f>COUNTIFS(R2:R481,"&gt;=0",R2:R481,"&lt;1")</f>
        <v>44</v>
      </c>
    </row>
    <row r="13" spans="1:21" x14ac:dyDescent="0.4">
      <c r="A13">
        <v>20210801</v>
      </c>
      <c r="B13" s="1">
        <v>0.22916666666666666</v>
      </c>
      <c r="C13">
        <v>-12639</v>
      </c>
      <c r="D13">
        <v>115350</v>
      </c>
      <c r="E13">
        <v>292527</v>
      </c>
      <c r="F13">
        <v>73221</v>
      </c>
      <c r="G13">
        <v>9436</v>
      </c>
      <c r="H13">
        <v>110068</v>
      </c>
      <c r="I13">
        <v>-1184</v>
      </c>
      <c r="J13">
        <v>13719</v>
      </c>
      <c r="K13">
        <v>-29512</v>
      </c>
      <c r="L13">
        <v>-41661</v>
      </c>
      <c r="M13">
        <v>6.6</v>
      </c>
      <c r="N13">
        <f t="shared" si="1"/>
        <v>529325</v>
      </c>
      <c r="O13">
        <v>19937100</v>
      </c>
      <c r="P13" s="2">
        <f t="shared" si="2"/>
        <v>2.654974896048071</v>
      </c>
      <c r="Q13" t="str">
        <f t="shared" si="3"/>
        <v/>
      </c>
      <c r="R13" s="2">
        <f t="shared" si="0"/>
        <v>2.654974896048071</v>
      </c>
      <c r="S13" s="5">
        <f t="shared" si="4"/>
        <v>13.158486</v>
      </c>
      <c r="T13" s="4" t="s">
        <v>17</v>
      </c>
      <c r="U13">
        <f>COUNTIFS(R2:R481,"&gt;=1",R2:R481,"&lt;2")</f>
        <v>63</v>
      </c>
    </row>
    <row r="14" spans="1:21" x14ac:dyDescent="0.4">
      <c r="A14">
        <v>20210801</v>
      </c>
      <c r="B14" s="1">
        <v>0.25</v>
      </c>
      <c r="C14">
        <v>-10985</v>
      </c>
      <c r="D14">
        <v>177670</v>
      </c>
      <c r="E14">
        <v>77890</v>
      </c>
      <c r="F14">
        <v>28840</v>
      </c>
      <c r="G14">
        <v>10269</v>
      </c>
      <c r="H14">
        <v>58511</v>
      </c>
      <c r="I14">
        <v>87364</v>
      </c>
      <c r="J14">
        <v>11226</v>
      </c>
      <c r="K14">
        <v>-107933</v>
      </c>
      <c r="L14">
        <v>-43681</v>
      </c>
      <c r="M14">
        <v>6.45</v>
      </c>
      <c r="N14">
        <f t="shared" si="1"/>
        <v>289171</v>
      </c>
      <c r="O14">
        <v>19844000</v>
      </c>
      <c r="P14" s="2">
        <f t="shared" si="2"/>
        <v>1.4572213263454949</v>
      </c>
      <c r="Q14" t="str">
        <f t="shared" si="3"/>
        <v/>
      </c>
      <c r="R14" s="2">
        <f t="shared" si="0"/>
        <v>1.4572213263454949</v>
      </c>
      <c r="S14" s="5">
        <f t="shared" si="4"/>
        <v>12.799379999999999</v>
      </c>
      <c r="T14" s="4" t="s">
        <v>18</v>
      </c>
      <c r="U14">
        <f>COUNTIFS(R2:R481,"&gt;=2",R2:R481,"&lt;3")</f>
        <v>42</v>
      </c>
    </row>
    <row r="15" spans="1:21" x14ac:dyDescent="0.4">
      <c r="A15">
        <v>20210801</v>
      </c>
      <c r="B15" s="1">
        <v>0.27083333333333331</v>
      </c>
      <c r="C15">
        <v>7457</v>
      </c>
      <c r="D15">
        <v>296590</v>
      </c>
      <c r="E15">
        <v>662476</v>
      </c>
      <c r="F15">
        <v>48279</v>
      </c>
      <c r="G15">
        <v>-6332</v>
      </c>
      <c r="H15">
        <v>31267</v>
      </c>
      <c r="I15">
        <v>224312</v>
      </c>
      <c r="J15">
        <v>8388</v>
      </c>
      <c r="K15">
        <v>-228477</v>
      </c>
      <c r="L15">
        <v>-47352</v>
      </c>
      <c r="M15">
        <v>6.45</v>
      </c>
      <c r="N15">
        <f t="shared" si="1"/>
        <v>996608</v>
      </c>
      <c r="O15">
        <v>20183800</v>
      </c>
      <c r="P15" s="2">
        <f t="shared" si="2"/>
        <v>4.9376628781498031</v>
      </c>
      <c r="Q15" t="str">
        <f t="shared" si="3"/>
        <v/>
      </c>
      <c r="R15" s="2">
        <f t="shared" si="0"/>
        <v>4.9376628781498031</v>
      </c>
      <c r="S15" s="5">
        <f t="shared" si="4"/>
        <v>13.018551</v>
      </c>
      <c r="T15" s="4" t="s">
        <v>19</v>
      </c>
      <c r="U15">
        <f>COUNTIFS(R2:R481,"&gt;=3",R2:R481,"&lt;4")</f>
        <v>30</v>
      </c>
    </row>
    <row r="16" spans="1:21" x14ac:dyDescent="0.4">
      <c r="A16">
        <v>20210801</v>
      </c>
      <c r="B16" s="1">
        <v>0.29166666666666669</v>
      </c>
      <c r="C16">
        <v>-17446</v>
      </c>
      <c r="D16">
        <v>402173</v>
      </c>
      <c r="E16">
        <v>558734</v>
      </c>
      <c r="F16">
        <v>-8664</v>
      </c>
      <c r="G16">
        <v>-19854</v>
      </c>
      <c r="H16">
        <v>65511</v>
      </c>
      <c r="I16">
        <v>292083</v>
      </c>
      <c r="J16">
        <v>38524</v>
      </c>
      <c r="K16">
        <v>-378919</v>
      </c>
      <c r="L16">
        <v>-37757</v>
      </c>
      <c r="M16">
        <v>6.33</v>
      </c>
      <c r="N16">
        <f t="shared" si="1"/>
        <v>894385</v>
      </c>
      <c r="O16">
        <v>20648150</v>
      </c>
      <c r="P16" s="2">
        <f t="shared" si="2"/>
        <v>4.3315502841658935</v>
      </c>
      <c r="Q16" t="str">
        <f t="shared" si="3"/>
        <v/>
      </c>
      <c r="R16" s="2">
        <f t="shared" si="0"/>
        <v>4.3315502841658935</v>
      </c>
      <c r="S16" s="5">
        <f t="shared" si="4"/>
        <v>13.070278950000001</v>
      </c>
      <c r="T16" s="4" t="s">
        <v>20</v>
      </c>
      <c r="U16">
        <f>COUNTIFS(R2:R481,"&gt;=4",R2:R481,"&lt;5")</f>
        <v>15</v>
      </c>
    </row>
    <row r="17" spans="1:21" x14ac:dyDescent="0.4">
      <c r="A17">
        <v>20210801</v>
      </c>
      <c r="B17" s="1">
        <v>0.3125</v>
      </c>
      <c r="C17">
        <v>-28851</v>
      </c>
      <c r="D17">
        <v>509884</v>
      </c>
      <c r="E17">
        <v>999224</v>
      </c>
      <c r="F17">
        <v>43190</v>
      </c>
      <c r="G17">
        <v>21010</v>
      </c>
      <c r="H17">
        <v>80202</v>
      </c>
      <c r="I17">
        <v>441912</v>
      </c>
      <c r="J17">
        <v>102728</v>
      </c>
      <c r="K17">
        <v>-543720</v>
      </c>
      <c r="L17">
        <v>-46136</v>
      </c>
      <c r="M17">
        <v>6.48</v>
      </c>
      <c r="N17">
        <f t="shared" si="1"/>
        <v>1579443</v>
      </c>
      <c r="O17">
        <v>21270700</v>
      </c>
      <c r="P17" s="2">
        <f t="shared" si="2"/>
        <v>7.4254396893379155</v>
      </c>
      <c r="Q17" t="str">
        <f t="shared" si="3"/>
        <v/>
      </c>
      <c r="R17" s="2">
        <f t="shared" si="0"/>
        <v>7.4254396893379155</v>
      </c>
      <c r="S17" s="5">
        <f t="shared" si="4"/>
        <v>13.783413599999999</v>
      </c>
      <c r="T17" s="4" t="s">
        <v>21</v>
      </c>
      <c r="U17">
        <f>COUNTIFS(R2:R481,"&gt;=5",R2:R481,"&lt;6")</f>
        <v>21</v>
      </c>
    </row>
    <row r="18" spans="1:21" x14ac:dyDescent="0.4">
      <c r="A18">
        <v>20210801</v>
      </c>
      <c r="B18" s="1">
        <v>0.33333333333333331</v>
      </c>
      <c r="C18">
        <v>-34378</v>
      </c>
      <c r="D18">
        <v>435225</v>
      </c>
      <c r="E18">
        <v>212331</v>
      </c>
      <c r="F18">
        <v>161624</v>
      </c>
      <c r="G18">
        <v>82525</v>
      </c>
      <c r="H18">
        <v>133925</v>
      </c>
      <c r="I18">
        <v>84545</v>
      </c>
      <c r="J18">
        <v>140183</v>
      </c>
      <c r="K18">
        <v>-617188</v>
      </c>
      <c r="L18">
        <v>-34092</v>
      </c>
      <c r="M18">
        <v>6.49</v>
      </c>
      <c r="N18">
        <f t="shared" si="1"/>
        <v>564700</v>
      </c>
      <c r="O18">
        <v>21859100</v>
      </c>
      <c r="P18" s="2">
        <f t="shared" si="2"/>
        <v>2.5833634504622789</v>
      </c>
      <c r="Q18" t="str">
        <f t="shared" si="3"/>
        <v/>
      </c>
      <c r="R18" s="2">
        <f t="shared" si="0"/>
        <v>2.5833634504622789</v>
      </c>
      <c r="S18" s="5">
        <f t="shared" si="4"/>
        <v>14.1865559</v>
      </c>
      <c r="T18" s="4" t="s">
        <v>22</v>
      </c>
      <c r="U18">
        <f>COUNTIFS(R2:R481,"&gt;=6",R2:R481,"&lt;7")</f>
        <v>17</v>
      </c>
    </row>
    <row r="19" spans="1:21" x14ac:dyDescent="0.4">
      <c r="A19">
        <v>20210801</v>
      </c>
      <c r="B19" s="1">
        <v>0.35416666666666669</v>
      </c>
      <c r="C19">
        <v>-2655</v>
      </c>
      <c r="D19">
        <v>443342</v>
      </c>
      <c r="E19">
        <v>526844</v>
      </c>
      <c r="F19">
        <v>282448</v>
      </c>
      <c r="G19">
        <v>40505</v>
      </c>
      <c r="H19">
        <v>110372</v>
      </c>
      <c r="I19">
        <v>135995</v>
      </c>
      <c r="J19">
        <v>156328</v>
      </c>
      <c r="K19">
        <v>-688292</v>
      </c>
      <c r="L19">
        <v>-48991</v>
      </c>
      <c r="M19">
        <v>6.45</v>
      </c>
      <c r="N19">
        <f t="shared" si="1"/>
        <v>955896</v>
      </c>
      <c r="O19">
        <v>22280600</v>
      </c>
      <c r="P19" s="2">
        <f t="shared" si="2"/>
        <v>4.2902614830839383</v>
      </c>
      <c r="Q19" t="str">
        <f t="shared" si="3"/>
        <v/>
      </c>
      <c r="R19" s="2">
        <f t="shared" si="0"/>
        <v>4.2902614830839383</v>
      </c>
      <c r="S19" s="5">
        <f t="shared" si="4"/>
        <v>14.370987</v>
      </c>
      <c r="T19" s="4" t="s">
        <v>23</v>
      </c>
      <c r="U19">
        <f>COUNTIFS(R2:R481,"&gt;=7",R2:R481,"&lt;8")</f>
        <v>25</v>
      </c>
    </row>
    <row r="20" spans="1:21" x14ac:dyDescent="0.4">
      <c r="A20">
        <v>20210801</v>
      </c>
      <c r="B20" s="1">
        <v>0.375</v>
      </c>
      <c r="C20">
        <v>-32268</v>
      </c>
      <c r="D20">
        <v>385856</v>
      </c>
      <c r="E20">
        <v>-60700</v>
      </c>
      <c r="F20">
        <v>452420</v>
      </c>
      <c r="G20">
        <v>93164</v>
      </c>
      <c r="H20">
        <v>43215</v>
      </c>
      <c r="I20">
        <v>201920</v>
      </c>
      <c r="J20">
        <v>151425</v>
      </c>
      <c r="K20">
        <v>-598216</v>
      </c>
      <c r="L20">
        <v>-19041</v>
      </c>
      <c r="M20">
        <v>6.64</v>
      </c>
      <c r="N20">
        <f t="shared" si="1"/>
        <v>617775</v>
      </c>
      <c r="O20">
        <v>22607000</v>
      </c>
      <c r="P20" s="2">
        <f t="shared" si="2"/>
        <v>2.7326712965010835</v>
      </c>
      <c r="Q20" t="str">
        <f t="shared" si="3"/>
        <v/>
      </c>
      <c r="R20" s="2">
        <f t="shared" si="0"/>
        <v>2.7326712965010835</v>
      </c>
      <c r="S20" s="5">
        <f t="shared" si="4"/>
        <v>15.011048000000001</v>
      </c>
      <c r="T20" s="4" t="s">
        <v>24</v>
      </c>
      <c r="U20">
        <f>COUNTIFS(R2:R481,"&gt;=8",R2:R481,"&lt;9")</f>
        <v>14</v>
      </c>
    </row>
    <row r="21" spans="1:21" x14ac:dyDescent="0.4">
      <c r="A21">
        <v>20210801</v>
      </c>
      <c r="B21" s="1">
        <v>0.39583333333333331</v>
      </c>
      <c r="C21">
        <v>-33867</v>
      </c>
      <c r="D21">
        <v>379460</v>
      </c>
      <c r="E21">
        <v>41409</v>
      </c>
      <c r="F21">
        <v>461133</v>
      </c>
      <c r="G21">
        <v>98592</v>
      </c>
      <c r="H21">
        <v>208498</v>
      </c>
      <c r="I21">
        <v>260687</v>
      </c>
      <c r="J21">
        <v>156399</v>
      </c>
      <c r="K21">
        <v>-395871</v>
      </c>
      <c r="L21">
        <v>-21961</v>
      </c>
      <c r="M21">
        <v>6.86</v>
      </c>
      <c r="N21">
        <f t="shared" si="1"/>
        <v>1154479</v>
      </c>
      <c r="O21">
        <v>22793750</v>
      </c>
      <c r="P21" s="2">
        <f t="shared" si="2"/>
        <v>5.0648927885933643</v>
      </c>
      <c r="Q21" t="str">
        <f t="shared" si="3"/>
        <v/>
      </c>
      <c r="R21" s="2">
        <f t="shared" si="0"/>
        <v>5.0648927885933643</v>
      </c>
      <c r="S21" s="5">
        <f t="shared" si="4"/>
        <v>15.6365125</v>
      </c>
      <c r="T21" s="4" t="s">
        <v>25</v>
      </c>
      <c r="U21">
        <f>COUNTIFS(R2:R481,"&gt;=9",R2:R481,"&lt;10")</f>
        <v>7</v>
      </c>
    </row>
    <row r="22" spans="1:21" x14ac:dyDescent="0.4">
      <c r="A22">
        <v>20210801</v>
      </c>
      <c r="B22" s="1">
        <v>0.41666666666666702</v>
      </c>
      <c r="C22">
        <v>-47269</v>
      </c>
      <c r="D22">
        <v>288527</v>
      </c>
      <c r="E22">
        <v>-128927</v>
      </c>
      <c r="F22">
        <v>578136</v>
      </c>
      <c r="G22">
        <v>106463</v>
      </c>
      <c r="H22">
        <v>121970</v>
      </c>
      <c r="I22">
        <v>358283</v>
      </c>
      <c r="J22">
        <v>196397</v>
      </c>
      <c r="K22">
        <v>-207222</v>
      </c>
      <c r="L22">
        <v>-28492</v>
      </c>
      <c r="M22">
        <v>6.92</v>
      </c>
      <c r="N22">
        <f t="shared" si="1"/>
        <v>1237866</v>
      </c>
      <c r="O22">
        <v>23239550</v>
      </c>
      <c r="P22" s="2">
        <f t="shared" si="2"/>
        <v>5.3265489219885929</v>
      </c>
      <c r="Q22" t="str">
        <f t="shared" si="3"/>
        <v/>
      </c>
      <c r="R22" s="2">
        <f t="shared" si="0"/>
        <v>5.3265489219885929</v>
      </c>
      <c r="S22" s="5">
        <f t="shared" si="4"/>
        <v>16.0817686</v>
      </c>
      <c r="T22" s="4" t="s">
        <v>26</v>
      </c>
      <c r="U22">
        <f>COUNTIFS(R2:R481,"&gt;=10",R2:R481,"&lt;11")</f>
        <v>12</v>
      </c>
    </row>
    <row r="23" spans="1:21" x14ac:dyDescent="0.4">
      <c r="A23">
        <v>20210801</v>
      </c>
      <c r="B23" s="1">
        <v>0.4375</v>
      </c>
      <c r="C23">
        <v>84481</v>
      </c>
      <c r="D23">
        <v>227765</v>
      </c>
      <c r="E23">
        <v>231594</v>
      </c>
      <c r="F23">
        <v>603095</v>
      </c>
      <c r="G23">
        <v>114636</v>
      </c>
      <c r="H23">
        <v>135684</v>
      </c>
      <c r="I23">
        <v>328888</v>
      </c>
      <c r="J23">
        <v>212545</v>
      </c>
      <c r="K23">
        <v>49061</v>
      </c>
      <c r="L23">
        <v>-35896</v>
      </c>
      <c r="M23">
        <v>6.92</v>
      </c>
      <c r="N23">
        <f t="shared" si="1"/>
        <v>1951853</v>
      </c>
      <c r="O23">
        <v>23331400</v>
      </c>
      <c r="P23" s="2">
        <f t="shared" si="2"/>
        <v>8.3657774501315831</v>
      </c>
      <c r="Q23" t="str">
        <f t="shared" si="3"/>
        <v/>
      </c>
      <c r="R23" s="2">
        <f t="shared" si="0"/>
        <v>8.3657774501315831</v>
      </c>
      <c r="S23" s="5">
        <f t="shared" si="4"/>
        <v>16.145328800000001</v>
      </c>
      <c r="T23" s="4" t="s">
        <v>27</v>
      </c>
      <c r="U23">
        <f>COUNTIFS(R2:R481,"&gt;=11",R2:R481,"&lt;12")</f>
        <v>10</v>
      </c>
    </row>
    <row r="24" spans="1:21" x14ac:dyDescent="0.4">
      <c r="A24">
        <v>20210801</v>
      </c>
      <c r="B24" s="1">
        <v>0.45833333333333331</v>
      </c>
      <c r="C24">
        <v>6947</v>
      </c>
      <c r="D24">
        <v>176200</v>
      </c>
      <c r="E24">
        <v>167566</v>
      </c>
      <c r="F24">
        <v>632852</v>
      </c>
      <c r="G24">
        <v>108975</v>
      </c>
      <c r="H24">
        <v>-35495</v>
      </c>
      <c r="I24">
        <v>361279</v>
      </c>
      <c r="J24">
        <v>193198</v>
      </c>
      <c r="K24">
        <v>283850</v>
      </c>
      <c r="L24">
        <v>-30061</v>
      </c>
      <c r="M24">
        <v>6.99</v>
      </c>
      <c r="N24">
        <f t="shared" si="1"/>
        <v>1865311</v>
      </c>
      <c r="O24">
        <v>23482850</v>
      </c>
      <c r="P24" s="2">
        <f t="shared" si="2"/>
        <v>7.9432905290456652</v>
      </c>
      <c r="Q24" t="str">
        <f t="shared" si="3"/>
        <v/>
      </c>
      <c r="R24" s="2">
        <f t="shared" si="0"/>
        <v>7.9432905290456652</v>
      </c>
      <c r="S24" s="5">
        <f t="shared" si="4"/>
        <v>16.41451215</v>
      </c>
      <c r="T24" s="4" t="s">
        <v>28</v>
      </c>
      <c r="U24">
        <f>COUNTIFS(R2:R481,"&gt;=12",R2:R481,"&lt;13")</f>
        <v>9</v>
      </c>
    </row>
    <row r="25" spans="1:21" x14ac:dyDescent="0.4">
      <c r="A25">
        <v>20210801</v>
      </c>
      <c r="B25" s="1">
        <v>0.47916666666666669</v>
      </c>
      <c r="C25">
        <v>4577</v>
      </c>
      <c r="D25">
        <v>145686</v>
      </c>
      <c r="E25">
        <v>29841</v>
      </c>
      <c r="F25">
        <v>565297</v>
      </c>
      <c r="G25">
        <v>141791</v>
      </c>
      <c r="H25">
        <v>-143991</v>
      </c>
      <c r="I25">
        <v>357910</v>
      </c>
      <c r="J25">
        <v>160985</v>
      </c>
      <c r="K25">
        <v>509954</v>
      </c>
      <c r="L25">
        <v>-31983</v>
      </c>
      <c r="M25">
        <v>6.99</v>
      </c>
      <c r="N25">
        <f t="shared" si="1"/>
        <v>1740067</v>
      </c>
      <c r="O25">
        <v>23658950</v>
      </c>
      <c r="P25" s="2">
        <f t="shared" si="2"/>
        <v>7.3547938517981564</v>
      </c>
      <c r="Q25" t="str">
        <f t="shared" si="3"/>
        <v/>
      </c>
      <c r="R25" s="2">
        <f t="shared" si="0"/>
        <v>7.3547938517981564</v>
      </c>
      <c r="S25" s="5">
        <f t="shared" si="4"/>
        <v>16.537606050000001</v>
      </c>
      <c r="T25" s="4" t="s">
        <v>29</v>
      </c>
      <c r="U25">
        <f>COUNTIFS(R2:R481,"&gt;=13",R2:R481,"&lt;14")</f>
        <v>9</v>
      </c>
    </row>
    <row r="26" spans="1:21" x14ac:dyDescent="0.4">
      <c r="A26">
        <v>20210801</v>
      </c>
      <c r="B26" s="1">
        <v>0.5</v>
      </c>
      <c r="C26">
        <v>53747</v>
      </c>
      <c r="D26">
        <v>245285</v>
      </c>
      <c r="E26">
        <v>-103007</v>
      </c>
      <c r="F26">
        <v>354168</v>
      </c>
      <c r="G26">
        <v>127001</v>
      </c>
      <c r="H26">
        <v>-166738</v>
      </c>
      <c r="I26">
        <v>357669</v>
      </c>
      <c r="J26">
        <v>127168</v>
      </c>
      <c r="K26">
        <v>762628</v>
      </c>
      <c r="L26">
        <v>-20188</v>
      </c>
      <c r="M26">
        <v>7.23</v>
      </c>
      <c r="N26">
        <f t="shared" si="1"/>
        <v>1737733</v>
      </c>
      <c r="O26">
        <v>23236550</v>
      </c>
      <c r="P26" s="2">
        <f t="shared" si="2"/>
        <v>7.4784466713001718</v>
      </c>
      <c r="Q26" t="str">
        <f t="shared" si="3"/>
        <v/>
      </c>
      <c r="R26" s="2">
        <f t="shared" si="0"/>
        <v>7.4784466713001718</v>
      </c>
      <c r="S26" s="5">
        <f t="shared" si="4"/>
        <v>16.800025649999998</v>
      </c>
      <c r="T26" s="4" t="s">
        <v>30</v>
      </c>
      <c r="U26">
        <f>COUNTIFS(R2:R481,"&gt;=14",R2:R481,"&lt;15")</f>
        <v>10</v>
      </c>
    </row>
    <row r="27" spans="1:21" x14ac:dyDescent="0.4">
      <c r="A27">
        <v>20210801</v>
      </c>
      <c r="B27" s="1">
        <v>0.52083333333333337</v>
      </c>
      <c r="C27">
        <v>48928</v>
      </c>
      <c r="D27">
        <v>375241</v>
      </c>
      <c r="E27">
        <v>-166399</v>
      </c>
      <c r="F27">
        <v>305022</v>
      </c>
      <c r="G27">
        <v>134336</v>
      </c>
      <c r="H27">
        <v>-308355</v>
      </c>
      <c r="I27">
        <v>397453</v>
      </c>
      <c r="J27">
        <v>95197</v>
      </c>
      <c r="K27">
        <v>989149</v>
      </c>
      <c r="L27">
        <v>-20847</v>
      </c>
      <c r="M27">
        <v>7.46</v>
      </c>
      <c r="N27">
        <f t="shared" si="1"/>
        <v>1849725</v>
      </c>
      <c r="O27">
        <v>22936500</v>
      </c>
      <c r="P27" s="2">
        <f t="shared" si="2"/>
        <v>8.0645477731999211</v>
      </c>
      <c r="Q27" t="str">
        <f t="shared" si="3"/>
        <v/>
      </c>
      <c r="R27" s="2">
        <f t="shared" si="0"/>
        <v>8.0645477731999211</v>
      </c>
      <c r="S27" s="5">
        <f t="shared" si="4"/>
        <v>17.110628999999999</v>
      </c>
      <c r="T27" s="4" t="s">
        <v>42</v>
      </c>
      <c r="U27">
        <f>COUNTIFS(R2:R481,"&gt;=15",R2:R481,"&lt;16")</f>
        <v>4</v>
      </c>
    </row>
    <row r="28" spans="1:21" x14ac:dyDescent="0.4">
      <c r="A28">
        <v>20210801</v>
      </c>
      <c r="B28" s="1">
        <v>0.54166666666666663</v>
      </c>
      <c r="C28">
        <v>62258</v>
      </c>
      <c r="D28">
        <v>407053</v>
      </c>
      <c r="E28">
        <v>402567</v>
      </c>
      <c r="F28">
        <v>163127</v>
      </c>
      <c r="G28">
        <v>116591</v>
      </c>
      <c r="H28">
        <v>-261833</v>
      </c>
      <c r="I28">
        <v>364111</v>
      </c>
      <c r="J28">
        <v>87111</v>
      </c>
      <c r="K28">
        <v>1112817</v>
      </c>
      <c r="L28">
        <v>-16827</v>
      </c>
      <c r="M28">
        <v>8.86</v>
      </c>
      <c r="N28">
        <f t="shared" si="1"/>
        <v>2436975</v>
      </c>
      <c r="O28">
        <v>22399100</v>
      </c>
      <c r="P28" s="2">
        <f t="shared" si="2"/>
        <v>10.879789812983557</v>
      </c>
      <c r="Q28" t="str">
        <f t="shared" si="3"/>
        <v/>
      </c>
      <c r="R28" s="2">
        <f t="shared" si="0"/>
        <v>10.879789812983557</v>
      </c>
      <c r="S28" s="5">
        <f t="shared" si="4"/>
        <v>19.845602599999999</v>
      </c>
      <c r="T28" s="4" t="s">
        <v>43</v>
      </c>
      <c r="U28">
        <f>COUNTIFS(R2:R481,"&gt;=16",R2:R481,"&lt;17")</f>
        <v>7</v>
      </c>
    </row>
    <row r="29" spans="1:21" x14ac:dyDescent="0.4">
      <c r="A29">
        <v>20210801</v>
      </c>
      <c r="B29" s="1">
        <v>0.5625</v>
      </c>
      <c r="C29">
        <v>64705</v>
      </c>
      <c r="D29">
        <v>236538</v>
      </c>
      <c r="E29">
        <v>-58709</v>
      </c>
      <c r="F29">
        <v>226852</v>
      </c>
      <c r="G29">
        <v>136501</v>
      </c>
      <c r="H29">
        <v>-340620</v>
      </c>
      <c r="I29">
        <v>391814</v>
      </c>
      <c r="J29">
        <v>81922</v>
      </c>
      <c r="K29">
        <v>1268927</v>
      </c>
      <c r="L29">
        <v>-29703</v>
      </c>
      <c r="M29">
        <v>8.19</v>
      </c>
      <c r="N29">
        <f t="shared" si="1"/>
        <v>1978227</v>
      </c>
      <c r="O29">
        <v>22919300</v>
      </c>
      <c r="P29" s="2">
        <f t="shared" si="2"/>
        <v>8.6312714611702805</v>
      </c>
      <c r="Q29" t="str">
        <f t="shared" si="3"/>
        <v/>
      </c>
      <c r="R29" s="2">
        <f t="shared" si="0"/>
        <v>8.6312714611702805</v>
      </c>
      <c r="S29" s="5">
        <f t="shared" si="4"/>
        <v>18.770906700000001</v>
      </c>
      <c r="T29" s="4" t="s">
        <v>44</v>
      </c>
      <c r="U29">
        <f>COUNTIFS(R2:R481,"&gt;=17",R2:R481,"&lt;18")</f>
        <v>6</v>
      </c>
    </row>
    <row r="30" spans="1:21" x14ac:dyDescent="0.4">
      <c r="A30">
        <v>20210801</v>
      </c>
      <c r="B30" s="1">
        <v>0.58333333333333337</v>
      </c>
      <c r="C30">
        <v>100381</v>
      </c>
      <c r="D30">
        <v>254229</v>
      </c>
      <c r="E30">
        <v>420549</v>
      </c>
      <c r="F30">
        <v>273965</v>
      </c>
      <c r="G30">
        <v>137682</v>
      </c>
      <c r="H30">
        <v>-143025</v>
      </c>
      <c r="I30">
        <v>356597</v>
      </c>
      <c r="J30">
        <v>39103</v>
      </c>
      <c r="K30">
        <v>1206885</v>
      </c>
      <c r="L30">
        <v>-12474</v>
      </c>
      <c r="M30">
        <v>8.86</v>
      </c>
      <c r="N30">
        <f t="shared" si="1"/>
        <v>2633892</v>
      </c>
      <c r="O30">
        <v>22640100</v>
      </c>
      <c r="P30" s="2">
        <f t="shared" si="2"/>
        <v>11.633747200763247</v>
      </c>
      <c r="Q30" t="str">
        <f t="shared" si="3"/>
        <v/>
      </c>
      <c r="R30" s="2">
        <f t="shared" si="0"/>
        <v>11.633747200763247</v>
      </c>
      <c r="S30" s="5">
        <f t="shared" si="4"/>
        <v>20.059128600000001</v>
      </c>
      <c r="T30" s="4" t="s">
        <v>45</v>
      </c>
      <c r="U30">
        <f>COUNTIFS(R2:R481,"&gt;=18",R2:R481,"&lt;19")</f>
        <v>9</v>
      </c>
    </row>
    <row r="31" spans="1:21" x14ac:dyDescent="0.4">
      <c r="A31">
        <v>20210801</v>
      </c>
      <c r="B31" s="1">
        <v>0.60416666666666663</v>
      </c>
      <c r="C31">
        <v>102458</v>
      </c>
      <c r="D31">
        <v>150159</v>
      </c>
      <c r="E31">
        <v>-59274</v>
      </c>
      <c r="F31">
        <v>294943</v>
      </c>
      <c r="G31">
        <v>93397</v>
      </c>
      <c r="H31">
        <v>-69286</v>
      </c>
      <c r="I31">
        <v>332504</v>
      </c>
      <c r="J31">
        <v>7666</v>
      </c>
      <c r="K31">
        <v>1185469</v>
      </c>
      <c r="L31">
        <v>-20058</v>
      </c>
      <c r="M31">
        <v>8.86</v>
      </c>
      <c r="N31">
        <f t="shared" si="1"/>
        <v>2017978</v>
      </c>
      <c r="O31">
        <v>22330100</v>
      </c>
      <c r="P31" s="2">
        <f t="shared" si="2"/>
        <v>9.0370307343003393</v>
      </c>
      <c r="Q31" t="str">
        <f t="shared" si="3"/>
        <v/>
      </c>
      <c r="R31" s="2">
        <f t="shared" si="0"/>
        <v>9.0370307343003393</v>
      </c>
      <c r="S31" s="5">
        <f t="shared" si="4"/>
        <v>19.7844686</v>
      </c>
      <c r="T31" s="4" t="s">
        <v>46</v>
      </c>
      <c r="U31">
        <f>COUNTIFS(R2:R481,"&gt;=19",R2:R481,"&lt;20")</f>
        <v>6</v>
      </c>
    </row>
    <row r="32" spans="1:21" x14ac:dyDescent="0.4">
      <c r="A32">
        <v>20210801</v>
      </c>
      <c r="B32" s="1">
        <v>0.625</v>
      </c>
      <c r="C32">
        <v>144934</v>
      </c>
      <c r="D32">
        <v>67029</v>
      </c>
      <c r="E32">
        <v>275797</v>
      </c>
      <c r="F32">
        <v>121998</v>
      </c>
      <c r="G32">
        <v>67898</v>
      </c>
      <c r="H32">
        <v>16578</v>
      </c>
      <c r="I32">
        <v>385299</v>
      </c>
      <c r="J32">
        <v>-15578</v>
      </c>
      <c r="K32">
        <v>1027700</v>
      </c>
      <c r="L32">
        <v>-22998</v>
      </c>
      <c r="M32">
        <v>8.32</v>
      </c>
      <c r="N32">
        <f t="shared" si="1"/>
        <v>2068657</v>
      </c>
      <c r="O32">
        <v>22026650</v>
      </c>
      <c r="P32" s="2">
        <f t="shared" si="2"/>
        <v>9.391609709147783</v>
      </c>
      <c r="Q32" t="str">
        <f t="shared" si="3"/>
        <v/>
      </c>
      <c r="R32" s="2">
        <f t="shared" si="0"/>
        <v>9.391609709147783</v>
      </c>
      <c r="S32" s="5">
        <f t="shared" si="4"/>
        <v>18.326172799999998</v>
      </c>
      <c r="T32" s="4" t="s">
        <v>47</v>
      </c>
      <c r="U32">
        <f>COUNTIF(R2:R481,"&gt;20")</f>
        <v>7</v>
      </c>
    </row>
    <row r="33" spans="1:21" x14ac:dyDescent="0.4">
      <c r="A33">
        <v>20210801</v>
      </c>
      <c r="B33" s="1">
        <v>0.64583333333333337</v>
      </c>
      <c r="C33">
        <v>118830</v>
      </c>
      <c r="D33">
        <v>164760</v>
      </c>
      <c r="E33">
        <v>-276155</v>
      </c>
      <c r="F33">
        <v>-78732</v>
      </c>
      <c r="G33">
        <v>47308</v>
      </c>
      <c r="H33">
        <v>-8031</v>
      </c>
      <c r="I33">
        <v>336741</v>
      </c>
      <c r="J33">
        <v>-33498</v>
      </c>
      <c r="K33">
        <v>808929</v>
      </c>
      <c r="L33">
        <v>-38509</v>
      </c>
      <c r="M33">
        <v>8.64</v>
      </c>
      <c r="N33">
        <f t="shared" si="1"/>
        <v>1041643</v>
      </c>
      <c r="O33">
        <v>21637500</v>
      </c>
      <c r="P33" s="2">
        <f t="shared" si="2"/>
        <v>4.8140635470826112</v>
      </c>
      <c r="Q33" t="str">
        <f t="shared" si="3"/>
        <v/>
      </c>
      <c r="R33" s="2">
        <f t="shared" si="0"/>
        <v>4.8140635470826112</v>
      </c>
      <c r="S33" s="5">
        <f t="shared" si="4"/>
        <v>18.694800000000001</v>
      </c>
    </row>
    <row r="34" spans="1:21" x14ac:dyDescent="0.4">
      <c r="A34">
        <v>20210801</v>
      </c>
      <c r="B34" s="1">
        <v>0.66666666666666663</v>
      </c>
      <c r="C34">
        <v>48602</v>
      </c>
      <c r="D34">
        <v>291105</v>
      </c>
      <c r="E34">
        <v>646155</v>
      </c>
      <c r="F34">
        <v>-19726</v>
      </c>
      <c r="G34">
        <v>25549</v>
      </c>
      <c r="H34">
        <v>39107</v>
      </c>
      <c r="I34">
        <v>225781</v>
      </c>
      <c r="J34">
        <v>-93611</v>
      </c>
      <c r="K34">
        <v>493286</v>
      </c>
      <c r="L34">
        <v>-27842</v>
      </c>
      <c r="M34">
        <v>9.56</v>
      </c>
      <c r="N34">
        <f t="shared" si="1"/>
        <v>1628406</v>
      </c>
      <c r="O34">
        <v>22256200</v>
      </c>
      <c r="P34" s="2">
        <f t="shared" si="2"/>
        <v>7.3166398576576412</v>
      </c>
      <c r="Q34" t="str">
        <f t="shared" si="3"/>
        <v/>
      </c>
      <c r="R34" s="2">
        <f t="shared" si="0"/>
        <v>7.3166398576576412</v>
      </c>
      <c r="S34" s="5">
        <f t="shared" si="4"/>
        <v>21.276927199999999</v>
      </c>
      <c r="T34" s="4" t="s">
        <v>41</v>
      </c>
      <c r="U34">
        <f>SUM(U1:U32)</f>
        <v>480</v>
      </c>
    </row>
    <row r="35" spans="1:21" x14ac:dyDescent="0.4">
      <c r="A35">
        <v>20210801</v>
      </c>
      <c r="B35" s="1">
        <v>0.6875</v>
      </c>
      <c r="C35">
        <v>175565</v>
      </c>
      <c r="D35">
        <v>345303</v>
      </c>
      <c r="E35">
        <v>-372618</v>
      </c>
      <c r="F35">
        <v>-53745</v>
      </c>
      <c r="G35">
        <v>-1133</v>
      </c>
      <c r="H35">
        <v>153166</v>
      </c>
      <c r="I35">
        <v>90114</v>
      </c>
      <c r="J35">
        <v>-143315</v>
      </c>
      <c r="K35">
        <v>194524</v>
      </c>
      <c r="L35">
        <v>-45427</v>
      </c>
      <c r="M35">
        <v>9.6199999999999992</v>
      </c>
      <c r="N35">
        <f t="shared" si="1"/>
        <v>342434</v>
      </c>
      <c r="O35">
        <v>21575850</v>
      </c>
      <c r="P35" s="2">
        <f t="shared" si="2"/>
        <v>1.5871170776585859</v>
      </c>
      <c r="Q35" t="str">
        <f t="shared" si="3"/>
        <v/>
      </c>
      <c r="R35" s="2">
        <f t="shared" si="0"/>
        <v>1.5871170776585859</v>
      </c>
      <c r="S35" s="5">
        <f t="shared" si="4"/>
        <v>20.755967699999996</v>
      </c>
      <c r="T35" s="4" t="s">
        <v>48</v>
      </c>
      <c r="U35">
        <f>SUM(U1:U11)</f>
        <v>113</v>
      </c>
    </row>
    <row r="36" spans="1:21" x14ac:dyDescent="0.4">
      <c r="A36">
        <v>20210801</v>
      </c>
      <c r="B36" s="1">
        <v>0.70833333333333337</v>
      </c>
      <c r="C36">
        <v>118596</v>
      </c>
      <c r="D36">
        <v>276464</v>
      </c>
      <c r="E36">
        <v>374292</v>
      </c>
      <c r="F36">
        <v>-3616</v>
      </c>
      <c r="G36">
        <v>4519</v>
      </c>
      <c r="H36">
        <v>105388</v>
      </c>
      <c r="I36">
        <v>-24690</v>
      </c>
      <c r="J36">
        <v>-194218</v>
      </c>
      <c r="K36">
        <v>17927</v>
      </c>
      <c r="L36">
        <v>-31498</v>
      </c>
      <c r="M36">
        <v>9.81</v>
      </c>
      <c r="N36">
        <f t="shared" si="1"/>
        <v>643164</v>
      </c>
      <c r="O36">
        <v>21389200</v>
      </c>
      <c r="P36" s="2">
        <f t="shared" si="2"/>
        <v>3.006956781927328</v>
      </c>
      <c r="Q36" t="str">
        <f t="shared" si="3"/>
        <v/>
      </c>
      <c r="R36" s="2">
        <f t="shared" si="0"/>
        <v>3.006956781927328</v>
      </c>
      <c r="S36" s="5">
        <f t="shared" si="4"/>
        <v>20.982805200000001</v>
      </c>
    </row>
    <row r="37" spans="1:21" x14ac:dyDescent="0.4">
      <c r="A37">
        <v>20210801</v>
      </c>
      <c r="B37" s="1">
        <v>0.72916666666666663</v>
      </c>
      <c r="C37">
        <v>100606</v>
      </c>
      <c r="D37">
        <v>145873</v>
      </c>
      <c r="E37">
        <v>-542288</v>
      </c>
      <c r="F37">
        <v>45280</v>
      </c>
      <c r="G37">
        <v>895</v>
      </c>
      <c r="H37">
        <v>217513</v>
      </c>
      <c r="I37">
        <v>-91693</v>
      </c>
      <c r="J37">
        <v>-200973</v>
      </c>
      <c r="K37">
        <v>-82172</v>
      </c>
      <c r="L37">
        <v>-39898</v>
      </c>
      <c r="M37">
        <v>9.89</v>
      </c>
      <c r="N37">
        <f t="shared" si="1"/>
        <v>-446857</v>
      </c>
      <c r="O37">
        <v>21001300</v>
      </c>
      <c r="P37" s="2">
        <f t="shared" si="2"/>
        <v>2.1277587577911845</v>
      </c>
      <c r="Q37" s="3" t="str">
        <f t="shared" si="3"/>
        <v>〇</v>
      </c>
      <c r="R37" s="2">
        <f t="shared" si="0"/>
        <v>-2.1277587577911845</v>
      </c>
      <c r="S37" s="5">
        <f t="shared" si="4"/>
        <v>20.770285699999999</v>
      </c>
    </row>
    <row r="38" spans="1:21" x14ac:dyDescent="0.4">
      <c r="A38">
        <v>20210801</v>
      </c>
      <c r="B38" s="1">
        <v>0.75</v>
      </c>
      <c r="C38">
        <v>4003</v>
      </c>
      <c r="D38">
        <v>4319</v>
      </c>
      <c r="E38">
        <v>-50796</v>
      </c>
      <c r="F38">
        <v>9381</v>
      </c>
      <c r="G38">
        <v>35481</v>
      </c>
      <c r="H38">
        <v>123156</v>
      </c>
      <c r="I38">
        <v>59671</v>
      </c>
      <c r="J38">
        <v>-180540</v>
      </c>
      <c r="K38">
        <v>-64885</v>
      </c>
      <c r="L38">
        <v>-26482</v>
      </c>
      <c r="M38">
        <v>9.85</v>
      </c>
      <c r="N38">
        <f t="shared" si="1"/>
        <v>-86692</v>
      </c>
      <c r="O38">
        <v>20793150</v>
      </c>
      <c r="P38" s="2">
        <f t="shared" si="2"/>
        <v>0.41692576641826756</v>
      </c>
      <c r="Q38" s="3" t="str">
        <f t="shared" si="3"/>
        <v>〇</v>
      </c>
      <c r="R38" s="2">
        <f t="shared" si="0"/>
        <v>-0.41692576641826756</v>
      </c>
      <c r="S38" s="5">
        <f t="shared" si="4"/>
        <v>20.481252749999999</v>
      </c>
    </row>
    <row r="39" spans="1:21" x14ac:dyDescent="0.4">
      <c r="A39">
        <v>20210801</v>
      </c>
      <c r="B39" s="1">
        <v>0.77083333333333337</v>
      </c>
      <c r="C39">
        <v>19048</v>
      </c>
      <c r="D39">
        <v>-80971</v>
      </c>
      <c r="E39">
        <v>-296689</v>
      </c>
      <c r="F39">
        <v>52325</v>
      </c>
      <c r="G39">
        <v>2566</v>
      </c>
      <c r="H39">
        <v>95372</v>
      </c>
      <c r="I39">
        <v>36812</v>
      </c>
      <c r="J39">
        <v>-134850</v>
      </c>
      <c r="K39">
        <v>4177</v>
      </c>
      <c r="L39">
        <v>-42155</v>
      </c>
      <c r="M39">
        <v>9.9600000000000009</v>
      </c>
      <c r="N39">
        <f t="shared" si="1"/>
        <v>-344365</v>
      </c>
      <c r="O39">
        <v>20519900</v>
      </c>
      <c r="P39" s="2">
        <f t="shared" si="2"/>
        <v>1.6782001861607512</v>
      </c>
      <c r="Q39" s="3" t="str">
        <f t="shared" si="3"/>
        <v>〇</v>
      </c>
      <c r="R39" s="2">
        <f t="shared" si="0"/>
        <v>-1.6782001861607512</v>
      </c>
      <c r="S39" s="5">
        <f t="shared" si="4"/>
        <v>20.437820400000003</v>
      </c>
    </row>
    <row r="40" spans="1:21" x14ac:dyDescent="0.4">
      <c r="A40">
        <v>20210801</v>
      </c>
      <c r="B40" s="1">
        <v>0.79166666666666663</v>
      </c>
      <c r="C40">
        <v>-18035</v>
      </c>
      <c r="D40">
        <v>-19266</v>
      </c>
      <c r="E40">
        <v>-182814</v>
      </c>
      <c r="F40">
        <v>49687</v>
      </c>
      <c r="G40">
        <v>-11693</v>
      </c>
      <c r="H40">
        <v>-167339</v>
      </c>
      <c r="I40">
        <v>-21246</v>
      </c>
      <c r="J40">
        <v>-71680</v>
      </c>
      <c r="K40">
        <v>46955</v>
      </c>
      <c r="L40">
        <v>-43156</v>
      </c>
      <c r="M40">
        <v>9.9</v>
      </c>
      <c r="N40">
        <f t="shared" si="1"/>
        <v>-438587</v>
      </c>
      <c r="O40">
        <v>20487950</v>
      </c>
      <c r="P40" s="2">
        <f t="shared" si="2"/>
        <v>2.1407070985628138</v>
      </c>
      <c r="Q40" s="3" t="str">
        <f t="shared" si="3"/>
        <v>〇</v>
      </c>
      <c r="R40" s="2">
        <f t="shared" si="0"/>
        <v>-2.1407070985628138</v>
      </c>
      <c r="S40" s="5">
        <f t="shared" si="4"/>
        <v>20.283070500000001</v>
      </c>
    </row>
    <row r="41" spans="1:21" x14ac:dyDescent="0.4">
      <c r="A41">
        <v>20210801</v>
      </c>
      <c r="B41" s="1">
        <v>0.8125</v>
      </c>
      <c r="C41">
        <v>20817</v>
      </c>
      <c r="D41">
        <v>45141</v>
      </c>
      <c r="E41">
        <v>170922</v>
      </c>
      <c r="F41">
        <v>64403</v>
      </c>
      <c r="G41">
        <v>6996</v>
      </c>
      <c r="H41">
        <v>-93058</v>
      </c>
      <c r="I41">
        <v>-42247</v>
      </c>
      <c r="J41">
        <v>-8798</v>
      </c>
      <c r="K41">
        <v>65920</v>
      </c>
      <c r="L41">
        <v>-53073</v>
      </c>
      <c r="M41">
        <v>9.9</v>
      </c>
      <c r="N41">
        <f t="shared" si="1"/>
        <v>177023</v>
      </c>
      <c r="O41">
        <v>20350550</v>
      </c>
      <c r="P41" s="2">
        <f t="shared" si="2"/>
        <v>0.86986838193562332</v>
      </c>
      <c r="Q41" t="str">
        <f t="shared" si="3"/>
        <v/>
      </c>
      <c r="R41" s="2">
        <f t="shared" si="0"/>
        <v>0.86986838193562332</v>
      </c>
      <c r="S41" s="5">
        <f t="shared" si="4"/>
        <v>20.1470445</v>
      </c>
    </row>
    <row r="42" spans="1:21" x14ac:dyDescent="0.4">
      <c r="A42">
        <v>20210801</v>
      </c>
      <c r="B42" s="1">
        <v>0.83333333333333337</v>
      </c>
      <c r="C42">
        <v>27584</v>
      </c>
      <c r="D42">
        <v>113869</v>
      </c>
      <c r="E42">
        <v>-209492</v>
      </c>
      <c r="F42">
        <v>187774</v>
      </c>
      <c r="G42">
        <v>16475</v>
      </c>
      <c r="H42">
        <v>-135078</v>
      </c>
      <c r="I42">
        <v>-9751</v>
      </c>
      <c r="J42">
        <v>23408</v>
      </c>
      <c r="K42">
        <v>138781</v>
      </c>
      <c r="L42">
        <v>-44304</v>
      </c>
      <c r="M42">
        <v>9.6300000000000008</v>
      </c>
      <c r="N42">
        <f t="shared" si="1"/>
        <v>109266</v>
      </c>
      <c r="O42">
        <v>20245750</v>
      </c>
      <c r="P42" s="2">
        <f t="shared" si="2"/>
        <v>0.53969845523134485</v>
      </c>
      <c r="Q42" t="str">
        <f t="shared" si="3"/>
        <v/>
      </c>
      <c r="R42" s="2">
        <f t="shared" si="0"/>
        <v>0.53969845523134485</v>
      </c>
      <c r="S42" s="5">
        <f t="shared" si="4"/>
        <v>19.496657250000002</v>
      </c>
    </row>
    <row r="43" spans="1:21" x14ac:dyDescent="0.4">
      <c r="A43">
        <v>20210801</v>
      </c>
      <c r="B43" s="1">
        <v>0.85416666666666663</v>
      </c>
      <c r="C43">
        <v>-20291</v>
      </c>
      <c r="D43">
        <v>38536</v>
      </c>
      <c r="E43">
        <v>226051</v>
      </c>
      <c r="F43">
        <v>173839</v>
      </c>
      <c r="G43">
        <v>23548</v>
      </c>
      <c r="H43">
        <v>-285344</v>
      </c>
      <c r="I43">
        <v>-35686</v>
      </c>
      <c r="J43">
        <v>18378</v>
      </c>
      <c r="K43">
        <v>135916</v>
      </c>
      <c r="L43">
        <v>-43534</v>
      </c>
      <c r="M43">
        <v>9.57</v>
      </c>
      <c r="N43">
        <f t="shared" si="1"/>
        <v>231413</v>
      </c>
      <c r="O43">
        <v>20350850</v>
      </c>
      <c r="P43" s="2">
        <f t="shared" si="2"/>
        <v>1.1371171228720176</v>
      </c>
      <c r="Q43" t="str">
        <f t="shared" si="3"/>
        <v/>
      </c>
      <c r="R43" s="2">
        <f t="shared" si="0"/>
        <v>1.1371171228720176</v>
      </c>
      <c r="S43" s="5">
        <f t="shared" si="4"/>
        <v>19.475763449999999</v>
      </c>
    </row>
    <row r="44" spans="1:21" x14ac:dyDescent="0.4">
      <c r="A44">
        <v>20210801</v>
      </c>
      <c r="B44" s="1">
        <v>0.875</v>
      </c>
      <c r="C44">
        <v>50984</v>
      </c>
      <c r="D44">
        <v>65873</v>
      </c>
      <c r="E44">
        <v>-78137</v>
      </c>
      <c r="F44">
        <v>221492</v>
      </c>
      <c r="G44">
        <v>43969</v>
      </c>
      <c r="H44">
        <v>-98171</v>
      </c>
      <c r="I44">
        <v>-14262</v>
      </c>
      <c r="J44">
        <v>40651</v>
      </c>
      <c r="K44">
        <v>130359</v>
      </c>
      <c r="L44">
        <v>-39816</v>
      </c>
      <c r="M44">
        <v>8.99</v>
      </c>
      <c r="N44">
        <f t="shared" si="1"/>
        <v>322942</v>
      </c>
      <c r="O44">
        <v>20031600</v>
      </c>
      <c r="P44" s="2">
        <f t="shared" si="2"/>
        <v>1.612162782803171</v>
      </c>
      <c r="Q44" t="str">
        <f t="shared" si="3"/>
        <v/>
      </c>
      <c r="R44" s="2">
        <f t="shared" si="0"/>
        <v>1.612162782803171</v>
      </c>
      <c r="S44" s="5">
        <f t="shared" si="4"/>
        <v>18.0084084</v>
      </c>
    </row>
    <row r="45" spans="1:21" x14ac:dyDescent="0.4">
      <c r="A45">
        <v>20210801</v>
      </c>
      <c r="B45" s="1">
        <v>0.89583333333333337</v>
      </c>
      <c r="C45">
        <v>-38947</v>
      </c>
      <c r="D45">
        <v>33136</v>
      </c>
      <c r="E45">
        <v>16538</v>
      </c>
      <c r="F45">
        <v>230828</v>
      </c>
      <c r="G45">
        <v>31894</v>
      </c>
      <c r="H45">
        <v>-149316</v>
      </c>
      <c r="I45">
        <v>19636</v>
      </c>
      <c r="J45">
        <v>27974</v>
      </c>
      <c r="K45">
        <v>143016</v>
      </c>
      <c r="L45">
        <v>-41730</v>
      </c>
      <c r="M45">
        <v>8.73</v>
      </c>
      <c r="N45">
        <f t="shared" si="1"/>
        <v>273029</v>
      </c>
      <c r="O45">
        <v>19546950</v>
      </c>
      <c r="P45" s="2">
        <f t="shared" si="2"/>
        <v>1.3967856877927247</v>
      </c>
      <c r="Q45" t="str">
        <f t="shared" si="3"/>
        <v/>
      </c>
      <c r="R45" s="2">
        <f t="shared" si="0"/>
        <v>1.3967856877927247</v>
      </c>
      <c r="S45" s="5">
        <f t="shared" si="4"/>
        <v>17.06448735</v>
      </c>
    </row>
    <row r="46" spans="1:21" x14ac:dyDescent="0.4">
      <c r="A46">
        <v>20210801</v>
      </c>
      <c r="B46" s="1">
        <v>0.91666666666666663</v>
      </c>
      <c r="C46">
        <v>1157</v>
      </c>
      <c r="D46">
        <v>84839</v>
      </c>
      <c r="E46">
        <v>-55661</v>
      </c>
      <c r="F46">
        <v>227187</v>
      </c>
      <c r="G46">
        <v>31653</v>
      </c>
      <c r="H46">
        <v>106698</v>
      </c>
      <c r="I46">
        <v>-13979</v>
      </c>
      <c r="J46">
        <v>28941</v>
      </c>
      <c r="K46">
        <v>192344</v>
      </c>
      <c r="L46">
        <v>-38509</v>
      </c>
      <c r="M46">
        <v>7.64</v>
      </c>
      <c r="N46">
        <f t="shared" si="1"/>
        <v>564670</v>
      </c>
      <c r="O46">
        <v>19056000</v>
      </c>
      <c r="P46" s="2">
        <f t="shared" si="2"/>
        <v>2.9632136859781695</v>
      </c>
      <c r="Q46" t="str">
        <f t="shared" si="3"/>
        <v/>
      </c>
      <c r="R46" s="2">
        <f t="shared" si="0"/>
        <v>2.9632136859781695</v>
      </c>
      <c r="S46" s="5">
        <f t="shared" si="4"/>
        <v>14.558783999999999</v>
      </c>
    </row>
    <row r="47" spans="1:21" x14ac:dyDescent="0.4">
      <c r="A47">
        <v>20210801</v>
      </c>
      <c r="B47" s="1">
        <v>0.9375</v>
      </c>
      <c r="C47">
        <v>-37558</v>
      </c>
      <c r="D47">
        <v>20607</v>
      </c>
      <c r="E47">
        <v>326601</v>
      </c>
      <c r="F47">
        <v>201677</v>
      </c>
      <c r="G47">
        <v>27872</v>
      </c>
      <c r="H47">
        <v>128216</v>
      </c>
      <c r="I47">
        <v>-26670</v>
      </c>
      <c r="J47">
        <v>43508</v>
      </c>
      <c r="K47">
        <v>108969</v>
      </c>
      <c r="L47">
        <v>-29638</v>
      </c>
      <c r="M47">
        <v>7.32</v>
      </c>
      <c r="N47">
        <f t="shared" si="1"/>
        <v>763584</v>
      </c>
      <c r="O47">
        <v>18547450</v>
      </c>
      <c r="P47" s="2">
        <f t="shared" si="2"/>
        <v>4.1169217331762589</v>
      </c>
      <c r="Q47" t="str">
        <f t="shared" si="3"/>
        <v/>
      </c>
      <c r="R47" s="2">
        <f t="shared" si="0"/>
        <v>4.1169217331762589</v>
      </c>
      <c r="S47" s="5">
        <f t="shared" si="4"/>
        <v>13.5767334</v>
      </c>
    </row>
    <row r="48" spans="1:21" x14ac:dyDescent="0.4">
      <c r="A48">
        <v>20210801</v>
      </c>
      <c r="B48" s="1">
        <v>0.95833333333333337</v>
      </c>
      <c r="C48">
        <v>-17484</v>
      </c>
      <c r="D48">
        <v>39913</v>
      </c>
      <c r="E48">
        <v>-85520</v>
      </c>
      <c r="F48">
        <v>152385</v>
      </c>
      <c r="G48">
        <v>7155</v>
      </c>
      <c r="H48">
        <v>93529</v>
      </c>
      <c r="I48">
        <v>-79047</v>
      </c>
      <c r="J48">
        <v>50906</v>
      </c>
      <c r="K48">
        <v>116450</v>
      </c>
      <c r="L48">
        <v>-40070</v>
      </c>
      <c r="M48">
        <v>7.29</v>
      </c>
      <c r="N48">
        <f t="shared" si="1"/>
        <v>238217</v>
      </c>
      <c r="O48">
        <v>17925950</v>
      </c>
      <c r="P48" s="2">
        <f t="shared" si="2"/>
        <v>1.3288947029306675</v>
      </c>
      <c r="Q48" t="str">
        <f t="shared" si="3"/>
        <v/>
      </c>
      <c r="R48" s="2">
        <f t="shared" si="0"/>
        <v>1.3288947029306675</v>
      </c>
      <c r="S48" s="5">
        <f t="shared" si="4"/>
        <v>13.06801755</v>
      </c>
    </row>
    <row r="49" spans="1:19" x14ac:dyDescent="0.4">
      <c r="A49">
        <v>20210801</v>
      </c>
      <c r="B49" s="1">
        <v>0.97916666666666663</v>
      </c>
      <c r="C49">
        <v>13054</v>
      </c>
      <c r="D49">
        <v>34302</v>
      </c>
      <c r="E49">
        <v>349964</v>
      </c>
      <c r="F49">
        <v>164017</v>
      </c>
      <c r="G49">
        <v>25449</v>
      </c>
      <c r="H49">
        <v>59364</v>
      </c>
      <c r="I49">
        <v>-81881</v>
      </c>
      <c r="J49">
        <v>46776</v>
      </c>
      <c r="K49">
        <v>125385</v>
      </c>
      <c r="L49">
        <v>-37203</v>
      </c>
      <c r="M49">
        <v>7.1</v>
      </c>
      <c r="N49">
        <f t="shared" si="1"/>
        <v>699227</v>
      </c>
      <c r="O49">
        <v>17375850</v>
      </c>
      <c r="P49" s="2">
        <f t="shared" si="2"/>
        <v>4.0241311935818969</v>
      </c>
      <c r="Q49" t="str">
        <f t="shared" si="3"/>
        <v/>
      </c>
      <c r="R49" s="2">
        <f t="shared" si="0"/>
        <v>4.0241311935818969</v>
      </c>
      <c r="S49" s="5">
        <f t="shared" si="4"/>
        <v>12.3368535</v>
      </c>
    </row>
    <row r="50" spans="1:19" x14ac:dyDescent="0.4">
      <c r="A50">
        <v>20210802</v>
      </c>
      <c r="B50" s="1">
        <v>0</v>
      </c>
      <c r="C50">
        <v>-29003</v>
      </c>
      <c r="D50">
        <v>48152</v>
      </c>
      <c r="E50">
        <v>87072</v>
      </c>
      <c r="F50">
        <v>134448</v>
      </c>
      <c r="G50">
        <v>11498</v>
      </c>
      <c r="H50">
        <v>52983</v>
      </c>
      <c r="I50">
        <v>-21068</v>
      </c>
      <c r="J50">
        <v>60916</v>
      </c>
      <c r="K50">
        <v>181490</v>
      </c>
      <c r="L50">
        <v>-33867</v>
      </c>
      <c r="M50">
        <v>6.77</v>
      </c>
      <c r="N50">
        <f t="shared" si="1"/>
        <v>492621</v>
      </c>
      <c r="O50">
        <v>18084850</v>
      </c>
      <c r="P50" s="2">
        <f t="shared" si="2"/>
        <v>2.7239429688385584</v>
      </c>
      <c r="Q50" t="str">
        <f t="shared" si="3"/>
        <v/>
      </c>
      <c r="R50" s="2">
        <f t="shared" si="0"/>
        <v>2.7239429688385584</v>
      </c>
      <c r="S50" s="5">
        <f t="shared" si="4"/>
        <v>12.243443449999999</v>
      </c>
    </row>
    <row r="51" spans="1:19" x14ac:dyDescent="0.4">
      <c r="A51">
        <v>20210802</v>
      </c>
      <c r="B51" s="1">
        <v>2.0833333333333332E-2</v>
      </c>
      <c r="C51">
        <v>-8309</v>
      </c>
      <c r="D51">
        <v>9319</v>
      </c>
      <c r="E51">
        <v>219658</v>
      </c>
      <c r="F51">
        <v>122374</v>
      </c>
      <c r="G51">
        <v>-38571</v>
      </c>
      <c r="H51">
        <v>4665</v>
      </c>
      <c r="I51">
        <v>15802</v>
      </c>
      <c r="J51">
        <v>50503</v>
      </c>
      <c r="K51">
        <v>137443</v>
      </c>
      <c r="L51">
        <v>-36513</v>
      </c>
      <c r="M51">
        <v>6.81</v>
      </c>
      <c r="N51">
        <f t="shared" si="1"/>
        <v>476371</v>
      </c>
      <c r="O51">
        <v>19075800</v>
      </c>
      <c r="P51" s="2">
        <f t="shared" si="2"/>
        <v>2.4972530640916766</v>
      </c>
      <c r="Q51" t="str">
        <f t="shared" si="3"/>
        <v/>
      </c>
      <c r="R51" s="2">
        <f t="shared" si="0"/>
        <v>2.4972530640916766</v>
      </c>
      <c r="S51" s="5">
        <f t="shared" si="4"/>
        <v>12.990619799999999</v>
      </c>
    </row>
    <row r="52" spans="1:19" x14ac:dyDescent="0.4">
      <c r="A52">
        <v>20210802</v>
      </c>
      <c r="B52" s="1">
        <v>4.1666666666666664E-2</v>
      </c>
      <c r="C52">
        <v>35107</v>
      </c>
      <c r="D52">
        <v>6703</v>
      </c>
      <c r="E52">
        <v>168606</v>
      </c>
      <c r="F52">
        <v>93090</v>
      </c>
      <c r="G52">
        <v>-91842</v>
      </c>
      <c r="H52">
        <v>-69038</v>
      </c>
      <c r="I52">
        <v>-25141</v>
      </c>
      <c r="J52">
        <v>67205</v>
      </c>
      <c r="K52">
        <v>174211</v>
      </c>
      <c r="L52">
        <v>-32362</v>
      </c>
      <c r="M52">
        <v>6.74</v>
      </c>
      <c r="N52">
        <f t="shared" si="1"/>
        <v>326539</v>
      </c>
      <c r="O52">
        <v>19642250</v>
      </c>
      <c r="P52" s="2">
        <f t="shared" si="2"/>
        <v>1.6624317478903894</v>
      </c>
      <c r="Q52" t="str">
        <f t="shared" si="3"/>
        <v/>
      </c>
      <c r="R52" s="2">
        <f t="shared" si="0"/>
        <v>1.6624317478903894</v>
      </c>
      <c r="S52" s="5">
        <f t="shared" si="4"/>
        <v>13.2388765</v>
      </c>
    </row>
    <row r="53" spans="1:19" x14ac:dyDescent="0.4">
      <c r="A53">
        <v>20210802</v>
      </c>
      <c r="B53" s="1">
        <v>6.25E-2</v>
      </c>
      <c r="C53">
        <v>18994</v>
      </c>
      <c r="D53">
        <v>14761</v>
      </c>
      <c r="E53">
        <v>145659</v>
      </c>
      <c r="F53">
        <v>120218</v>
      </c>
      <c r="G53">
        <v>-70772</v>
      </c>
      <c r="H53">
        <v>-99904</v>
      </c>
      <c r="I53">
        <v>17711</v>
      </c>
      <c r="J53">
        <v>62719</v>
      </c>
      <c r="K53">
        <v>111037</v>
      </c>
      <c r="L53">
        <v>-37582</v>
      </c>
      <c r="M53">
        <v>6.72</v>
      </c>
      <c r="N53">
        <f t="shared" si="1"/>
        <v>282841</v>
      </c>
      <c r="O53">
        <v>20003550</v>
      </c>
      <c r="P53" s="2">
        <f t="shared" si="2"/>
        <v>1.4139540231608889</v>
      </c>
      <c r="Q53" t="str">
        <f t="shared" si="3"/>
        <v/>
      </c>
      <c r="R53" s="2">
        <f t="shared" si="0"/>
        <v>1.4139540231608889</v>
      </c>
      <c r="S53" s="5">
        <f t="shared" si="4"/>
        <v>13.4423856</v>
      </c>
    </row>
    <row r="54" spans="1:19" x14ac:dyDescent="0.4">
      <c r="A54">
        <v>20210802</v>
      </c>
      <c r="B54" s="1">
        <v>8.3333333333333329E-2</v>
      </c>
      <c r="C54">
        <v>59061</v>
      </c>
      <c r="D54">
        <v>43656</v>
      </c>
      <c r="E54">
        <v>208287</v>
      </c>
      <c r="F54">
        <v>64406</v>
      </c>
      <c r="G54">
        <v>-102430</v>
      </c>
      <c r="H54">
        <v>-154895</v>
      </c>
      <c r="I54">
        <v>26900</v>
      </c>
      <c r="J54">
        <v>51154</v>
      </c>
      <c r="K54">
        <v>122401</v>
      </c>
      <c r="L54">
        <v>-27106</v>
      </c>
      <c r="M54">
        <v>6.72</v>
      </c>
      <c r="N54">
        <f t="shared" si="1"/>
        <v>291434</v>
      </c>
      <c r="O54">
        <v>20228000</v>
      </c>
      <c r="P54" s="2">
        <f t="shared" si="2"/>
        <v>1.440745501285347</v>
      </c>
      <c r="Q54" t="str">
        <f t="shared" si="3"/>
        <v/>
      </c>
      <c r="R54" s="2">
        <f t="shared" si="0"/>
        <v>1.440745501285347</v>
      </c>
      <c r="S54" s="5">
        <f t="shared" si="4"/>
        <v>13.593216</v>
      </c>
    </row>
    <row r="55" spans="1:19" x14ac:dyDescent="0.4">
      <c r="A55">
        <v>20210802</v>
      </c>
      <c r="B55" s="1">
        <v>0.10416666666666667</v>
      </c>
      <c r="C55">
        <v>20861</v>
      </c>
      <c r="D55">
        <v>53336</v>
      </c>
      <c r="E55">
        <v>242898</v>
      </c>
      <c r="F55">
        <v>57401</v>
      </c>
      <c r="G55">
        <v>-103008</v>
      </c>
      <c r="H55">
        <v>-195557</v>
      </c>
      <c r="I55">
        <v>9547</v>
      </c>
      <c r="J55">
        <v>40924</v>
      </c>
      <c r="K55">
        <v>99930</v>
      </c>
      <c r="L55">
        <v>-39760</v>
      </c>
      <c r="M55">
        <v>6.66</v>
      </c>
      <c r="N55">
        <f t="shared" si="1"/>
        <v>186572</v>
      </c>
      <c r="O55">
        <v>20377700</v>
      </c>
      <c r="P55" s="2">
        <f t="shared" si="2"/>
        <v>0.91556947054868798</v>
      </c>
      <c r="Q55" t="str">
        <f t="shared" si="3"/>
        <v/>
      </c>
      <c r="R55" s="2">
        <f t="shared" si="0"/>
        <v>0.91556947054868798</v>
      </c>
      <c r="S55" s="5">
        <f t="shared" si="4"/>
        <v>13.571548200000001</v>
      </c>
    </row>
    <row r="56" spans="1:19" x14ac:dyDescent="0.4">
      <c r="A56">
        <v>20210802</v>
      </c>
      <c r="B56" s="1">
        <v>0.125</v>
      </c>
      <c r="C56">
        <v>27576</v>
      </c>
      <c r="D56">
        <v>20810</v>
      </c>
      <c r="E56">
        <v>277215</v>
      </c>
      <c r="F56">
        <v>61041</v>
      </c>
      <c r="G56">
        <v>106196</v>
      </c>
      <c r="H56">
        <v>-48380</v>
      </c>
      <c r="I56">
        <v>24322</v>
      </c>
      <c r="J56">
        <v>50736</v>
      </c>
      <c r="K56">
        <v>101995</v>
      </c>
      <c r="L56">
        <v>-28089</v>
      </c>
      <c r="M56">
        <v>6.66</v>
      </c>
      <c r="N56">
        <f t="shared" si="1"/>
        <v>593422</v>
      </c>
      <c r="O56">
        <v>20543800</v>
      </c>
      <c r="P56" s="2">
        <f t="shared" si="2"/>
        <v>2.8885697874784606</v>
      </c>
      <c r="Q56" t="str">
        <f t="shared" si="3"/>
        <v/>
      </c>
      <c r="R56" s="2">
        <f t="shared" si="0"/>
        <v>2.8885697874784606</v>
      </c>
      <c r="S56" s="5">
        <f t="shared" si="4"/>
        <v>13.6821708</v>
      </c>
    </row>
    <row r="57" spans="1:19" x14ac:dyDescent="0.4">
      <c r="A57">
        <v>20210802</v>
      </c>
      <c r="B57" s="1">
        <v>0.14583333333333334</v>
      </c>
      <c r="C57">
        <v>82701</v>
      </c>
      <c r="D57">
        <v>48420</v>
      </c>
      <c r="E57">
        <v>11550</v>
      </c>
      <c r="F57">
        <v>75806</v>
      </c>
      <c r="G57">
        <v>141408</v>
      </c>
      <c r="H57">
        <v>-55440</v>
      </c>
      <c r="I57">
        <v>70157</v>
      </c>
      <c r="J57">
        <v>60648</v>
      </c>
      <c r="K57">
        <v>140324</v>
      </c>
      <c r="L57">
        <v>-33456</v>
      </c>
      <c r="M57">
        <v>6.66</v>
      </c>
      <c r="N57">
        <f t="shared" si="1"/>
        <v>542118</v>
      </c>
      <c r="O57">
        <v>20626500</v>
      </c>
      <c r="P57" s="2">
        <f t="shared" si="2"/>
        <v>2.6282597629263327</v>
      </c>
      <c r="Q57" t="str">
        <f t="shared" si="3"/>
        <v/>
      </c>
      <c r="R57" s="2">
        <f t="shared" si="0"/>
        <v>2.6282597629263327</v>
      </c>
      <c r="S57" s="5">
        <f t="shared" si="4"/>
        <v>13.737249</v>
      </c>
    </row>
    <row r="58" spans="1:19" x14ac:dyDescent="0.4">
      <c r="A58">
        <v>20210802</v>
      </c>
      <c r="B58" s="1">
        <v>0.16666666666666666</v>
      </c>
      <c r="C58">
        <v>29025</v>
      </c>
      <c r="D58">
        <v>25729</v>
      </c>
      <c r="E58">
        <v>45884</v>
      </c>
      <c r="F58">
        <v>55676</v>
      </c>
      <c r="G58">
        <v>160053</v>
      </c>
      <c r="H58">
        <v>-21837</v>
      </c>
      <c r="I58">
        <v>108214</v>
      </c>
      <c r="J58">
        <v>62028</v>
      </c>
      <c r="K58">
        <v>134369</v>
      </c>
      <c r="L58">
        <v>-26595</v>
      </c>
      <c r="M58">
        <v>6.66</v>
      </c>
      <c r="N58">
        <f t="shared" si="1"/>
        <v>572546</v>
      </c>
      <c r="O58">
        <v>20683800</v>
      </c>
      <c r="P58" s="2">
        <f t="shared" si="2"/>
        <v>2.7680890358638162</v>
      </c>
      <c r="Q58" t="str">
        <f t="shared" si="3"/>
        <v/>
      </c>
      <c r="R58" s="2">
        <f t="shared" si="0"/>
        <v>2.7680890358638162</v>
      </c>
      <c r="S58" s="5">
        <f t="shared" si="4"/>
        <v>13.7754108</v>
      </c>
    </row>
    <row r="59" spans="1:19" x14ac:dyDescent="0.4">
      <c r="A59">
        <v>20210802</v>
      </c>
      <c r="B59" s="1">
        <v>0.1875</v>
      </c>
      <c r="C59">
        <v>62106</v>
      </c>
      <c r="D59">
        <v>32579</v>
      </c>
      <c r="E59">
        <v>-80457</v>
      </c>
      <c r="F59">
        <v>124411</v>
      </c>
      <c r="G59">
        <v>164099</v>
      </c>
      <c r="H59">
        <v>-97239</v>
      </c>
      <c r="I59">
        <v>-6293</v>
      </c>
      <c r="J59">
        <v>52529</v>
      </c>
      <c r="K59">
        <v>117322</v>
      </c>
      <c r="L59">
        <v>-33252</v>
      </c>
      <c r="M59">
        <v>6.72</v>
      </c>
      <c r="N59">
        <f t="shared" si="1"/>
        <v>335805</v>
      </c>
      <c r="O59">
        <v>20730750</v>
      </c>
      <c r="P59" s="2">
        <f t="shared" si="2"/>
        <v>1.6198400926160414</v>
      </c>
      <c r="Q59" t="str">
        <f t="shared" si="3"/>
        <v/>
      </c>
      <c r="R59" s="2">
        <f t="shared" si="0"/>
        <v>1.6198400926160414</v>
      </c>
      <c r="S59" s="5">
        <f t="shared" si="4"/>
        <v>13.931063999999999</v>
      </c>
    </row>
    <row r="60" spans="1:19" x14ac:dyDescent="0.4">
      <c r="A60">
        <v>20210802</v>
      </c>
      <c r="B60" s="1">
        <v>0.20833333333333334</v>
      </c>
      <c r="C60">
        <v>28278</v>
      </c>
      <c r="D60">
        <v>95081</v>
      </c>
      <c r="E60">
        <v>-105101</v>
      </c>
      <c r="F60">
        <v>137415</v>
      </c>
      <c r="G60">
        <v>104355</v>
      </c>
      <c r="H60">
        <v>-83610</v>
      </c>
      <c r="I60">
        <v>-51094</v>
      </c>
      <c r="J60">
        <v>37713</v>
      </c>
      <c r="K60">
        <v>69761</v>
      </c>
      <c r="L60">
        <v>-27466</v>
      </c>
      <c r="M60">
        <v>6.77</v>
      </c>
      <c r="N60">
        <f t="shared" si="1"/>
        <v>205332</v>
      </c>
      <c r="O60">
        <v>20773850</v>
      </c>
      <c r="P60" s="2">
        <f t="shared" si="2"/>
        <v>0.98841572457681171</v>
      </c>
      <c r="Q60" t="str">
        <f t="shared" si="3"/>
        <v/>
      </c>
      <c r="R60" s="2">
        <f t="shared" si="0"/>
        <v>0.98841572457681171</v>
      </c>
      <c r="S60" s="5">
        <f t="shared" si="4"/>
        <v>14.06389645</v>
      </c>
    </row>
    <row r="61" spans="1:19" x14ac:dyDescent="0.4">
      <c r="A61">
        <v>20210802</v>
      </c>
      <c r="B61" s="1">
        <v>0.22916666666666666</v>
      </c>
      <c r="C61">
        <v>8064</v>
      </c>
      <c r="D61">
        <v>224062</v>
      </c>
      <c r="E61">
        <v>26323</v>
      </c>
      <c r="F61">
        <v>100878</v>
      </c>
      <c r="G61">
        <v>105070</v>
      </c>
      <c r="H61">
        <v>-254338</v>
      </c>
      <c r="I61">
        <v>-55323</v>
      </c>
      <c r="J61">
        <v>52555</v>
      </c>
      <c r="K61">
        <v>4670</v>
      </c>
      <c r="L61">
        <v>-31857</v>
      </c>
      <c r="M61">
        <v>6.72</v>
      </c>
      <c r="N61">
        <f t="shared" si="1"/>
        <v>180104</v>
      </c>
      <c r="O61">
        <v>20915350</v>
      </c>
      <c r="P61" s="2">
        <f t="shared" si="2"/>
        <v>0.86110918535907843</v>
      </c>
      <c r="Q61" t="str">
        <f t="shared" si="3"/>
        <v/>
      </c>
      <c r="R61" s="2">
        <f t="shared" si="0"/>
        <v>0.86110918535907843</v>
      </c>
      <c r="S61" s="5">
        <f t="shared" si="4"/>
        <v>14.055115199999999</v>
      </c>
    </row>
    <row r="62" spans="1:19" x14ac:dyDescent="0.4">
      <c r="A62">
        <v>20210802</v>
      </c>
      <c r="B62" s="1">
        <v>0.25</v>
      </c>
      <c r="C62">
        <v>56737</v>
      </c>
      <c r="D62">
        <v>177556</v>
      </c>
      <c r="E62">
        <v>-102860</v>
      </c>
      <c r="F62">
        <v>-1389</v>
      </c>
      <c r="G62">
        <v>120258</v>
      </c>
      <c r="H62">
        <v>-234515</v>
      </c>
      <c r="I62">
        <v>-16403</v>
      </c>
      <c r="J62">
        <v>59200</v>
      </c>
      <c r="K62">
        <v>-149217</v>
      </c>
      <c r="L62">
        <v>-23707</v>
      </c>
      <c r="M62">
        <v>6.74</v>
      </c>
      <c r="N62">
        <f t="shared" si="1"/>
        <v>-114340</v>
      </c>
      <c r="O62">
        <v>21500150</v>
      </c>
      <c r="P62" s="2">
        <f t="shared" si="2"/>
        <v>0.53181024318434988</v>
      </c>
      <c r="Q62" s="3" t="str">
        <f t="shared" si="3"/>
        <v>〇</v>
      </c>
      <c r="R62" s="2">
        <f t="shared" si="0"/>
        <v>-0.53181024318434988</v>
      </c>
      <c r="S62" s="5">
        <f t="shared" si="4"/>
        <v>14.4911011</v>
      </c>
    </row>
    <row r="63" spans="1:19" x14ac:dyDescent="0.4">
      <c r="A63">
        <v>20210802</v>
      </c>
      <c r="B63" s="1">
        <v>0.27083333333333331</v>
      </c>
      <c r="C63">
        <v>65481</v>
      </c>
      <c r="D63">
        <v>231089</v>
      </c>
      <c r="E63">
        <v>279375</v>
      </c>
      <c r="F63">
        <v>-78622</v>
      </c>
      <c r="G63">
        <v>79326</v>
      </c>
      <c r="H63">
        <v>-249705</v>
      </c>
      <c r="I63">
        <v>119412</v>
      </c>
      <c r="J63">
        <v>31839</v>
      </c>
      <c r="K63">
        <v>-223983</v>
      </c>
      <c r="L63">
        <v>-34890</v>
      </c>
      <c r="M63">
        <v>6.74</v>
      </c>
      <c r="N63">
        <f t="shared" si="1"/>
        <v>219322</v>
      </c>
      <c r="O63">
        <v>22482050</v>
      </c>
      <c r="P63" s="2">
        <f t="shared" si="2"/>
        <v>0.97554271074034615</v>
      </c>
      <c r="Q63" t="str">
        <f t="shared" si="3"/>
        <v/>
      </c>
      <c r="R63" s="2">
        <f t="shared" si="0"/>
        <v>0.97554271074034615</v>
      </c>
      <c r="S63" s="5">
        <f t="shared" si="4"/>
        <v>15.152901699999999</v>
      </c>
    </row>
    <row r="64" spans="1:19" x14ac:dyDescent="0.4">
      <c r="A64">
        <v>20210802</v>
      </c>
      <c r="B64" s="1">
        <v>0.29166666666666669</v>
      </c>
      <c r="C64">
        <v>72005</v>
      </c>
      <c r="D64">
        <v>339033</v>
      </c>
      <c r="E64">
        <v>119961</v>
      </c>
      <c r="F64">
        <v>-164133</v>
      </c>
      <c r="G64">
        <v>85026</v>
      </c>
      <c r="H64">
        <v>-243943</v>
      </c>
      <c r="I64">
        <v>151680</v>
      </c>
      <c r="J64">
        <v>-28580</v>
      </c>
      <c r="K64">
        <v>-202955</v>
      </c>
      <c r="L64">
        <v>-10534</v>
      </c>
      <c r="M64">
        <v>8.01</v>
      </c>
      <c r="N64">
        <f t="shared" si="1"/>
        <v>117560</v>
      </c>
      <c r="O64">
        <v>22591200</v>
      </c>
      <c r="P64" s="2">
        <f t="shared" si="2"/>
        <v>0.52037961684195611</v>
      </c>
      <c r="Q64" t="str">
        <f t="shared" si="3"/>
        <v/>
      </c>
      <c r="R64" s="2">
        <f t="shared" si="0"/>
        <v>0.52037961684195611</v>
      </c>
      <c r="S64" s="5">
        <f t="shared" si="4"/>
        <v>18.095551199999999</v>
      </c>
    </row>
    <row r="65" spans="1:19" x14ac:dyDescent="0.4">
      <c r="A65">
        <v>20210802</v>
      </c>
      <c r="B65" s="1">
        <v>0.3125</v>
      </c>
      <c r="C65">
        <v>93921</v>
      </c>
      <c r="D65">
        <v>379092</v>
      </c>
      <c r="E65">
        <v>360431</v>
      </c>
      <c r="F65">
        <v>-222581</v>
      </c>
      <c r="G65">
        <v>102247</v>
      </c>
      <c r="H65">
        <v>-141901</v>
      </c>
      <c r="I65">
        <v>347521</v>
      </c>
      <c r="J65">
        <v>-3830</v>
      </c>
      <c r="K65">
        <v>-130900</v>
      </c>
      <c r="L65">
        <v>-22551</v>
      </c>
      <c r="M65">
        <v>8.86</v>
      </c>
      <c r="N65">
        <f t="shared" si="1"/>
        <v>761449</v>
      </c>
      <c r="O65">
        <v>23071100</v>
      </c>
      <c r="P65" s="2">
        <f t="shared" si="2"/>
        <v>3.3004451456584212</v>
      </c>
      <c r="Q65" t="str">
        <f t="shared" si="3"/>
        <v/>
      </c>
      <c r="R65" s="2">
        <f t="shared" si="0"/>
        <v>3.3004451456584212</v>
      </c>
      <c r="S65" s="5">
        <f t="shared" si="4"/>
        <v>20.4409946</v>
      </c>
    </row>
    <row r="66" spans="1:19" x14ac:dyDescent="0.4">
      <c r="A66">
        <v>20210802</v>
      </c>
      <c r="B66" s="1">
        <v>0.33333333333333331</v>
      </c>
      <c r="C66">
        <v>3191</v>
      </c>
      <c r="D66">
        <v>411197</v>
      </c>
      <c r="E66">
        <v>480616</v>
      </c>
      <c r="F66">
        <v>-141276</v>
      </c>
      <c r="G66">
        <v>93963</v>
      </c>
      <c r="H66">
        <v>-340379</v>
      </c>
      <c r="I66">
        <v>-90361</v>
      </c>
      <c r="J66">
        <v>70577</v>
      </c>
      <c r="K66">
        <v>13460</v>
      </c>
      <c r="L66">
        <v>-13448</v>
      </c>
      <c r="M66">
        <v>7.42</v>
      </c>
      <c r="N66">
        <f t="shared" si="1"/>
        <v>487540</v>
      </c>
      <c r="O66">
        <v>24612400</v>
      </c>
      <c r="P66" s="2">
        <f t="shared" si="2"/>
        <v>1.9808714306609676</v>
      </c>
      <c r="Q66" t="str">
        <f t="shared" si="3"/>
        <v/>
      </c>
      <c r="R66" s="2">
        <f t="shared" ref="R66:R129" si="5">IF(N66&lt;0,-P66,P66)</f>
        <v>1.9808714306609676</v>
      </c>
      <c r="S66" s="5">
        <f t="shared" si="4"/>
        <v>18.262400800000002</v>
      </c>
    </row>
    <row r="67" spans="1:19" x14ac:dyDescent="0.4">
      <c r="A67">
        <v>20210802</v>
      </c>
      <c r="B67" s="1">
        <v>0.35416666666666669</v>
      </c>
      <c r="C67">
        <v>55181</v>
      </c>
      <c r="D67">
        <v>556422</v>
      </c>
      <c r="E67">
        <v>147260</v>
      </c>
      <c r="F67">
        <v>-99610</v>
      </c>
      <c r="G67">
        <v>115679</v>
      </c>
      <c r="H67">
        <v>-250837</v>
      </c>
      <c r="I67">
        <v>-202225</v>
      </c>
      <c r="J67">
        <v>68756</v>
      </c>
      <c r="K67">
        <v>151800</v>
      </c>
      <c r="L67">
        <v>-34607</v>
      </c>
      <c r="M67">
        <v>8.39</v>
      </c>
      <c r="N67">
        <f t="shared" ref="N67:N130" si="6">SUM(C67:L67)</f>
        <v>507819</v>
      </c>
      <c r="O67">
        <v>24904100</v>
      </c>
      <c r="P67" s="2">
        <f t="shared" ref="P67:P130" si="7">((ABS(N67)*100)/O67)</f>
        <v>2.0390979798507072</v>
      </c>
      <c r="Q67" t="str">
        <f t="shared" ref="Q67:Q130" si="8">IF(N67&lt;0,"〇","")</f>
        <v/>
      </c>
      <c r="R67" s="2">
        <f t="shared" si="5"/>
        <v>2.0390979798507072</v>
      </c>
      <c r="S67" s="5">
        <f t="shared" ref="S67:S130" si="9">(M67*O67)/10^7</f>
        <v>20.894539900000002</v>
      </c>
    </row>
    <row r="68" spans="1:19" x14ac:dyDescent="0.4">
      <c r="A68">
        <v>20210802</v>
      </c>
      <c r="B68" s="1">
        <v>0.375</v>
      </c>
      <c r="C68">
        <v>-17008</v>
      </c>
      <c r="D68">
        <v>563521</v>
      </c>
      <c r="E68">
        <v>1013685</v>
      </c>
      <c r="F68">
        <v>-20837</v>
      </c>
      <c r="G68">
        <v>119167</v>
      </c>
      <c r="H68">
        <v>-402554</v>
      </c>
      <c r="I68">
        <v>-110820</v>
      </c>
      <c r="J68">
        <v>52313</v>
      </c>
      <c r="K68">
        <v>359804</v>
      </c>
      <c r="L68">
        <v>-46752</v>
      </c>
      <c r="M68">
        <v>9.59</v>
      </c>
      <c r="N68">
        <f t="shared" si="6"/>
        <v>1510519</v>
      </c>
      <c r="O68">
        <v>25454750</v>
      </c>
      <c r="P68" s="2">
        <f t="shared" si="7"/>
        <v>5.9341341007081194</v>
      </c>
      <c r="Q68" t="str">
        <f t="shared" si="8"/>
        <v/>
      </c>
      <c r="R68" s="2">
        <f t="shared" si="5"/>
        <v>5.9341341007081194</v>
      </c>
      <c r="S68" s="5">
        <f t="shared" si="9"/>
        <v>24.411105249999999</v>
      </c>
    </row>
    <row r="69" spans="1:19" x14ac:dyDescent="0.4">
      <c r="A69">
        <v>20210802</v>
      </c>
      <c r="B69" s="1">
        <v>0.39583333333333331</v>
      </c>
      <c r="C69">
        <v>47850</v>
      </c>
      <c r="D69">
        <v>682866</v>
      </c>
      <c r="E69">
        <v>1087198</v>
      </c>
      <c r="F69">
        <v>15474</v>
      </c>
      <c r="G69">
        <v>91913</v>
      </c>
      <c r="H69">
        <v>-285968</v>
      </c>
      <c r="I69">
        <v>-56653</v>
      </c>
      <c r="J69">
        <v>57948</v>
      </c>
      <c r="K69">
        <v>448738</v>
      </c>
      <c r="L69">
        <v>-54878</v>
      </c>
      <c r="M69">
        <v>9.7899999999999991</v>
      </c>
      <c r="N69">
        <f t="shared" si="6"/>
        <v>2034488</v>
      </c>
      <c r="O69">
        <v>25783200</v>
      </c>
      <c r="P69" s="2">
        <f t="shared" si="7"/>
        <v>7.8907505662602002</v>
      </c>
      <c r="Q69" t="str">
        <f t="shared" si="8"/>
        <v/>
      </c>
      <c r="R69" s="2">
        <f t="shared" si="5"/>
        <v>7.8907505662602002</v>
      </c>
      <c r="S69" s="5">
        <f t="shared" si="9"/>
        <v>25.241752799999997</v>
      </c>
    </row>
    <row r="70" spans="1:19" x14ac:dyDescent="0.4">
      <c r="A70">
        <v>20210802</v>
      </c>
      <c r="B70" s="1">
        <v>0.41666666666666669</v>
      </c>
      <c r="C70">
        <v>77315</v>
      </c>
      <c r="D70">
        <v>636119</v>
      </c>
      <c r="E70">
        <v>1108543</v>
      </c>
      <c r="F70">
        <v>-13906</v>
      </c>
      <c r="G70">
        <v>94516</v>
      </c>
      <c r="H70">
        <v>-188173</v>
      </c>
      <c r="I70">
        <v>-1414</v>
      </c>
      <c r="J70">
        <v>66404</v>
      </c>
      <c r="K70">
        <v>365908</v>
      </c>
      <c r="L70">
        <v>-52065</v>
      </c>
      <c r="M70">
        <v>9.85</v>
      </c>
      <c r="N70">
        <f t="shared" si="6"/>
        <v>2093247</v>
      </c>
      <c r="O70">
        <v>25914750</v>
      </c>
      <c r="P70" s="2">
        <f t="shared" si="7"/>
        <v>8.0774346655862015</v>
      </c>
      <c r="Q70" t="str">
        <f t="shared" si="8"/>
        <v/>
      </c>
      <c r="R70" s="2">
        <f t="shared" si="5"/>
        <v>8.0774346655862015</v>
      </c>
      <c r="S70" s="5">
        <f t="shared" si="9"/>
        <v>25.526028749999998</v>
      </c>
    </row>
    <row r="71" spans="1:19" x14ac:dyDescent="0.4">
      <c r="A71">
        <v>20210802</v>
      </c>
      <c r="B71" s="1">
        <v>0.4375</v>
      </c>
      <c r="C71">
        <v>23039</v>
      </c>
      <c r="D71">
        <v>750767</v>
      </c>
      <c r="E71">
        <v>1013892</v>
      </c>
      <c r="F71">
        <v>-155134</v>
      </c>
      <c r="G71">
        <v>68494</v>
      </c>
      <c r="H71">
        <v>-165505</v>
      </c>
      <c r="I71">
        <v>-21582</v>
      </c>
      <c r="J71">
        <v>60975</v>
      </c>
      <c r="K71">
        <v>254571</v>
      </c>
      <c r="L71">
        <v>-44404</v>
      </c>
      <c r="M71">
        <v>9.85</v>
      </c>
      <c r="N71">
        <f t="shared" si="6"/>
        <v>1785113</v>
      </c>
      <c r="O71">
        <v>26020500</v>
      </c>
      <c r="P71" s="2">
        <f t="shared" si="7"/>
        <v>6.8604100612978227</v>
      </c>
      <c r="Q71" t="str">
        <f t="shared" si="8"/>
        <v/>
      </c>
      <c r="R71" s="2">
        <f t="shared" si="5"/>
        <v>6.8604100612978227</v>
      </c>
      <c r="S71" s="5">
        <f t="shared" si="9"/>
        <v>25.6301925</v>
      </c>
    </row>
    <row r="72" spans="1:19" x14ac:dyDescent="0.4">
      <c r="A72">
        <v>20210802</v>
      </c>
      <c r="B72" s="1">
        <v>0.45833333333333331</v>
      </c>
      <c r="C72">
        <v>115914</v>
      </c>
      <c r="D72">
        <v>804124</v>
      </c>
      <c r="E72">
        <v>1303965</v>
      </c>
      <c r="F72">
        <v>-154032</v>
      </c>
      <c r="G72">
        <v>18041</v>
      </c>
      <c r="H72">
        <v>-96799</v>
      </c>
      <c r="I72">
        <v>4696</v>
      </c>
      <c r="J72">
        <v>72685</v>
      </c>
      <c r="K72">
        <v>180246</v>
      </c>
      <c r="L72">
        <v>-42454</v>
      </c>
      <c r="M72">
        <v>9.9700000000000006</v>
      </c>
      <c r="N72">
        <f t="shared" si="6"/>
        <v>2206386</v>
      </c>
      <c r="O72">
        <v>26370600</v>
      </c>
      <c r="P72" s="2">
        <f t="shared" si="7"/>
        <v>8.3668403449295798</v>
      </c>
      <c r="Q72" t="str">
        <f t="shared" si="8"/>
        <v/>
      </c>
      <c r="R72" s="2">
        <f t="shared" si="5"/>
        <v>8.3668403449295798</v>
      </c>
      <c r="S72" s="5">
        <f t="shared" si="9"/>
        <v>26.291488200000003</v>
      </c>
    </row>
    <row r="73" spans="1:19" x14ac:dyDescent="0.4">
      <c r="A73">
        <v>20210802</v>
      </c>
      <c r="B73" s="1">
        <v>0.47916666666666669</v>
      </c>
      <c r="C73">
        <v>-22802</v>
      </c>
      <c r="D73">
        <v>807020</v>
      </c>
      <c r="E73">
        <v>1305572</v>
      </c>
      <c r="F73">
        <v>23208</v>
      </c>
      <c r="G73">
        <v>11543</v>
      </c>
      <c r="H73">
        <v>-129833</v>
      </c>
      <c r="I73">
        <v>50948</v>
      </c>
      <c r="J73">
        <v>42967</v>
      </c>
      <c r="K73">
        <v>306178</v>
      </c>
      <c r="L73">
        <v>-54991</v>
      </c>
      <c r="M73">
        <v>10.27</v>
      </c>
      <c r="N73">
        <f t="shared" si="6"/>
        <v>2339810</v>
      </c>
      <c r="O73">
        <v>26291650</v>
      </c>
      <c r="P73" s="2">
        <f t="shared" si="7"/>
        <v>8.8994414576491021</v>
      </c>
      <c r="Q73" t="str">
        <f t="shared" si="8"/>
        <v/>
      </c>
      <c r="R73" s="2">
        <f t="shared" si="5"/>
        <v>8.8994414576491021</v>
      </c>
      <c r="S73" s="5">
        <f t="shared" si="9"/>
        <v>27.001524549999999</v>
      </c>
    </row>
    <row r="74" spans="1:19" x14ac:dyDescent="0.4">
      <c r="A74">
        <v>20210802</v>
      </c>
      <c r="B74" s="1">
        <v>0.5</v>
      </c>
      <c r="C74">
        <v>-23439</v>
      </c>
      <c r="D74">
        <v>687258</v>
      </c>
      <c r="E74">
        <v>1820161</v>
      </c>
      <c r="F74">
        <v>141345</v>
      </c>
      <c r="G74">
        <v>-12553</v>
      </c>
      <c r="H74">
        <v>35387</v>
      </c>
      <c r="I74">
        <v>-3661</v>
      </c>
      <c r="J74">
        <v>37777</v>
      </c>
      <c r="K74">
        <v>209595</v>
      </c>
      <c r="L74">
        <v>-48399</v>
      </c>
      <c r="M74">
        <v>9.84</v>
      </c>
      <c r="N74">
        <f t="shared" si="6"/>
        <v>2843471</v>
      </c>
      <c r="O74">
        <v>26124350</v>
      </c>
      <c r="P74" s="2">
        <f t="shared" si="7"/>
        <v>10.884370328831148</v>
      </c>
      <c r="Q74" t="str">
        <f t="shared" si="8"/>
        <v/>
      </c>
      <c r="R74" s="2">
        <f t="shared" si="5"/>
        <v>10.884370328831148</v>
      </c>
      <c r="S74" s="5">
        <f t="shared" si="9"/>
        <v>25.706360400000001</v>
      </c>
    </row>
    <row r="75" spans="1:19" x14ac:dyDescent="0.4">
      <c r="A75">
        <v>20210802</v>
      </c>
      <c r="B75" s="1">
        <v>0.52083333333333337</v>
      </c>
      <c r="C75">
        <v>41098</v>
      </c>
      <c r="D75">
        <v>825979</v>
      </c>
      <c r="E75">
        <v>1234850</v>
      </c>
      <c r="F75">
        <v>271293</v>
      </c>
      <c r="G75">
        <v>-17515</v>
      </c>
      <c r="H75">
        <v>-57686</v>
      </c>
      <c r="I75">
        <v>94981</v>
      </c>
      <c r="J75">
        <v>27814</v>
      </c>
      <c r="K75">
        <v>258989</v>
      </c>
      <c r="L75">
        <v>-45678</v>
      </c>
      <c r="M75">
        <v>10.27</v>
      </c>
      <c r="N75">
        <f t="shared" si="6"/>
        <v>2634125</v>
      </c>
      <c r="O75">
        <v>25890800</v>
      </c>
      <c r="P75" s="2">
        <f t="shared" si="7"/>
        <v>10.173980719019884</v>
      </c>
      <c r="Q75" t="str">
        <f t="shared" si="8"/>
        <v/>
      </c>
      <c r="R75" s="2">
        <f t="shared" si="5"/>
        <v>10.173980719019884</v>
      </c>
      <c r="S75" s="5">
        <f t="shared" si="9"/>
        <v>26.589851599999999</v>
      </c>
    </row>
    <row r="76" spans="1:19" x14ac:dyDescent="0.4">
      <c r="A76">
        <v>20210802</v>
      </c>
      <c r="B76" s="1">
        <v>0.54166666666666663</v>
      </c>
      <c r="C76">
        <v>-49757</v>
      </c>
      <c r="D76">
        <v>880162</v>
      </c>
      <c r="E76">
        <v>1549474</v>
      </c>
      <c r="F76">
        <v>314142</v>
      </c>
      <c r="G76">
        <v>-24641</v>
      </c>
      <c r="H76">
        <v>37554</v>
      </c>
      <c r="I76">
        <v>64392</v>
      </c>
      <c r="J76">
        <v>-7177</v>
      </c>
      <c r="K76">
        <v>127604</v>
      </c>
      <c r="L76">
        <v>-49305</v>
      </c>
      <c r="M76">
        <v>11.78</v>
      </c>
      <c r="N76">
        <f t="shared" si="6"/>
        <v>2842448</v>
      </c>
      <c r="O76">
        <v>24961850</v>
      </c>
      <c r="P76" s="2">
        <f t="shared" si="7"/>
        <v>11.387168819618738</v>
      </c>
      <c r="Q76" t="str">
        <f t="shared" si="8"/>
        <v/>
      </c>
      <c r="R76" s="2">
        <f t="shared" si="5"/>
        <v>11.387168819618738</v>
      </c>
      <c r="S76" s="5">
        <f t="shared" si="9"/>
        <v>29.405059300000001</v>
      </c>
    </row>
    <row r="77" spans="1:19" x14ac:dyDescent="0.4">
      <c r="A77">
        <v>20210802</v>
      </c>
      <c r="B77" s="1">
        <v>0.5625</v>
      </c>
      <c r="C77">
        <v>-30309</v>
      </c>
      <c r="D77">
        <v>851701</v>
      </c>
      <c r="E77">
        <v>1416128</v>
      </c>
      <c r="F77">
        <v>414085</v>
      </c>
      <c r="G77">
        <v>-7657</v>
      </c>
      <c r="H77">
        <v>100138</v>
      </c>
      <c r="I77">
        <v>117625</v>
      </c>
      <c r="J77">
        <v>-2354</v>
      </c>
      <c r="K77">
        <v>109193</v>
      </c>
      <c r="L77">
        <v>-41857</v>
      </c>
      <c r="M77">
        <v>12.76</v>
      </c>
      <c r="N77">
        <f t="shared" si="6"/>
        <v>2926693</v>
      </c>
      <c r="O77">
        <v>24921900</v>
      </c>
      <c r="P77" s="2">
        <f t="shared" si="7"/>
        <v>11.743458564555672</v>
      </c>
      <c r="Q77" t="str">
        <f t="shared" si="8"/>
        <v/>
      </c>
      <c r="R77" s="2">
        <f t="shared" si="5"/>
        <v>11.743458564555672</v>
      </c>
      <c r="S77" s="5">
        <f t="shared" si="9"/>
        <v>31.8003444</v>
      </c>
    </row>
    <row r="78" spans="1:19" x14ac:dyDescent="0.4">
      <c r="A78">
        <v>20210802</v>
      </c>
      <c r="B78" s="1">
        <v>0.58333333333333337</v>
      </c>
      <c r="C78">
        <v>-42818</v>
      </c>
      <c r="D78">
        <v>983039</v>
      </c>
      <c r="E78">
        <v>1370652</v>
      </c>
      <c r="F78">
        <v>356919</v>
      </c>
      <c r="G78">
        <v>-6407</v>
      </c>
      <c r="H78">
        <v>132944</v>
      </c>
      <c r="I78">
        <v>85536</v>
      </c>
      <c r="J78">
        <v>-30578</v>
      </c>
      <c r="K78">
        <v>204217</v>
      </c>
      <c r="L78">
        <v>-42615</v>
      </c>
      <c r="M78">
        <v>15.01</v>
      </c>
      <c r="N78">
        <f t="shared" si="6"/>
        <v>3010889</v>
      </c>
      <c r="O78">
        <v>24721200</v>
      </c>
      <c r="P78" s="2">
        <f t="shared" si="7"/>
        <v>12.179380450787178</v>
      </c>
      <c r="Q78" t="str">
        <f t="shared" si="8"/>
        <v/>
      </c>
      <c r="R78" s="2">
        <f t="shared" si="5"/>
        <v>12.179380450787178</v>
      </c>
      <c r="S78" s="5">
        <f t="shared" si="9"/>
        <v>37.106521200000003</v>
      </c>
    </row>
    <row r="79" spans="1:19" x14ac:dyDescent="0.4">
      <c r="A79">
        <v>20210802</v>
      </c>
      <c r="B79" s="1">
        <v>0.60416666666666663</v>
      </c>
      <c r="C79">
        <v>-79234</v>
      </c>
      <c r="D79">
        <v>800360</v>
      </c>
      <c r="E79">
        <v>1130853</v>
      </c>
      <c r="F79">
        <v>259687</v>
      </c>
      <c r="G79">
        <v>31744</v>
      </c>
      <c r="H79">
        <v>166723</v>
      </c>
      <c r="I79">
        <v>211546</v>
      </c>
      <c r="J79">
        <v>-16618</v>
      </c>
      <c r="K79">
        <v>197951</v>
      </c>
      <c r="L79">
        <v>-57546</v>
      </c>
      <c r="M79">
        <v>15.47</v>
      </c>
      <c r="N79">
        <f t="shared" si="6"/>
        <v>2645466</v>
      </c>
      <c r="O79">
        <v>24825950</v>
      </c>
      <c r="P79" s="2">
        <f t="shared" si="7"/>
        <v>10.656051430056051</v>
      </c>
      <c r="Q79" t="str">
        <f t="shared" si="8"/>
        <v/>
      </c>
      <c r="R79" s="2">
        <f t="shared" si="5"/>
        <v>10.656051430056051</v>
      </c>
      <c r="S79" s="5">
        <f t="shared" si="9"/>
        <v>38.405744650000003</v>
      </c>
    </row>
    <row r="80" spans="1:19" x14ac:dyDescent="0.4">
      <c r="A80">
        <v>20210802</v>
      </c>
      <c r="B80" s="1">
        <v>0.625</v>
      </c>
      <c r="C80">
        <v>-39758</v>
      </c>
      <c r="D80">
        <v>778623</v>
      </c>
      <c r="E80">
        <v>1367991</v>
      </c>
      <c r="F80">
        <v>342223</v>
      </c>
      <c r="G80">
        <v>57330</v>
      </c>
      <c r="H80">
        <v>141996</v>
      </c>
      <c r="I80">
        <v>181092</v>
      </c>
      <c r="J80">
        <v>-29828</v>
      </c>
      <c r="K80">
        <v>51411</v>
      </c>
      <c r="L80">
        <v>-54138</v>
      </c>
      <c r="M80">
        <v>15.01</v>
      </c>
      <c r="N80">
        <f t="shared" si="6"/>
        <v>2796942</v>
      </c>
      <c r="O80">
        <v>24518200</v>
      </c>
      <c r="P80" s="2">
        <f t="shared" si="7"/>
        <v>11.407615567211296</v>
      </c>
      <c r="Q80" t="str">
        <f t="shared" si="8"/>
        <v/>
      </c>
      <c r="R80" s="2">
        <f t="shared" si="5"/>
        <v>11.407615567211296</v>
      </c>
      <c r="S80" s="5">
        <f t="shared" si="9"/>
        <v>36.8018182</v>
      </c>
    </row>
    <row r="81" spans="1:19" x14ac:dyDescent="0.4">
      <c r="A81">
        <v>20210802</v>
      </c>
      <c r="B81" s="1">
        <v>0.64583333333333337</v>
      </c>
      <c r="C81">
        <v>-14042</v>
      </c>
      <c r="D81">
        <v>569480</v>
      </c>
      <c r="E81">
        <v>1009909</v>
      </c>
      <c r="F81">
        <v>236453</v>
      </c>
      <c r="G81">
        <v>23724</v>
      </c>
      <c r="H81">
        <v>159678</v>
      </c>
      <c r="I81">
        <v>24907</v>
      </c>
      <c r="J81">
        <v>-94996</v>
      </c>
      <c r="K81">
        <v>-34919</v>
      </c>
      <c r="L81">
        <v>-63688</v>
      </c>
      <c r="M81">
        <v>17.010000000000002</v>
      </c>
      <c r="N81">
        <f t="shared" si="6"/>
        <v>1816506</v>
      </c>
      <c r="O81">
        <v>24074700</v>
      </c>
      <c r="P81" s="2">
        <f t="shared" si="7"/>
        <v>7.5452902839910774</v>
      </c>
      <c r="Q81" t="str">
        <f t="shared" si="8"/>
        <v/>
      </c>
      <c r="R81" s="2">
        <f t="shared" si="5"/>
        <v>7.5452902839910774</v>
      </c>
      <c r="S81" s="5">
        <f t="shared" si="9"/>
        <v>40.951064700000003</v>
      </c>
    </row>
    <row r="82" spans="1:19" x14ac:dyDescent="0.4">
      <c r="A82">
        <v>20210802</v>
      </c>
      <c r="B82" s="1">
        <v>0.66666666666666663</v>
      </c>
      <c r="C82">
        <v>-31367</v>
      </c>
      <c r="D82">
        <v>443970</v>
      </c>
      <c r="E82">
        <v>1038898</v>
      </c>
      <c r="F82">
        <v>90145</v>
      </c>
      <c r="G82">
        <v>-18522</v>
      </c>
      <c r="H82">
        <v>121942</v>
      </c>
      <c r="I82">
        <v>-44646</v>
      </c>
      <c r="J82">
        <v>-117204</v>
      </c>
      <c r="K82">
        <v>-12172</v>
      </c>
      <c r="L82">
        <v>-61957</v>
      </c>
      <c r="M82">
        <v>15.47</v>
      </c>
      <c r="N82">
        <f t="shared" si="6"/>
        <v>1409087</v>
      </c>
      <c r="O82">
        <v>24469500</v>
      </c>
      <c r="P82" s="2">
        <f t="shared" si="7"/>
        <v>5.7585443102637974</v>
      </c>
      <c r="Q82" t="str">
        <f t="shared" si="8"/>
        <v/>
      </c>
      <c r="R82" s="2">
        <f t="shared" si="5"/>
        <v>5.7585443102637974</v>
      </c>
      <c r="S82" s="5">
        <f t="shared" si="9"/>
        <v>37.854316500000003</v>
      </c>
    </row>
    <row r="83" spans="1:19" x14ac:dyDescent="0.4">
      <c r="A83">
        <v>20210802</v>
      </c>
      <c r="B83" s="1">
        <v>0.6875</v>
      </c>
      <c r="C83">
        <v>21299</v>
      </c>
      <c r="D83">
        <v>195866</v>
      </c>
      <c r="E83">
        <v>698529</v>
      </c>
      <c r="F83">
        <v>62510</v>
      </c>
      <c r="G83">
        <v>-25073</v>
      </c>
      <c r="H83">
        <v>146861</v>
      </c>
      <c r="I83">
        <v>7080</v>
      </c>
      <c r="J83">
        <v>-160687</v>
      </c>
      <c r="K83">
        <v>17796</v>
      </c>
      <c r="L83">
        <v>-66750</v>
      </c>
      <c r="M83">
        <v>16.21</v>
      </c>
      <c r="N83">
        <f t="shared" si="6"/>
        <v>897431</v>
      </c>
      <c r="O83">
        <v>24022000</v>
      </c>
      <c r="P83" s="2">
        <f t="shared" si="7"/>
        <v>3.7358712846557323</v>
      </c>
      <c r="Q83" t="str">
        <f t="shared" si="8"/>
        <v/>
      </c>
      <c r="R83" s="2">
        <f t="shared" si="5"/>
        <v>3.7358712846557323</v>
      </c>
      <c r="S83" s="5">
        <f t="shared" si="9"/>
        <v>38.939661999999998</v>
      </c>
    </row>
    <row r="84" spans="1:19" x14ac:dyDescent="0.4">
      <c r="A84">
        <v>20210802</v>
      </c>
      <c r="B84" s="1">
        <v>0.70833333333333337</v>
      </c>
      <c r="C84">
        <v>-34625</v>
      </c>
      <c r="D84">
        <v>37942</v>
      </c>
      <c r="E84">
        <v>634970</v>
      </c>
      <c r="F84">
        <v>126135</v>
      </c>
      <c r="G84">
        <v>-47999</v>
      </c>
      <c r="H84">
        <v>183984</v>
      </c>
      <c r="I84">
        <v>-47259</v>
      </c>
      <c r="J84">
        <v>-155646</v>
      </c>
      <c r="K84">
        <v>4306</v>
      </c>
      <c r="L84">
        <v>-60028</v>
      </c>
      <c r="M84">
        <v>15</v>
      </c>
      <c r="N84">
        <f t="shared" si="6"/>
        <v>641780</v>
      </c>
      <c r="O84">
        <v>23658900</v>
      </c>
      <c r="P84" s="2">
        <f t="shared" si="7"/>
        <v>2.7126366821787995</v>
      </c>
      <c r="Q84" t="str">
        <f t="shared" si="8"/>
        <v/>
      </c>
      <c r="R84" s="2">
        <f t="shared" si="5"/>
        <v>2.7126366821787995</v>
      </c>
      <c r="S84" s="5">
        <f t="shared" si="9"/>
        <v>35.488349999999997</v>
      </c>
    </row>
    <row r="85" spans="1:19" x14ac:dyDescent="0.4">
      <c r="A85">
        <v>20210802</v>
      </c>
      <c r="B85" s="1">
        <v>0.72916666666666663</v>
      </c>
      <c r="C85">
        <v>-12756</v>
      </c>
      <c r="D85">
        <v>-206950</v>
      </c>
      <c r="E85">
        <v>-53276</v>
      </c>
      <c r="F85">
        <v>68734</v>
      </c>
      <c r="G85">
        <v>-61285</v>
      </c>
      <c r="H85">
        <v>167949</v>
      </c>
      <c r="I85">
        <v>-66970</v>
      </c>
      <c r="J85">
        <v>-183876</v>
      </c>
      <c r="K85">
        <v>33901</v>
      </c>
      <c r="L85">
        <v>-59593</v>
      </c>
      <c r="M85">
        <v>13.79</v>
      </c>
      <c r="N85">
        <f t="shared" si="6"/>
        <v>-374122</v>
      </c>
      <c r="O85">
        <v>23305700</v>
      </c>
      <c r="P85" s="2">
        <f t="shared" si="7"/>
        <v>1.6052811114877477</v>
      </c>
      <c r="Q85" s="3" t="str">
        <f t="shared" si="8"/>
        <v>〇</v>
      </c>
      <c r="R85" s="2">
        <f t="shared" si="5"/>
        <v>-1.6052811114877477</v>
      </c>
      <c r="S85" s="5">
        <f t="shared" si="9"/>
        <v>32.138560300000002</v>
      </c>
    </row>
    <row r="86" spans="1:19" x14ac:dyDescent="0.4">
      <c r="A86">
        <v>20210802</v>
      </c>
      <c r="B86" s="1">
        <v>0.75</v>
      </c>
      <c r="C86">
        <v>-22753</v>
      </c>
      <c r="D86">
        <v>-175779</v>
      </c>
      <c r="E86">
        <v>-122091</v>
      </c>
      <c r="F86">
        <v>172549</v>
      </c>
      <c r="G86">
        <v>-68883</v>
      </c>
      <c r="H86">
        <v>224784</v>
      </c>
      <c r="I86">
        <v>-53709</v>
      </c>
      <c r="J86">
        <v>-157439</v>
      </c>
      <c r="K86">
        <v>39207</v>
      </c>
      <c r="L86">
        <v>-47616</v>
      </c>
      <c r="M86">
        <v>16.010000000000002</v>
      </c>
      <c r="N86">
        <f t="shared" si="6"/>
        <v>-211730</v>
      </c>
      <c r="O86">
        <v>22718850</v>
      </c>
      <c r="P86" s="2">
        <f t="shared" si="7"/>
        <v>0.93195738340629042</v>
      </c>
      <c r="Q86" s="3" t="str">
        <f t="shared" si="8"/>
        <v>〇</v>
      </c>
      <c r="R86" s="2">
        <f t="shared" si="5"/>
        <v>-0.93195738340629042</v>
      </c>
      <c r="S86" s="5">
        <f t="shared" si="9"/>
        <v>36.372878850000006</v>
      </c>
    </row>
    <row r="87" spans="1:19" x14ac:dyDescent="0.4">
      <c r="A87">
        <v>20210802</v>
      </c>
      <c r="B87" s="1">
        <v>0.77083333333333337</v>
      </c>
      <c r="C87">
        <v>-7724</v>
      </c>
      <c r="D87">
        <v>-239592</v>
      </c>
      <c r="E87">
        <v>-265276</v>
      </c>
      <c r="F87">
        <v>125897</v>
      </c>
      <c r="G87">
        <v>-52917</v>
      </c>
      <c r="H87">
        <v>-11631</v>
      </c>
      <c r="I87">
        <v>-41251</v>
      </c>
      <c r="J87">
        <v>-108365</v>
      </c>
      <c r="K87">
        <v>143563</v>
      </c>
      <c r="L87">
        <v>-31367</v>
      </c>
      <c r="M87">
        <v>16.21</v>
      </c>
      <c r="N87">
        <f t="shared" si="6"/>
        <v>-488663</v>
      </c>
      <c r="O87">
        <v>22708000</v>
      </c>
      <c r="P87" s="2">
        <f t="shared" si="7"/>
        <v>2.1519420468557335</v>
      </c>
      <c r="Q87" s="3" t="str">
        <f t="shared" si="8"/>
        <v>〇</v>
      </c>
      <c r="R87" s="2">
        <f t="shared" si="5"/>
        <v>-2.1519420468557335</v>
      </c>
      <c r="S87" s="5">
        <f t="shared" si="9"/>
        <v>36.809668000000002</v>
      </c>
    </row>
    <row r="88" spans="1:19" x14ac:dyDescent="0.4">
      <c r="A88">
        <v>20210802</v>
      </c>
      <c r="B88" s="1">
        <v>0.79166666666666663</v>
      </c>
      <c r="C88">
        <v>-35551</v>
      </c>
      <c r="D88">
        <v>-128989</v>
      </c>
      <c r="E88">
        <v>-327056</v>
      </c>
      <c r="F88">
        <v>28712</v>
      </c>
      <c r="G88">
        <v>-57521</v>
      </c>
      <c r="H88">
        <v>-125767</v>
      </c>
      <c r="I88">
        <v>-99090</v>
      </c>
      <c r="J88">
        <v>-59524</v>
      </c>
      <c r="K88">
        <v>188565</v>
      </c>
      <c r="L88">
        <v>-18142</v>
      </c>
      <c r="M88">
        <v>12.76</v>
      </c>
      <c r="N88">
        <f t="shared" si="6"/>
        <v>-634363</v>
      </c>
      <c r="O88">
        <v>22784600</v>
      </c>
      <c r="P88" s="2">
        <f t="shared" si="7"/>
        <v>2.7841743984972305</v>
      </c>
      <c r="Q88" s="3" t="str">
        <f t="shared" si="8"/>
        <v>〇</v>
      </c>
      <c r="R88" s="2">
        <f t="shared" si="5"/>
        <v>-2.7841743984972305</v>
      </c>
      <c r="S88" s="5">
        <f t="shared" si="9"/>
        <v>29.073149600000001</v>
      </c>
    </row>
    <row r="89" spans="1:19" x14ac:dyDescent="0.4">
      <c r="A89">
        <v>20210802</v>
      </c>
      <c r="B89" s="1">
        <v>0.8125</v>
      </c>
      <c r="C89">
        <v>-9701</v>
      </c>
      <c r="D89">
        <v>-182668</v>
      </c>
      <c r="E89">
        <v>-480442</v>
      </c>
      <c r="F89">
        <v>22678</v>
      </c>
      <c r="G89">
        <v>-40619</v>
      </c>
      <c r="H89">
        <v>-128804</v>
      </c>
      <c r="I89">
        <v>-118735</v>
      </c>
      <c r="J89">
        <v>-22562</v>
      </c>
      <c r="K89">
        <v>268376</v>
      </c>
      <c r="L89">
        <v>-20246</v>
      </c>
      <c r="M89">
        <v>10.64</v>
      </c>
      <c r="N89">
        <f t="shared" si="6"/>
        <v>-712723</v>
      </c>
      <c r="O89">
        <v>22581550</v>
      </c>
      <c r="P89" s="2">
        <f t="shared" si="7"/>
        <v>3.1562182401119498</v>
      </c>
      <c r="Q89" s="3" t="str">
        <f t="shared" si="8"/>
        <v>〇</v>
      </c>
      <c r="R89" s="2">
        <f t="shared" si="5"/>
        <v>-3.1562182401119498</v>
      </c>
      <c r="S89" s="5">
        <f t="shared" si="9"/>
        <v>24.0267692</v>
      </c>
    </row>
    <row r="90" spans="1:19" x14ac:dyDescent="0.4">
      <c r="A90">
        <v>20210802</v>
      </c>
      <c r="B90" s="1">
        <v>0.83333333333333337</v>
      </c>
      <c r="C90">
        <v>13574</v>
      </c>
      <c r="D90">
        <v>-69781</v>
      </c>
      <c r="E90">
        <v>-674591</v>
      </c>
      <c r="F90">
        <v>75201</v>
      </c>
      <c r="G90">
        <v>-48343</v>
      </c>
      <c r="H90">
        <v>-39977</v>
      </c>
      <c r="I90">
        <v>-144811</v>
      </c>
      <c r="J90">
        <v>5587</v>
      </c>
      <c r="K90">
        <v>198840</v>
      </c>
      <c r="L90">
        <v>-13677</v>
      </c>
      <c r="M90">
        <v>10.01</v>
      </c>
      <c r="N90">
        <f t="shared" si="6"/>
        <v>-697978</v>
      </c>
      <c r="O90">
        <v>21956700</v>
      </c>
      <c r="P90" s="2">
        <f t="shared" si="7"/>
        <v>3.1788838942099678</v>
      </c>
      <c r="Q90" s="3" t="str">
        <f t="shared" si="8"/>
        <v>〇</v>
      </c>
      <c r="R90" s="2">
        <f t="shared" si="5"/>
        <v>-3.1788838942099678</v>
      </c>
      <c r="S90" s="5">
        <f t="shared" si="9"/>
        <v>21.978656699999998</v>
      </c>
    </row>
    <row r="91" spans="1:19" x14ac:dyDescent="0.4">
      <c r="A91">
        <v>20210802</v>
      </c>
      <c r="B91" s="1">
        <v>0.85416666666666663</v>
      </c>
      <c r="C91">
        <v>-39218</v>
      </c>
      <c r="D91">
        <v>-190407</v>
      </c>
      <c r="E91">
        <v>-217830</v>
      </c>
      <c r="F91">
        <v>64003</v>
      </c>
      <c r="G91">
        <v>-42573</v>
      </c>
      <c r="H91">
        <v>-34451</v>
      </c>
      <c r="I91">
        <v>-153310</v>
      </c>
      <c r="J91">
        <v>-20702</v>
      </c>
      <c r="K91">
        <v>179527</v>
      </c>
      <c r="L91">
        <v>5884</v>
      </c>
      <c r="M91">
        <v>9.83</v>
      </c>
      <c r="N91">
        <f t="shared" si="6"/>
        <v>-449077</v>
      </c>
      <c r="O91">
        <v>21708150</v>
      </c>
      <c r="P91" s="2">
        <f t="shared" si="7"/>
        <v>2.0687023076586444</v>
      </c>
      <c r="Q91" s="3" t="str">
        <f t="shared" si="8"/>
        <v>〇</v>
      </c>
      <c r="R91" s="2">
        <f t="shared" si="5"/>
        <v>-2.0687023076586444</v>
      </c>
      <c r="S91" s="5">
        <f t="shared" si="9"/>
        <v>21.339111450000001</v>
      </c>
    </row>
    <row r="92" spans="1:19" x14ac:dyDescent="0.4">
      <c r="A92">
        <v>20210802</v>
      </c>
      <c r="B92" s="1">
        <v>0.875</v>
      </c>
      <c r="C92">
        <v>-8929</v>
      </c>
      <c r="D92">
        <v>-150881</v>
      </c>
      <c r="E92">
        <v>-752002</v>
      </c>
      <c r="F92">
        <v>-41609</v>
      </c>
      <c r="G92">
        <v>-30603</v>
      </c>
      <c r="H92">
        <v>11605</v>
      </c>
      <c r="I92">
        <v>-98978</v>
      </c>
      <c r="J92">
        <v>-30077</v>
      </c>
      <c r="K92">
        <v>196757</v>
      </c>
      <c r="L92">
        <v>8718</v>
      </c>
      <c r="M92">
        <v>9.59</v>
      </c>
      <c r="N92">
        <f t="shared" si="6"/>
        <v>-895999</v>
      </c>
      <c r="O92">
        <v>21653650</v>
      </c>
      <c r="P92" s="2">
        <f t="shared" si="7"/>
        <v>4.13786590251528</v>
      </c>
      <c r="Q92" s="3" t="str">
        <f t="shared" si="8"/>
        <v>〇</v>
      </c>
      <c r="R92" s="2">
        <f t="shared" si="5"/>
        <v>-4.13786590251528</v>
      </c>
      <c r="S92" s="5">
        <f t="shared" si="9"/>
        <v>20.765850350000001</v>
      </c>
    </row>
    <row r="93" spans="1:19" x14ac:dyDescent="0.4">
      <c r="A93">
        <v>20210802</v>
      </c>
      <c r="B93" s="1">
        <v>0.89583333333333337</v>
      </c>
      <c r="C93">
        <v>35048</v>
      </c>
      <c r="D93">
        <v>-153494</v>
      </c>
      <c r="E93">
        <v>-274751</v>
      </c>
      <c r="F93">
        <v>-36815</v>
      </c>
      <c r="G93">
        <v>-37447</v>
      </c>
      <c r="H93">
        <v>-48479</v>
      </c>
      <c r="I93">
        <v>-29954</v>
      </c>
      <c r="J93">
        <v>-36638</v>
      </c>
      <c r="K93">
        <v>136255</v>
      </c>
      <c r="L93">
        <v>-17169</v>
      </c>
      <c r="M93">
        <v>9.17</v>
      </c>
      <c r="N93">
        <f t="shared" si="6"/>
        <v>-463444</v>
      </c>
      <c r="O93">
        <v>21681500</v>
      </c>
      <c r="P93" s="2">
        <f t="shared" si="7"/>
        <v>2.1375089361898394</v>
      </c>
      <c r="Q93" s="3" t="str">
        <f t="shared" si="8"/>
        <v>〇</v>
      </c>
      <c r="R93" s="2">
        <f t="shared" si="5"/>
        <v>-2.1375089361898394</v>
      </c>
      <c r="S93" s="5">
        <f t="shared" si="9"/>
        <v>19.881935500000001</v>
      </c>
    </row>
    <row r="94" spans="1:19" x14ac:dyDescent="0.4">
      <c r="A94">
        <v>20210802</v>
      </c>
      <c r="B94" s="1">
        <v>0.91666666666666663</v>
      </c>
      <c r="C94">
        <v>27326</v>
      </c>
      <c r="D94">
        <v>-113525</v>
      </c>
      <c r="E94">
        <v>-486962</v>
      </c>
      <c r="F94">
        <v>-40740</v>
      </c>
      <c r="G94">
        <v>-19723</v>
      </c>
      <c r="H94">
        <v>-93559</v>
      </c>
      <c r="I94">
        <v>-74010</v>
      </c>
      <c r="J94">
        <v>-21755</v>
      </c>
      <c r="K94">
        <v>112680</v>
      </c>
      <c r="L94">
        <v>-62881</v>
      </c>
      <c r="M94">
        <v>8.99</v>
      </c>
      <c r="N94">
        <f t="shared" si="6"/>
        <v>-773149</v>
      </c>
      <c r="O94">
        <v>20914350</v>
      </c>
      <c r="P94" s="2">
        <f t="shared" si="7"/>
        <v>3.6967393201318712</v>
      </c>
      <c r="Q94" s="3" t="str">
        <f t="shared" si="8"/>
        <v>〇</v>
      </c>
      <c r="R94" s="2">
        <f t="shared" si="5"/>
        <v>-3.6967393201318712</v>
      </c>
      <c r="S94" s="5">
        <f t="shared" si="9"/>
        <v>18.80200065</v>
      </c>
    </row>
    <row r="95" spans="1:19" x14ac:dyDescent="0.4">
      <c r="A95">
        <v>20210802</v>
      </c>
      <c r="B95" s="1">
        <v>0.9375</v>
      </c>
      <c r="C95">
        <v>-49404</v>
      </c>
      <c r="D95">
        <v>-87871</v>
      </c>
      <c r="E95">
        <v>-348004</v>
      </c>
      <c r="F95">
        <v>-26965</v>
      </c>
      <c r="G95">
        <v>-19343</v>
      </c>
      <c r="H95">
        <v>-162451</v>
      </c>
      <c r="I95">
        <v>-78718</v>
      </c>
      <c r="J95">
        <v>-37491</v>
      </c>
      <c r="K95">
        <v>42924</v>
      </c>
      <c r="L95">
        <v>-55550</v>
      </c>
      <c r="M95">
        <v>8.86</v>
      </c>
      <c r="N95">
        <f t="shared" si="6"/>
        <v>-822873</v>
      </c>
      <c r="O95">
        <v>20723600</v>
      </c>
      <c r="P95" s="2">
        <f t="shared" si="7"/>
        <v>3.9707048968325966</v>
      </c>
      <c r="Q95" s="3" t="str">
        <f t="shared" si="8"/>
        <v>〇</v>
      </c>
      <c r="R95" s="2">
        <f t="shared" si="5"/>
        <v>-3.9707048968325966</v>
      </c>
      <c r="S95" s="5">
        <f t="shared" si="9"/>
        <v>18.361109599999999</v>
      </c>
    </row>
    <row r="96" spans="1:19" x14ac:dyDescent="0.4">
      <c r="A96">
        <v>20210802</v>
      </c>
      <c r="B96" s="1">
        <v>0.95833333333333337</v>
      </c>
      <c r="C96">
        <v>-14428</v>
      </c>
      <c r="D96">
        <v>34157</v>
      </c>
      <c r="E96">
        <v>-466045</v>
      </c>
      <c r="F96">
        <v>-61428</v>
      </c>
      <c r="G96">
        <v>-32267</v>
      </c>
      <c r="H96">
        <v>-214880</v>
      </c>
      <c r="I96">
        <v>16116</v>
      </c>
      <c r="J96">
        <v>-6241</v>
      </c>
      <c r="K96">
        <v>-16802</v>
      </c>
      <c r="L96">
        <v>-48992</v>
      </c>
      <c r="M96">
        <v>7.31</v>
      </c>
      <c r="N96">
        <f t="shared" si="6"/>
        <v>-810810</v>
      </c>
      <c r="O96">
        <v>20030400</v>
      </c>
      <c r="P96" s="2">
        <f t="shared" si="7"/>
        <v>4.0478971962616823</v>
      </c>
      <c r="Q96" s="3" t="str">
        <f t="shared" si="8"/>
        <v>〇</v>
      </c>
      <c r="R96" s="2">
        <f t="shared" si="5"/>
        <v>-4.0478971962616823</v>
      </c>
      <c r="S96" s="5">
        <f t="shared" si="9"/>
        <v>14.6422224</v>
      </c>
    </row>
    <row r="97" spans="1:19" x14ac:dyDescent="0.4">
      <c r="A97">
        <v>20210802</v>
      </c>
      <c r="B97" s="1">
        <v>0.97916666666666663</v>
      </c>
      <c r="C97">
        <v>7675</v>
      </c>
      <c r="D97">
        <v>-133733</v>
      </c>
      <c r="E97">
        <v>-259909</v>
      </c>
      <c r="F97">
        <v>-36709</v>
      </c>
      <c r="G97">
        <v>-8861</v>
      </c>
      <c r="H97">
        <v>-293474</v>
      </c>
      <c r="I97">
        <v>9371</v>
      </c>
      <c r="J97">
        <v>13416</v>
      </c>
      <c r="K97">
        <v>-557</v>
      </c>
      <c r="L97">
        <v>-39642</v>
      </c>
      <c r="M97">
        <v>7.15</v>
      </c>
      <c r="N97">
        <f t="shared" si="6"/>
        <v>-742423</v>
      </c>
      <c r="O97">
        <v>18851150</v>
      </c>
      <c r="P97" s="2">
        <f t="shared" si="7"/>
        <v>3.9383432840967263</v>
      </c>
      <c r="Q97" s="3" t="str">
        <f t="shared" si="8"/>
        <v>〇</v>
      </c>
      <c r="R97" s="2">
        <f t="shared" si="5"/>
        <v>-3.9383432840967263</v>
      </c>
      <c r="S97" s="5">
        <f t="shared" si="9"/>
        <v>13.478572249999999</v>
      </c>
    </row>
    <row r="98" spans="1:19" x14ac:dyDescent="0.4">
      <c r="A98">
        <v>20210803</v>
      </c>
      <c r="B98" s="1">
        <v>0</v>
      </c>
      <c r="C98">
        <v>18186</v>
      </c>
      <c r="D98">
        <v>-49439</v>
      </c>
      <c r="E98">
        <v>-428455</v>
      </c>
      <c r="F98">
        <v>-159578</v>
      </c>
      <c r="G98">
        <v>-2383</v>
      </c>
      <c r="H98">
        <v>-205107</v>
      </c>
      <c r="I98">
        <v>54958</v>
      </c>
      <c r="J98">
        <v>-32772</v>
      </c>
      <c r="K98">
        <v>35771</v>
      </c>
      <c r="L98">
        <v>-44079</v>
      </c>
      <c r="M98">
        <v>8.26</v>
      </c>
      <c r="N98">
        <f t="shared" si="6"/>
        <v>-812898</v>
      </c>
      <c r="O98">
        <v>18028800</v>
      </c>
      <c r="P98" s="2">
        <f t="shared" si="7"/>
        <v>4.5088857827476039</v>
      </c>
      <c r="Q98" s="3" t="str">
        <f t="shared" si="8"/>
        <v>〇</v>
      </c>
      <c r="R98" s="2">
        <f t="shared" si="5"/>
        <v>-4.5088857827476039</v>
      </c>
      <c r="S98" s="5">
        <f t="shared" si="9"/>
        <v>14.8917888</v>
      </c>
    </row>
    <row r="99" spans="1:19" x14ac:dyDescent="0.4">
      <c r="A99">
        <v>20210803</v>
      </c>
      <c r="B99" s="1">
        <v>2.0833333333333332E-2</v>
      </c>
      <c r="C99">
        <v>36628</v>
      </c>
      <c r="D99">
        <v>-13139</v>
      </c>
      <c r="E99">
        <v>-314936</v>
      </c>
      <c r="F99">
        <v>-132247</v>
      </c>
      <c r="G99">
        <v>8930</v>
      </c>
      <c r="H99">
        <v>-268527</v>
      </c>
      <c r="I99">
        <v>3800</v>
      </c>
      <c r="J99">
        <v>9445</v>
      </c>
      <c r="K99">
        <v>119452</v>
      </c>
      <c r="L99">
        <v>-40651</v>
      </c>
      <c r="M99">
        <v>8.18</v>
      </c>
      <c r="N99">
        <f t="shared" si="6"/>
        <v>-591245</v>
      </c>
      <c r="O99">
        <v>19398850</v>
      </c>
      <c r="P99" s="2">
        <f t="shared" si="7"/>
        <v>3.047835309825067</v>
      </c>
      <c r="Q99" s="3" t="str">
        <f t="shared" si="8"/>
        <v>〇</v>
      </c>
      <c r="R99" s="2">
        <f t="shared" si="5"/>
        <v>-3.047835309825067</v>
      </c>
      <c r="S99" s="5">
        <f t="shared" si="9"/>
        <v>15.8682593</v>
      </c>
    </row>
    <row r="100" spans="1:19" x14ac:dyDescent="0.4">
      <c r="A100">
        <v>20210803</v>
      </c>
      <c r="B100" s="1">
        <v>4.1666666666666664E-2</v>
      </c>
      <c r="C100">
        <v>28745</v>
      </c>
      <c r="D100">
        <v>-18340</v>
      </c>
      <c r="E100">
        <v>-327690</v>
      </c>
      <c r="F100">
        <v>-164427</v>
      </c>
      <c r="G100">
        <v>-10605</v>
      </c>
      <c r="H100">
        <v>-226715</v>
      </c>
      <c r="I100">
        <v>-16409</v>
      </c>
      <c r="J100">
        <v>1288</v>
      </c>
      <c r="K100">
        <v>51697</v>
      </c>
      <c r="L100">
        <v>-32061</v>
      </c>
      <c r="M100">
        <v>7.75</v>
      </c>
      <c r="N100">
        <f t="shared" si="6"/>
        <v>-714517</v>
      </c>
      <c r="O100">
        <v>19543800</v>
      </c>
      <c r="P100" s="2">
        <f t="shared" si="7"/>
        <v>3.6559778548695752</v>
      </c>
      <c r="Q100" s="3" t="str">
        <f t="shared" si="8"/>
        <v>〇</v>
      </c>
      <c r="R100" s="2">
        <f t="shared" si="5"/>
        <v>-3.6559778548695752</v>
      </c>
      <c r="S100" s="5">
        <f t="shared" si="9"/>
        <v>15.146445</v>
      </c>
    </row>
    <row r="101" spans="1:19" x14ac:dyDescent="0.4">
      <c r="A101">
        <v>20210803</v>
      </c>
      <c r="B101" s="1">
        <v>6.25E-2</v>
      </c>
      <c r="C101">
        <v>33660</v>
      </c>
      <c r="D101">
        <v>-22705</v>
      </c>
      <c r="E101">
        <v>-15567</v>
      </c>
      <c r="F101">
        <v>-147355</v>
      </c>
      <c r="G101">
        <v>-18791</v>
      </c>
      <c r="H101">
        <v>-169413</v>
      </c>
      <c r="I101">
        <v>-18675</v>
      </c>
      <c r="J101">
        <v>-1598</v>
      </c>
      <c r="K101">
        <v>32858</v>
      </c>
      <c r="L101">
        <v>-35266</v>
      </c>
      <c r="M101">
        <v>7.59</v>
      </c>
      <c r="N101">
        <f t="shared" si="6"/>
        <v>-362852</v>
      </c>
      <c r="O101">
        <v>19694500</v>
      </c>
      <c r="P101" s="2">
        <f t="shared" si="7"/>
        <v>1.8424027012617736</v>
      </c>
      <c r="Q101" s="3" t="str">
        <f t="shared" si="8"/>
        <v>〇</v>
      </c>
      <c r="R101" s="2">
        <f t="shared" si="5"/>
        <v>-1.8424027012617736</v>
      </c>
      <c r="S101" s="5">
        <f t="shared" si="9"/>
        <v>14.9481255</v>
      </c>
    </row>
    <row r="102" spans="1:19" x14ac:dyDescent="0.4">
      <c r="A102">
        <v>20210803</v>
      </c>
      <c r="B102" s="1">
        <v>8.3333333333333329E-2</v>
      </c>
      <c r="C102">
        <v>18135</v>
      </c>
      <c r="D102">
        <v>11738</v>
      </c>
      <c r="E102">
        <v>-181631</v>
      </c>
      <c r="F102">
        <v>-65181</v>
      </c>
      <c r="G102">
        <v>-20916</v>
      </c>
      <c r="H102">
        <v>-188380</v>
      </c>
      <c r="I102">
        <v>-1783</v>
      </c>
      <c r="J102">
        <v>-6078</v>
      </c>
      <c r="K102">
        <v>53798</v>
      </c>
      <c r="L102">
        <v>-24408</v>
      </c>
      <c r="M102">
        <v>7.37</v>
      </c>
      <c r="N102">
        <f t="shared" si="6"/>
        <v>-404706</v>
      </c>
      <c r="O102">
        <v>20009400</v>
      </c>
      <c r="P102" s="2">
        <f t="shared" si="7"/>
        <v>2.0225793876877867</v>
      </c>
      <c r="Q102" s="3" t="str">
        <f t="shared" si="8"/>
        <v>〇</v>
      </c>
      <c r="R102" s="2">
        <f t="shared" si="5"/>
        <v>-2.0225793876877867</v>
      </c>
      <c r="S102" s="5">
        <f t="shared" si="9"/>
        <v>14.7469278</v>
      </c>
    </row>
    <row r="103" spans="1:19" x14ac:dyDescent="0.4">
      <c r="A103">
        <v>20210803</v>
      </c>
      <c r="B103" s="1">
        <v>0.10416666666666667</v>
      </c>
      <c r="C103">
        <v>24045</v>
      </c>
      <c r="D103">
        <v>1422</v>
      </c>
      <c r="E103">
        <v>-190131</v>
      </c>
      <c r="F103">
        <v>-68207</v>
      </c>
      <c r="G103">
        <v>-42181</v>
      </c>
      <c r="H103">
        <v>-231112</v>
      </c>
      <c r="I103">
        <v>-30938</v>
      </c>
      <c r="J103">
        <v>-23942</v>
      </c>
      <c r="K103">
        <v>65109</v>
      </c>
      <c r="L103">
        <v>-34251</v>
      </c>
      <c r="M103">
        <v>7.43</v>
      </c>
      <c r="N103">
        <f t="shared" si="6"/>
        <v>-530186</v>
      </c>
      <c r="O103">
        <v>20193600</v>
      </c>
      <c r="P103" s="2">
        <f t="shared" si="7"/>
        <v>2.6255150146581094</v>
      </c>
      <c r="Q103" s="3" t="str">
        <f t="shared" si="8"/>
        <v>〇</v>
      </c>
      <c r="R103" s="2">
        <f t="shared" si="5"/>
        <v>-2.6255150146581094</v>
      </c>
      <c r="S103" s="5">
        <f t="shared" si="9"/>
        <v>15.0038448</v>
      </c>
    </row>
    <row r="104" spans="1:19" x14ac:dyDescent="0.4">
      <c r="A104">
        <v>20210803</v>
      </c>
      <c r="B104" s="1">
        <v>0.125</v>
      </c>
      <c r="C104">
        <v>9800</v>
      </c>
      <c r="D104">
        <v>15126</v>
      </c>
      <c r="E104">
        <v>-182179</v>
      </c>
      <c r="F104">
        <v>-81947</v>
      </c>
      <c r="G104">
        <v>-23862</v>
      </c>
      <c r="H104">
        <v>-98451</v>
      </c>
      <c r="I104">
        <v>-25087</v>
      </c>
      <c r="J104">
        <v>-13196</v>
      </c>
      <c r="K104">
        <v>40696</v>
      </c>
      <c r="L104">
        <v>-27085</v>
      </c>
      <c r="M104">
        <v>7.36</v>
      </c>
      <c r="N104">
        <f t="shared" si="6"/>
        <v>-386185</v>
      </c>
      <c r="O104">
        <v>20372800</v>
      </c>
      <c r="P104" s="2">
        <f t="shared" si="7"/>
        <v>1.8955911803973926</v>
      </c>
      <c r="Q104" s="3" t="str">
        <f t="shared" si="8"/>
        <v>〇</v>
      </c>
      <c r="R104" s="2">
        <f t="shared" si="5"/>
        <v>-1.8955911803973926</v>
      </c>
      <c r="S104" s="5">
        <f t="shared" si="9"/>
        <v>14.9943808</v>
      </c>
    </row>
    <row r="105" spans="1:19" x14ac:dyDescent="0.4">
      <c r="A105">
        <v>20210803</v>
      </c>
      <c r="B105" s="1">
        <v>0.14583333333333334</v>
      </c>
      <c r="C105">
        <v>22086</v>
      </c>
      <c r="D105">
        <v>56990</v>
      </c>
      <c r="E105">
        <v>-299941</v>
      </c>
      <c r="F105">
        <v>-39958</v>
      </c>
      <c r="G105">
        <v>-33870</v>
      </c>
      <c r="H105">
        <v>-114619</v>
      </c>
      <c r="I105">
        <v>-17583</v>
      </c>
      <c r="J105">
        <v>37</v>
      </c>
      <c r="K105">
        <v>15512</v>
      </c>
      <c r="L105">
        <v>-29858</v>
      </c>
      <c r="M105">
        <v>7.36</v>
      </c>
      <c r="N105">
        <f t="shared" si="6"/>
        <v>-441204</v>
      </c>
      <c r="O105">
        <v>20466950</v>
      </c>
      <c r="P105" s="2">
        <f t="shared" si="7"/>
        <v>2.1556900270924588</v>
      </c>
      <c r="Q105" s="3" t="str">
        <f t="shared" si="8"/>
        <v>〇</v>
      </c>
      <c r="R105" s="2">
        <f t="shared" si="5"/>
        <v>-2.1556900270924588</v>
      </c>
      <c r="S105" s="5">
        <f t="shared" si="9"/>
        <v>15.0636752</v>
      </c>
    </row>
    <row r="106" spans="1:19" x14ac:dyDescent="0.4">
      <c r="A106">
        <v>20210803</v>
      </c>
      <c r="B106" s="1">
        <v>0.16666666666666666</v>
      </c>
      <c r="C106">
        <v>-11991</v>
      </c>
      <c r="D106">
        <v>26696</v>
      </c>
      <c r="E106">
        <v>-166753</v>
      </c>
      <c r="F106">
        <v>-69242</v>
      </c>
      <c r="G106">
        <v>-8860</v>
      </c>
      <c r="H106">
        <v>-56161</v>
      </c>
      <c r="I106">
        <v>-2282</v>
      </c>
      <c r="J106">
        <v>9736</v>
      </c>
      <c r="K106">
        <v>85926</v>
      </c>
      <c r="L106">
        <v>-18397</v>
      </c>
      <c r="M106">
        <v>7.44</v>
      </c>
      <c r="N106">
        <f t="shared" si="6"/>
        <v>-211328</v>
      </c>
      <c r="O106">
        <v>20548050</v>
      </c>
      <c r="P106" s="2">
        <f t="shared" si="7"/>
        <v>1.0284576881991234</v>
      </c>
      <c r="Q106" s="3" t="str">
        <f t="shared" si="8"/>
        <v>〇</v>
      </c>
      <c r="R106" s="2">
        <f t="shared" si="5"/>
        <v>-1.0284576881991234</v>
      </c>
      <c r="S106" s="5">
        <f t="shared" si="9"/>
        <v>15.2877492</v>
      </c>
    </row>
    <row r="107" spans="1:19" x14ac:dyDescent="0.4">
      <c r="A107">
        <v>20210803</v>
      </c>
      <c r="B107" s="1">
        <v>0.1875</v>
      </c>
      <c r="C107">
        <v>9443</v>
      </c>
      <c r="D107">
        <v>41386</v>
      </c>
      <c r="E107">
        <v>-269411</v>
      </c>
      <c r="F107">
        <v>-112447</v>
      </c>
      <c r="G107">
        <v>-29429</v>
      </c>
      <c r="H107">
        <v>-107282</v>
      </c>
      <c r="I107">
        <v>-519</v>
      </c>
      <c r="J107">
        <v>3890</v>
      </c>
      <c r="K107">
        <v>-1384</v>
      </c>
      <c r="L107">
        <v>-27263</v>
      </c>
      <c r="M107">
        <v>7.44</v>
      </c>
      <c r="N107">
        <f t="shared" si="6"/>
        <v>-493016</v>
      </c>
      <c r="O107">
        <v>20540350</v>
      </c>
      <c r="P107" s="2">
        <f t="shared" si="7"/>
        <v>2.4002317389917893</v>
      </c>
      <c r="Q107" s="3" t="str">
        <f t="shared" si="8"/>
        <v>〇</v>
      </c>
      <c r="R107" s="2">
        <f t="shared" si="5"/>
        <v>-2.4002317389917893</v>
      </c>
      <c r="S107" s="5">
        <f t="shared" si="9"/>
        <v>15.2820204</v>
      </c>
    </row>
    <row r="108" spans="1:19" x14ac:dyDescent="0.4">
      <c r="A108">
        <v>20210803</v>
      </c>
      <c r="B108" s="1">
        <v>0.20833333333333334</v>
      </c>
      <c r="C108">
        <v>-1602</v>
      </c>
      <c r="D108">
        <v>71072</v>
      </c>
      <c r="E108">
        <v>-207962</v>
      </c>
      <c r="F108">
        <v>-129240</v>
      </c>
      <c r="G108">
        <v>-30594</v>
      </c>
      <c r="H108">
        <v>-83135</v>
      </c>
      <c r="I108">
        <v>-31160</v>
      </c>
      <c r="J108">
        <v>956</v>
      </c>
      <c r="K108">
        <v>-41412</v>
      </c>
      <c r="L108">
        <v>-24153</v>
      </c>
      <c r="M108">
        <v>8.0500000000000007</v>
      </c>
      <c r="N108">
        <f t="shared" si="6"/>
        <v>-477230</v>
      </c>
      <c r="O108">
        <v>20369950</v>
      </c>
      <c r="P108" s="2">
        <f t="shared" si="7"/>
        <v>2.3428138017029987</v>
      </c>
      <c r="Q108" s="3" t="str">
        <f t="shared" si="8"/>
        <v>〇</v>
      </c>
      <c r="R108" s="2">
        <f t="shared" si="5"/>
        <v>-2.3428138017029987</v>
      </c>
      <c r="S108" s="5">
        <f t="shared" si="9"/>
        <v>16.39780975</v>
      </c>
    </row>
    <row r="109" spans="1:19" x14ac:dyDescent="0.4">
      <c r="A109">
        <v>20210803</v>
      </c>
      <c r="B109" s="1">
        <v>0.22916666666666666</v>
      </c>
      <c r="C109">
        <v>-5943</v>
      </c>
      <c r="D109">
        <v>185695</v>
      </c>
      <c r="E109">
        <v>-83084</v>
      </c>
      <c r="F109">
        <v>-161738</v>
      </c>
      <c r="G109">
        <v>-30118</v>
      </c>
      <c r="H109">
        <v>-193849</v>
      </c>
      <c r="I109">
        <v>-33547</v>
      </c>
      <c r="J109">
        <v>1490</v>
      </c>
      <c r="K109">
        <v>-59902</v>
      </c>
      <c r="L109">
        <v>-23889</v>
      </c>
      <c r="M109">
        <v>7.94</v>
      </c>
      <c r="N109">
        <f t="shared" si="6"/>
        <v>-404885</v>
      </c>
      <c r="O109">
        <v>20285500</v>
      </c>
      <c r="P109" s="2">
        <f t="shared" si="7"/>
        <v>1.9959330556308694</v>
      </c>
      <c r="Q109" s="3" t="str">
        <f t="shared" si="8"/>
        <v>〇</v>
      </c>
      <c r="R109" s="2">
        <f t="shared" si="5"/>
        <v>-1.9959330556308694</v>
      </c>
      <c r="S109" s="5">
        <f t="shared" si="9"/>
        <v>16.106687000000001</v>
      </c>
    </row>
    <row r="110" spans="1:19" x14ac:dyDescent="0.4">
      <c r="A110">
        <v>20210803</v>
      </c>
      <c r="B110" s="1">
        <v>0.25</v>
      </c>
      <c r="C110">
        <v>-22002</v>
      </c>
      <c r="D110">
        <v>180304</v>
      </c>
      <c r="E110">
        <v>-220294</v>
      </c>
      <c r="F110">
        <v>-202324</v>
      </c>
      <c r="G110">
        <v>-20098</v>
      </c>
      <c r="H110">
        <v>-370566</v>
      </c>
      <c r="I110">
        <v>-54714</v>
      </c>
      <c r="J110">
        <v>-13102</v>
      </c>
      <c r="K110">
        <v>-315120</v>
      </c>
      <c r="L110">
        <v>-14121</v>
      </c>
      <c r="M110">
        <v>8.19</v>
      </c>
      <c r="N110">
        <f t="shared" si="6"/>
        <v>-1052037</v>
      </c>
      <c r="O110">
        <v>20807050</v>
      </c>
      <c r="P110" s="2">
        <f t="shared" si="7"/>
        <v>5.0561564469735014</v>
      </c>
      <c r="Q110" s="3" t="str">
        <f t="shared" si="8"/>
        <v>〇</v>
      </c>
      <c r="R110" s="2">
        <f t="shared" si="5"/>
        <v>-5.0561564469735014</v>
      </c>
      <c r="S110" s="5">
        <f t="shared" si="9"/>
        <v>17.040973950000001</v>
      </c>
    </row>
    <row r="111" spans="1:19" x14ac:dyDescent="0.4">
      <c r="A111">
        <v>20210803</v>
      </c>
      <c r="B111" s="1">
        <v>0.27083333333333331</v>
      </c>
      <c r="C111">
        <v>-1975</v>
      </c>
      <c r="D111">
        <v>145902</v>
      </c>
      <c r="E111">
        <v>130601</v>
      </c>
      <c r="F111">
        <v>-270260</v>
      </c>
      <c r="G111">
        <v>-4746</v>
      </c>
      <c r="H111">
        <v>-443892</v>
      </c>
      <c r="I111">
        <v>-91444</v>
      </c>
      <c r="J111">
        <v>-29006</v>
      </c>
      <c r="K111">
        <v>-356802</v>
      </c>
      <c r="L111">
        <v>-27182</v>
      </c>
      <c r="M111">
        <v>7.78</v>
      </c>
      <c r="N111">
        <f t="shared" si="6"/>
        <v>-948804</v>
      </c>
      <c r="O111">
        <v>21382450</v>
      </c>
      <c r="P111" s="2">
        <f t="shared" si="7"/>
        <v>4.4373025541974842</v>
      </c>
      <c r="Q111" s="3" t="str">
        <f t="shared" si="8"/>
        <v>〇</v>
      </c>
      <c r="R111" s="2">
        <f t="shared" si="5"/>
        <v>-4.4373025541974842</v>
      </c>
      <c r="S111" s="5">
        <f t="shared" si="9"/>
        <v>16.635546099999999</v>
      </c>
    </row>
    <row r="112" spans="1:19" x14ac:dyDescent="0.4">
      <c r="A112">
        <v>20210803</v>
      </c>
      <c r="B112" s="1">
        <v>0.29166666666666669</v>
      </c>
      <c r="C112">
        <v>-1165</v>
      </c>
      <c r="D112">
        <v>159766</v>
      </c>
      <c r="E112">
        <v>-57397</v>
      </c>
      <c r="F112">
        <v>-282108</v>
      </c>
      <c r="G112">
        <v>-12548</v>
      </c>
      <c r="H112">
        <v>-488202</v>
      </c>
      <c r="I112">
        <v>-141153</v>
      </c>
      <c r="J112">
        <v>-24522</v>
      </c>
      <c r="K112">
        <v>-451984</v>
      </c>
      <c r="L112">
        <v>-12904</v>
      </c>
      <c r="M112">
        <v>8.86</v>
      </c>
      <c r="N112">
        <f t="shared" si="6"/>
        <v>-1312217</v>
      </c>
      <c r="O112">
        <v>22026450</v>
      </c>
      <c r="P112" s="2">
        <f t="shared" si="7"/>
        <v>5.9574602353080044</v>
      </c>
      <c r="Q112" s="3" t="str">
        <f t="shared" si="8"/>
        <v>〇</v>
      </c>
      <c r="R112" s="2">
        <f t="shared" si="5"/>
        <v>-5.9574602353080044</v>
      </c>
      <c r="S112" s="5">
        <f t="shared" si="9"/>
        <v>19.5154347</v>
      </c>
    </row>
    <row r="113" spans="1:19" x14ac:dyDescent="0.4">
      <c r="A113">
        <v>20210803</v>
      </c>
      <c r="B113" s="1">
        <v>0.3125</v>
      </c>
      <c r="C113">
        <v>6581</v>
      </c>
      <c r="D113">
        <v>132828</v>
      </c>
      <c r="E113">
        <v>297058</v>
      </c>
      <c r="F113">
        <v>-364398</v>
      </c>
      <c r="G113">
        <v>10</v>
      </c>
      <c r="H113">
        <v>-514202</v>
      </c>
      <c r="I113">
        <v>-84128</v>
      </c>
      <c r="J113">
        <v>-12924</v>
      </c>
      <c r="K113">
        <v>-343425</v>
      </c>
      <c r="L113">
        <v>-19109</v>
      </c>
      <c r="M113">
        <v>8.86</v>
      </c>
      <c r="N113">
        <f t="shared" si="6"/>
        <v>-901709</v>
      </c>
      <c r="O113">
        <v>22360700</v>
      </c>
      <c r="P113" s="2">
        <f t="shared" si="7"/>
        <v>4.0325615924367302</v>
      </c>
      <c r="Q113" s="3" t="str">
        <f t="shared" si="8"/>
        <v>〇</v>
      </c>
      <c r="R113" s="2">
        <f t="shared" si="5"/>
        <v>-4.0325615924367302</v>
      </c>
      <c r="S113" s="5">
        <f t="shared" si="9"/>
        <v>19.811580200000002</v>
      </c>
    </row>
    <row r="114" spans="1:19" x14ac:dyDescent="0.4">
      <c r="A114">
        <v>20210803</v>
      </c>
      <c r="B114" s="1">
        <v>0.33333333333333331</v>
      </c>
      <c r="C114">
        <v>24734</v>
      </c>
      <c r="D114">
        <v>208735</v>
      </c>
      <c r="E114">
        <v>661978</v>
      </c>
      <c r="F114">
        <v>-232794</v>
      </c>
      <c r="G114">
        <v>11631</v>
      </c>
      <c r="H114">
        <v>-717245</v>
      </c>
      <c r="I114">
        <v>-25013</v>
      </c>
      <c r="J114">
        <v>15419</v>
      </c>
      <c r="K114">
        <v>-340419</v>
      </c>
      <c r="L114">
        <v>-19210</v>
      </c>
      <c r="M114">
        <v>8.86</v>
      </c>
      <c r="N114">
        <f t="shared" si="6"/>
        <v>-412184</v>
      </c>
      <c r="O114">
        <v>23687750</v>
      </c>
      <c r="P114" s="2">
        <f t="shared" si="7"/>
        <v>1.7400724002912897</v>
      </c>
      <c r="Q114" s="3" t="str">
        <f t="shared" si="8"/>
        <v>〇</v>
      </c>
      <c r="R114" s="2">
        <f t="shared" si="5"/>
        <v>-1.7400724002912897</v>
      </c>
      <c r="S114" s="5">
        <f t="shared" si="9"/>
        <v>20.987346500000001</v>
      </c>
    </row>
    <row r="115" spans="1:19" x14ac:dyDescent="0.4">
      <c r="A115">
        <v>20210803</v>
      </c>
      <c r="B115" s="1">
        <v>0.35416666666666669</v>
      </c>
      <c r="C115">
        <v>9541</v>
      </c>
      <c r="D115">
        <v>177807</v>
      </c>
      <c r="E115">
        <v>-47068</v>
      </c>
      <c r="F115">
        <v>-327292</v>
      </c>
      <c r="G115">
        <v>34820</v>
      </c>
      <c r="H115">
        <v>-331022</v>
      </c>
      <c r="I115">
        <v>-82519</v>
      </c>
      <c r="J115">
        <v>26442</v>
      </c>
      <c r="K115">
        <v>-485333</v>
      </c>
      <c r="L115">
        <v>-41956</v>
      </c>
      <c r="M115">
        <v>9.6</v>
      </c>
      <c r="N115">
        <f t="shared" si="6"/>
        <v>-1066580</v>
      </c>
      <c r="O115">
        <v>24094800</v>
      </c>
      <c r="P115" s="2">
        <f t="shared" si="7"/>
        <v>4.4265982701661768</v>
      </c>
      <c r="Q115" s="3" t="str">
        <f t="shared" si="8"/>
        <v>〇</v>
      </c>
      <c r="R115" s="2">
        <f t="shared" si="5"/>
        <v>-4.4265982701661768</v>
      </c>
      <c r="S115" s="5">
        <f t="shared" si="9"/>
        <v>23.131008000000001</v>
      </c>
    </row>
    <row r="116" spans="1:19" x14ac:dyDescent="0.4">
      <c r="A116">
        <v>20210803</v>
      </c>
      <c r="B116" s="1">
        <v>0.375</v>
      </c>
      <c r="C116">
        <v>110663</v>
      </c>
      <c r="D116">
        <v>178687</v>
      </c>
      <c r="E116">
        <v>151620</v>
      </c>
      <c r="F116">
        <v>-272722</v>
      </c>
      <c r="G116">
        <v>37472</v>
      </c>
      <c r="H116">
        <v>-625305</v>
      </c>
      <c r="I116">
        <v>13261</v>
      </c>
      <c r="J116">
        <v>12888</v>
      </c>
      <c r="K116">
        <v>-489036</v>
      </c>
      <c r="L116">
        <v>-76719</v>
      </c>
      <c r="M116">
        <v>9.74</v>
      </c>
      <c r="N116">
        <f t="shared" si="6"/>
        <v>-959191</v>
      </c>
      <c r="O116">
        <v>24485050</v>
      </c>
      <c r="P116" s="2">
        <f t="shared" si="7"/>
        <v>3.9174557536129191</v>
      </c>
      <c r="Q116" s="3" t="str">
        <f t="shared" si="8"/>
        <v>〇</v>
      </c>
      <c r="R116" s="2">
        <f t="shared" si="5"/>
        <v>-3.9174557536129191</v>
      </c>
      <c r="S116" s="5">
        <f t="shared" si="9"/>
        <v>23.848438699999999</v>
      </c>
    </row>
    <row r="117" spans="1:19" x14ac:dyDescent="0.4">
      <c r="A117">
        <v>20210803</v>
      </c>
      <c r="B117" s="1">
        <v>0.39583333333333331</v>
      </c>
      <c r="C117">
        <v>77811</v>
      </c>
      <c r="D117">
        <v>226539</v>
      </c>
      <c r="E117">
        <v>339448</v>
      </c>
      <c r="F117">
        <v>-115481</v>
      </c>
      <c r="G117">
        <v>52142</v>
      </c>
      <c r="H117">
        <v>-457605</v>
      </c>
      <c r="I117">
        <v>90755</v>
      </c>
      <c r="J117">
        <v>25001</v>
      </c>
      <c r="K117">
        <v>-356079</v>
      </c>
      <c r="L117">
        <v>-82361</v>
      </c>
      <c r="M117">
        <v>9.74</v>
      </c>
      <c r="N117">
        <f t="shared" si="6"/>
        <v>-199830</v>
      </c>
      <c r="O117">
        <v>24816700</v>
      </c>
      <c r="P117" s="2">
        <f t="shared" si="7"/>
        <v>0.80522390164687485</v>
      </c>
      <c r="Q117" s="3" t="str">
        <f t="shared" si="8"/>
        <v>〇</v>
      </c>
      <c r="R117" s="2">
        <f t="shared" si="5"/>
        <v>-0.80522390164687485</v>
      </c>
      <c r="S117" s="5">
        <f t="shared" si="9"/>
        <v>24.1714658</v>
      </c>
    </row>
    <row r="118" spans="1:19" x14ac:dyDescent="0.4">
      <c r="A118">
        <v>20210803</v>
      </c>
      <c r="B118" s="1">
        <v>0.41666666666666669</v>
      </c>
      <c r="C118">
        <v>102445</v>
      </c>
      <c r="D118">
        <v>240029</v>
      </c>
      <c r="E118">
        <v>370727</v>
      </c>
      <c r="F118">
        <v>-4820</v>
      </c>
      <c r="G118">
        <v>45547</v>
      </c>
      <c r="H118">
        <v>-342829</v>
      </c>
      <c r="I118">
        <v>165225</v>
      </c>
      <c r="J118">
        <v>91766</v>
      </c>
      <c r="K118">
        <v>-275612</v>
      </c>
      <c r="L118">
        <v>-92963</v>
      </c>
      <c r="M118">
        <v>9.76</v>
      </c>
      <c r="N118">
        <f t="shared" si="6"/>
        <v>299515</v>
      </c>
      <c r="O118">
        <v>25190450</v>
      </c>
      <c r="P118" s="2">
        <f t="shared" si="7"/>
        <v>1.1890021813822302</v>
      </c>
      <c r="Q118" t="str">
        <f t="shared" si="8"/>
        <v/>
      </c>
      <c r="R118" s="2">
        <f t="shared" si="5"/>
        <v>1.1890021813822302</v>
      </c>
      <c r="S118" s="5">
        <f t="shared" si="9"/>
        <v>24.585879200000001</v>
      </c>
    </row>
    <row r="119" spans="1:19" x14ac:dyDescent="0.4">
      <c r="A119">
        <v>20210803</v>
      </c>
      <c r="B119" s="1">
        <v>0.4375</v>
      </c>
      <c r="C119">
        <v>116802</v>
      </c>
      <c r="D119">
        <v>287183</v>
      </c>
      <c r="E119">
        <v>136713</v>
      </c>
      <c r="F119">
        <v>141317</v>
      </c>
      <c r="G119">
        <v>57325</v>
      </c>
      <c r="H119">
        <v>-232080</v>
      </c>
      <c r="I119">
        <v>251785</v>
      </c>
      <c r="J119">
        <v>107295</v>
      </c>
      <c r="K119">
        <v>-188460</v>
      </c>
      <c r="L119">
        <v>-83044</v>
      </c>
      <c r="M119">
        <v>9.84</v>
      </c>
      <c r="N119">
        <f t="shared" si="6"/>
        <v>594836</v>
      </c>
      <c r="O119">
        <v>25444550</v>
      </c>
      <c r="P119" s="2">
        <f t="shared" si="7"/>
        <v>2.337773707925666</v>
      </c>
      <c r="Q119" t="str">
        <f t="shared" si="8"/>
        <v/>
      </c>
      <c r="R119" s="2">
        <f t="shared" si="5"/>
        <v>2.337773707925666</v>
      </c>
      <c r="S119" s="5">
        <f t="shared" si="9"/>
        <v>25.037437199999999</v>
      </c>
    </row>
    <row r="120" spans="1:19" x14ac:dyDescent="0.4">
      <c r="A120">
        <v>20210803</v>
      </c>
      <c r="B120" s="1">
        <v>0.45833333333333331</v>
      </c>
      <c r="C120">
        <v>219276</v>
      </c>
      <c r="D120">
        <v>237035</v>
      </c>
      <c r="E120">
        <v>221008</v>
      </c>
      <c r="F120">
        <v>93107</v>
      </c>
      <c r="G120">
        <v>-604</v>
      </c>
      <c r="H120">
        <v>55475</v>
      </c>
      <c r="I120">
        <v>214328</v>
      </c>
      <c r="J120">
        <v>115101</v>
      </c>
      <c r="K120">
        <v>-154812</v>
      </c>
      <c r="L120">
        <v>-57193</v>
      </c>
      <c r="M120">
        <v>9.8800000000000008</v>
      </c>
      <c r="N120">
        <f t="shared" si="6"/>
        <v>942721</v>
      </c>
      <c r="O120">
        <v>25843150</v>
      </c>
      <c r="P120" s="2">
        <f t="shared" si="7"/>
        <v>3.6478563952149794</v>
      </c>
      <c r="Q120" t="str">
        <f t="shared" si="8"/>
        <v/>
      </c>
      <c r="R120" s="2">
        <f t="shared" si="5"/>
        <v>3.6478563952149794</v>
      </c>
      <c r="S120" s="5">
        <f t="shared" si="9"/>
        <v>25.533032200000005</v>
      </c>
    </row>
    <row r="121" spans="1:19" x14ac:dyDescent="0.4">
      <c r="A121">
        <v>20210803</v>
      </c>
      <c r="B121" s="1">
        <v>0.47916666666666669</v>
      </c>
      <c r="C121">
        <v>192320</v>
      </c>
      <c r="D121">
        <v>279655</v>
      </c>
      <c r="E121">
        <v>7666</v>
      </c>
      <c r="F121">
        <v>157610</v>
      </c>
      <c r="G121">
        <v>-7433</v>
      </c>
      <c r="H121">
        <v>-75278</v>
      </c>
      <c r="I121">
        <v>313097</v>
      </c>
      <c r="J121">
        <v>121514</v>
      </c>
      <c r="K121">
        <v>-26457</v>
      </c>
      <c r="L121">
        <v>-60494</v>
      </c>
      <c r="M121">
        <v>9.8800000000000008</v>
      </c>
      <c r="N121">
        <f t="shared" si="6"/>
        <v>902200</v>
      </c>
      <c r="O121">
        <v>26105900</v>
      </c>
      <c r="P121" s="2">
        <f t="shared" si="7"/>
        <v>3.4559237566986774</v>
      </c>
      <c r="Q121" t="str">
        <f t="shared" si="8"/>
        <v/>
      </c>
      <c r="R121" s="2">
        <f t="shared" si="5"/>
        <v>3.4559237566986774</v>
      </c>
      <c r="S121" s="5">
        <f t="shared" si="9"/>
        <v>25.792629200000004</v>
      </c>
    </row>
    <row r="122" spans="1:19" x14ac:dyDescent="0.4">
      <c r="A122">
        <v>20210803</v>
      </c>
      <c r="B122" s="1">
        <v>0.5</v>
      </c>
      <c r="C122">
        <v>176392</v>
      </c>
      <c r="D122">
        <v>195851</v>
      </c>
      <c r="E122">
        <v>28091</v>
      </c>
      <c r="F122">
        <v>155312</v>
      </c>
      <c r="G122">
        <v>-28167</v>
      </c>
      <c r="H122">
        <v>-121624</v>
      </c>
      <c r="I122">
        <v>327316</v>
      </c>
      <c r="J122">
        <v>107403</v>
      </c>
      <c r="K122">
        <v>195753</v>
      </c>
      <c r="L122">
        <v>-80340</v>
      </c>
      <c r="M122">
        <v>9.6300000000000008</v>
      </c>
      <c r="N122">
        <f t="shared" si="6"/>
        <v>955987</v>
      </c>
      <c r="O122">
        <v>26154650</v>
      </c>
      <c r="P122" s="2">
        <f t="shared" si="7"/>
        <v>3.6551320702054895</v>
      </c>
      <c r="Q122" t="str">
        <f t="shared" si="8"/>
        <v/>
      </c>
      <c r="R122" s="2">
        <f t="shared" si="5"/>
        <v>3.6551320702054895</v>
      </c>
      <c r="S122" s="5">
        <f t="shared" si="9"/>
        <v>25.186927950000005</v>
      </c>
    </row>
    <row r="123" spans="1:19" x14ac:dyDescent="0.4">
      <c r="A123">
        <v>20210803</v>
      </c>
      <c r="B123" s="1">
        <v>0.52083333333333337</v>
      </c>
      <c r="C123">
        <v>195798</v>
      </c>
      <c r="D123">
        <v>318595</v>
      </c>
      <c r="E123">
        <v>-194078</v>
      </c>
      <c r="F123">
        <v>-4948</v>
      </c>
      <c r="G123">
        <v>2527</v>
      </c>
      <c r="H123">
        <v>-95941</v>
      </c>
      <c r="I123">
        <v>396345</v>
      </c>
      <c r="J123">
        <v>113007</v>
      </c>
      <c r="K123">
        <v>132053</v>
      </c>
      <c r="L123">
        <v>-71063</v>
      </c>
      <c r="M123">
        <v>9.74</v>
      </c>
      <c r="N123">
        <f t="shared" si="6"/>
        <v>792295</v>
      </c>
      <c r="O123">
        <v>26134850</v>
      </c>
      <c r="P123" s="2">
        <f t="shared" si="7"/>
        <v>3.03156513238071</v>
      </c>
      <c r="Q123" t="str">
        <f t="shared" si="8"/>
        <v/>
      </c>
      <c r="R123" s="2">
        <f t="shared" si="5"/>
        <v>3.03156513238071</v>
      </c>
      <c r="S123" s="5">
        <f t="shared" si="9"/>
        <v>25.455343899999999</v>
      </c>
    </row>
    <row r="124" spans="1:19" x14ac:dyDescent="0.4">
      <c r="A124">
        <v>20210803</v>
      </c>
      <c r="B124" s="1">
        <v>0.54166666666666663</v>
      </c>
      <c r="C124">
        <v>154336</v>
      </c>
      <c r="D124">
        <v>317493</v>
      </c>
      <c r="E124">
        <v>92725</v>
      </c>
      <c r="F124">
        <v>54724</v>
      </c>
      <c r="G124">
        <v>3312</v>
      </c>
      <c r="H124">
        <v>-176751</v>
      </c>
      <c r="I124">
        <v>400467</v>
      </c>
      <c r="J124">
        <v>80241</v>
      </c>
      <c r="K124">
        <v>168515</v>
      </c>
      <c r="L124">
        <v>-86871</v>
      </c>
      <c r="M124">
        <v>10.01</v>
      </c>
      <c r="N124">
        <f t="shared" si="6"/>
        <v>1008191</v>
      </c>
      <c r="O124">
        <v>25752700</v>
      </c>
      <c r="P124" s="2">
        <f t="shared" si="7"/>
        <v>3.9148943605913167</v>
      </c>
      <c r="Q124" t="str">
        <f t="shared" si="8"/>
        <v/>
      </c>
      <c r="R124" s="2">
        <f t="shared" si="5"/>
        <v>3.9148943605913167</v>
      </c>
      <c r="S124" s="5">
        <f t="shared" si="9"/>
        <v>25.778452699999999</v>
      </c>
    </row>
    <row r="125" spans="1:19" x14ac:dyDescent="0.4">
      <c r="A125">
        <v>20210803</v>
      </c>
      <c r="B125" s="1">
        <v>0.5625</v>
      </c>
      <c r="C125">
        <v>200104</v>
      </c>
      <c r="D125">
        <v>358062</v>
      </c>
      <c r="E125">
        <v>-107902</v>
      </c>
      <c r="F125">
        <v>57254</v>
      </c>
      <c r="G125">
        <v>20035</v>
      </c>
      <c r="H125">
        <v>-140971</v>
      </c>
      <c r="I125">
        <v>354398</v>
      </c>
      <c r="J125">
        <v>21700</v>
      </c>
      <c r="K125">
        <v>220404</v>
      </c>
      <c r="L125">
        <v>-69645</v>
      </c>
      <c r="M125">
        <v>10.27</v>
      </c>
      <c r="N125">
        <f t="shared" si="6"/>
        <v>913439</v>
      </c>
      <c r="O125">
        <v>25896850</v>
      </c>
      <c r="P125" s="2">
        <f t="shared" si="7"/>
        <v>3.5272204920675683</v>
      </c>
      <c r="Q125" t="str">
        <f t="shared" si="8"/>
        <v/>
      </c>
      <c r="R125" s="2">
        <f t="shared" si="5"/>
        <v>3.5272204920675683</v>
      </c>
      <c r="S125" s="5">
        <f t="shared" si="9"/>
        <v>26.596064949999999</v>
      </c>
    </row>
    <row r="126" spans="1:19" x14ac:dyDescent="0.4">
      <c r="A126">
        <v>20210803</v>
      </c>
      <c r="B126" s="1">
        <v>0.58333333333333337</v>
      </c>
      <c r="C126">
        <v>119411</v>
      </c>
      <c r="D126">
        <v>266768</v>
      </c>
      <c r="E126">
        <v>185464</v>
      </c>
      <c r="F126">
        <v>53863</v>
      </c>
      <c r="G126">
        <v>4392</v>
      </c>
      <c r="H126">
        <v>-73837</v>
      </c>
      <c r="I126">
        <v>233846</v>
      </c>
      <c r="J126">
        <v>-38150</v>
      </c>
      <c r="K126">
        <v>172381</v>
      </c>
      <c r="L126">
        <v>-59508</v>
      </c>
      <c r="M126">
        <v>10.27</v>
      </c>
      <c r="N126">
        <f t="shared" si="6"/>
        <v>864630</v>
      </c>
      <c r="O126">
        <v>25691750</v>
      </c>
      <c r="P126" s="2">
        <f t="shared" si="7"/>
        <v>3.3653993986396413</v>
      </c>
      <c r="Q126" t="str">
        <f t="shared" si="8"/>
        <v/>
      </c>
      <c r="R126" s="2">
        <f t="shared" si="5"/>
        <v>3.3653993986396413</v>
      </c>
      <c r="S126" s="5">
        <f t="shared" si="9"/>
        <v>26.385427249999999</v>
      </c>
    </row>
    <row r="127" spans="1:19" x14ac:dyDescent="0.4">
      <c r="A127">
        <v>20210803</v>
      </c>
      <c r="B127" s="1">
        <v>0.60416666666666663</v>
      </c>
      <c r="C127">
        <v>121076</v>
      </c>
      <c r="D127">
        <v>253743</v>
      </c>
      <c r="E127">
        <v>-47045</v>
      </c>
      <c r="F127">
        <v>81498</v>
      </c>
      <c r="G127">
        <v>-30133</v>
      </c>
      <c r="H127">
        <v>30002</v>
      </c>
      <c r="I127">
        <v>233617</v>
      </c>
      <c r="J127">
        <v>-28522</v>
      </c>
      <c r="K127">
        <v>181414</v>
      </c>
      <c r="L127">
        <v>-61367</v>
      </c>
      <c r="M127">
        <v>10.84</v>
      </c>
      <c r="N127">
        <f t="shared" si="6"/>
        <v>734283</v>
      </c>
      <c r="O127">
        <v>25295450</v>
      </c>
      <c r="P127" s="2">
        <f t="shared" si="7"/>
        <v>2.9028263976327757</v>
      </c>
      <c r="Q127" t="str">
        <f t="shared" si="8"/>
        <v/>
      </c>
      <c r="R127" s="2">
        <f t="shared" si="5"/>
        <v>2.9028263976327757</v>
      </c>
      <c r="S127" s="5">
        <f t="shared" si="9"/>
        <v>27.420267800000001</v>
      </c>
    </row>
    <row r="128" spans="1:19" x14ac:dyDescent="0.4">
      <c r="A128">
        <v>20210803</v>
      </c>
      <c r="B128" s="1">
        <v>0.625</v>
      </c>
      <c r="C128">
        <v>126607</v>
      </c>
      <c r="D128">
        <v>172626</v>
      </c>
      <c r="E128">
        <v>307710</v>
      </c>
      <c r="F128">
        <v>9565</v>
      </c>
      <c r="G128">
        <v>9606</v>
      </c>
      <c r="H128">
        <v>88818</v>
      </c>
      <c r="I128">
        <v>184290</v>
      </c>
      <c r="J128">
        <v>-57265</v>
      </c>
      <c r="K128">
        <v>164065</v>
      </c>
      <c r="L128">
        <v>-77414</v>
      </c>
      <c r="M128">
        <v>11.03</v>
      </c>
      <c r="N128">
        <f t="shared" si="6"/>
        <v>928608</v>
      </c>
      <c r="O128">
        <v>24928800</v>
      </c>
      <c r="P128" s="2">
        <f t="shared" si="7"/>
        <v>3.7250409165302782</v>
      </c>
      <c r="Q128" t="str">
        <f t="shared" si="8"/>
        <v/>
      </c>
      <c r="R128" s="2">
        <f t="shared" si="5"/>
        <v>3.7250409165302782</v>
      </c>
      <c r="S128" s="5">
        <f t="shared" si="9"/>
        <v>27.496466399999999</v>
      </c>
    </row>
    <row r="129" spans="1:19" x14ac:dyDescent="0.4">
      <c r="A129">
        <v>20210803</v>
      </c>
      <c r="B129" s="1">
        <v>0.64583333333333337</v>
      </c>
      <c r="C129">
        <v>93736</v>
      </c>
      <c r="D129">
        <v>78272</v>
      </c>
      <c r="E129">
        <v>-115316</v>
      </c>
      <c r="F129">
        <v>3809</v>
      </c>
      <c r="G129">
        <v>-794</v>
      </c>
      <c r="H129">
        <v>154318</v>
      </c>
      <c r="I129">
        <v>132952</v>
      </c>
      <c r="J129">
        <v>-95008</v>
      </c>
      <c r="K129">
        <v>135737</v>
      </c>
      <c r="L129">
        <v>-88454</v>
      </c>
      <c r="M129">
        <v>15.03</v>
      </c>
      <c r="N129">
        <f t="shared" si="6"/>
        <v>299252</v>
      </c>
      <c r="O129">
        <v>24402100</v>
      </c>
      <c r="P129" s="2">
        <f t="shared" si="7"/>
        <v>1.2263370775466047</v>
      </c>
      <c r="Q129" t="str">
        <f t="shared" si="8"/>
        <v/>
      </c>
      <c r="R129" s="2">
        <f t="shared" si="5"/>
        <v>1.2263370775466047</v>
      </c>
      <c r="S129" s="5">
        <f t="shared" si="9"/>
        <v>36.676356300000002</v>
      </c>
    </row>
    <row r="130" spans="1:19" x14ac:dyDescent="0.4">
      <c r="A130">
        <v>20210803</v>
      </c>
      <c r="B130" s="1">
        <v>0.66666666666666663</v>
      </c>
      <c r="C130">
        <v>88193</v>
      </c>
      <c r="D130">
        <v>142099</v>
      </c>
      <c r="E130">
        <v>-142782</v>
      </c>
      <c r="F130">
        <v>297438</v>
      </c>
      <c r="G130">
        <v>-31995</v>
      </c>
      <c r="H130">
        <v>142687</v>
      </c>
      <c r="I130">
        <v>114323</v>
      </c>
      <c r="J130">
        <v>-128626</v>
      </c>
      <c r="K130">
        <v>-63071</v>
      </c>
      <c r="L130">
        <v>-62510</v>
      </c>
      <c r="M130">
        <v>14.87</v>
      </c>
      <c r="N130">
        <f t="shared" si="6"/>
        <v>355756</v>
      </c>
      <c r="O130">
        <v>24663900</v>
      </c>
      <c r="P130" s="2">
        <f t="shared" si="7"/>
        <v>1.4424158385332408</v>
      </c>
      <c r="Q130" t="str">
        <f t="shared" si="8"/>
        <v/>
      </c>
      <c r="R130" s="2">
        <f t="shared" ref="R130:R193" si="10">IF(N130&lt;0,-P130,P130)</f>
        <v>1.4424158385332408</v>
      </c>
      <c r="S130" s="5">
        <f t="shared" si="9"/>
        <v>36.675219300000002</v>
      </c>
    </row>
    <row r="131" spans="1:19" x14ac:dyDescent="0.4">
      <c r="A131">
        <v>20210803</v>
      </c>
      <c r="B131" s="1">
        <v>0.6875</v>
      </c>
      <c r="C131">
        <v>49029</v>
      </c>
      <c r="D131">
        <v>-58003</v>
      </c>
      <c r="E131">
        <v>-673649</v>
      </c>
      <c r="F131">
        <v>20613</v>
      </c>
      <c r="G131">
        <v>-53626</v>
      </c>
      <c r="H131">
        <v>42643</v>
      </c>
      <c r="I131">
        <v>82145</v>
      </c>
      <c r="J131">
        <v>-122006</v>
      </c>
      <c r="K131">
        <v>-75996</v>
      </c>
      <c r="L131">
        <v>-52476</v>
      </c>
      <c r="M131">
        <v>15.47</v>
      </c>
      <c r="N131">
        <f t="shared" ref="N131:N194" si="11">SUM(C131:L131)</f>
        <v>-841326</v>
      </c>
      <c r="O131">
        <v>24075550</v>
      </c>
      <c r="P131" s="2">
        <f t="shared" ref="P131:P194" si="12">((ABS(N131)*100)/O131)</f>
        <v>3.4945245279962451</v>
      </c>
      <c r="Q131" s="3" t="str">
        <f t="shared" ref="Q131:Q194" si="13">IF(N131&lt;0,"〇","")</f>
        <v>〇</v>
      </c>
      <c r="R131" s="2">
        <f t="shared" si="10"/>
        <v>-3.4945245279962451</v>
      </c>
      <c r="S131" s="5">
        <f t="shared" ref="S131:S194" si="14">(M131*O131)/10^7</f>
        <v>37.24487585</v>
      </c>
    </row>
    <row r="132" spans="1:19" x14ac:dyDescent="0.4">
      <c r="A132">
        <v>20210803</v>
      </c>
      <c r="B132" s="1">
        <v>0.70833333333333337</v>
      </c>
      <c r="C132">
        <v>-55082</v>
      </c>
      <c r="D132">
        <v>-80306</v>
      </c>
      <c r="E132">
        <v>-606889</v>
      </c>
      <c r="F132">
        <v>-8305</v>
      </c>
      <c r="G132">
        <v>-40478</v>
      </c>
      <c r="H132">
        <v>114411</v>
      </c>
      <c r="I132">
        <v>81362</v>
      </c>
      <c r="J132">
        <v>-116310</v>
      </c>
      <c r="K132">
        <v>-195850</v>
      </c>
      <c r="L132">
        <v>-45805</v>
      </c>
      <c r="M132">
        <v>14.87</v>
      </c>
      <c r="N132">
        <f t="shared" si="11"/>
        <v>-953252</v>
      </c>
      <c r="O132">
        <v>23576300</v>
      </c>
      <c r="P132" s="2">
        <f t="shared" si="12"/>
        <v>4.0432637860902689</v>
      </c>
      <c r="Q132" s="3" t="str">
        <f t="shared" si="13"/>
        <v>〇</v>
      </c>
      <c r="R132" s="2">
        <f t="shared" si="10"/>
        <v>-4.0432637860902689</v>
      </c>
      <c r="S132" s="5">
        <f t="shared" si="14"/>
        <v>35.0579581</v>
      </c>
    </row>
    <row r="133" spans="1:19" x14ac:dyDescent="0.4">
      <c r="A133">
        <v>20210803</v>
      </c>
      <c r="B133" s="1">
        <v>0.72916666666666663</v>
      </c>
      <c r="C133">
        <v>-9138</v>
      </c>
      <c r="D133">
        <v>-287653</v>
      </c>
      <c r="E133">
        <v>-900611</v>
      </c>
      <c r="F133">
        <v>3281</v>
      </c>
      <c r="G133">
        <v>-41962</v>
      </c>
      <c r="H133">
        <v>57421</v>
      </c>
      <c r="I133">
        <v>87612</v>
      </c>
      <c r="J133">
        <v>-133519</v>
      </c>
      <c r="K133">
        <v>-408635</v>
      </c>
      <c r="L133">
        <v>-39577</v>
      </c>
      <c r="M133">
        <v>14.87</v>
      </c>
      <c r="N133">
        <f t="shared" si="11"/>
        <v>-1672781</v>
      </c>
      <c r="O133">
        <v>22890700</v>
      </c>
      <c r="P133" s="2">
        <f t="shared" si="12"/>
        <v>7.3076882751510439</v>
      </c>
      <c r="Q133" s="3" t="str">
        <f t="shared" si="13"/>
        <v>〇</v>
      </c>
      <c r="R133" s="2">
        <f t="shared" si="10"/>
        <v>-7.3076882751510439</v>
      </c>
      <c r="S133" s="5">
        <f t="shared" si="14"/>
        <v>34.0384709</v>
      </c>
    </row>
    <row r="134" spans="1:19" x14ac:dyDescent="0.4">
      <c r="A134">
        <v>20210803</v>
      </c>
      <c r="B134" s="1">
        <v>0.75</v>
      </c>
      <c r="C134">
        <v>-56486</v>
      </c>
      <c r="D134">
        <v>-201922</v>
      </c>
      <c r="E134">
        <v>-643194</v>
      </c>
      <c r="F134">
        <v>139455</v>
      </c>
      <c r="G134">
        <v>-8380</v>
      </c>
      <c r="H134">
        <v>49539</v>
      </c>
      <c r="I134">
        <v>73682</v>
      </c>
      <c r="J134">
        <v>-137552</v>
      </c>
      <c r="K134">
        <v>-296474</v>
      </c>
      <c r="L134">
        <v>-41948</v>
      </c>
      <c r="M134">
        <v>15.21</v>
      </c>
      <c r="N134">
        <f t="shared" si="11"/>
        <v>-1123280</v>
      </c>
      <c r="O134">
        <v>22584950</v>
      </c>
      <c r="P134" s="2">
        <f t="shared" si="12"/>
        <v>4.9735775372537905</v>
      </c>
      <c r="Q134" s="3" t="str">
        <f t="shared" si="13"/>
        <v>〇</v>
      </c>
      <c r="R134" s="2">
        <f t="shared" si="10"/>
        <v>-4.9735775372537905</v>
      </c>
      <c r="S134" s="5">
        <f t="shared" si="14"/>
        <v>34.351708950000003</v>
      </c>
    </row>
    <row r="135" spans="1:19" x14ac:dyDescent="0.4">
      <c r="A135">
        <v>20210803</v>
      </c>
      <c r="B135" s="1">
        <v>0.77083333333333337</v>
      </c>
      <c r="C135">
        <v>-94101</v>
      </c>
      <c r="D135">
        <v>-311598</v>
      </c>
      <c r="E135">
        <v>-669538</v>
      </c>
      <c r="F135">
        <v>93855</v>
      </c>
      <c r="G135">
        <v>-25015</v>
      </c>
      <c r="H135">
        <v>60261</v>
      </c>
      <c r="I135">
        <v>28622</v>
      </c>
      <c r="J135">
        <v>-124377</v>
      </c>
      <c r="K135">
        <v>-172724</v>
      </c>
      <c r="L135">
        <v>-23086</v>
      </c>
      <c r="M135">
        <v>17.010000000000002</v>
      </c>
      <c r="N135">
        <f t="shared" si="11"/>
        <v>-1237701</v>
      </c>
      <c r="O135">
        <v>22591350</v>
      </c>
      <c r="P135" s="2">
        <f t="shared" si="12"/>
        <v>5.4786500142753756</v>
      </c>
      <c r="Q135" s="3" t="str">
        <f t="shared" si="13"/>
        <v>〇</v>
      </c>
      <c r="R135" s="2">
        <f t="shared" si="10"/>
        <v>-5.4786500142753756</v>
      </c>
      <c r="S135" s="5">
        <f t="shared" si="14"/>
        <v>38.427886350000009</v>
      </c>
    </row>
    <row r="136" spans="1:19" x14ac:dyDescent="0.4">
      <c r="A136">
        <v>20210803</v>
      </c>
      <c r="B136" s="1">
        <v>0.79166666666666663</v>
      </c>
      <c r="C136">
        <v>-116398</v>
      </c>
      <c r="D136">
        <v>-280825</v>
      </c>
      <c r="E136">
        <v>-676140</v>
      </c>
      <c r="F136">
        <v>120728</v>
      </c>
      <c r="G136">
        <v>-30498</v>
      </c>
      <c r="H136">
        <v>26036</v>
      </c>
      <c r="I136">
        <v>-22275</v>
      </c>
      <c r="J136">
        <v>-80244</v>
      </c>
      <c r="K136">
        <v>-105161</v>
      </c>
      <c r="L136">
        <v>-61745</v>
      </c>
      <c r="M136">
        <v>13.95</v>
      </c>
      <c r="N136">
        <f t="shared" si="11"/>
        <v>-1226522</v>
      </c>
      <c r="O136">
        <v>22469500</v>
      </c>
      <c r="P136" s="2">
        <f t="shared" si="12"/>
        <v>5.4586083357440085</v>
      </c>
      <c r="Q136" s="3" t="str">
        <f t="shared" si="13"/>
        <v>〇</v>
      </c>
      <c r="R136" s="2">
        <f t="shared" si="10"/>
        <v>-5.4586083357440085</v>
      </c>
      <c r="S136" s="5">
        <f t="shared" si="14"/>
        <v>31.344952500000002</v>
      </c>
    </row>
    <row r="137" spans="1:19" x14ac:dyDescent="0.4">
      <c r="A137">
        <v>20210803</v>
      </c>
      <c r="B137" s="1">
        <v>0.8125</v>
      </c>
      <c r="C137">
        <v>-82804</v>
      </c>
      <c r="D137">
        <v>-263927</v>
      </c>
      <c r="E137">
        <v>-518644</v>
      </c>
      <c r="F137">
        <v>78610</v>
      </c>
      <c r="G137">
        <v>-22655</v>
      </c>
      <c r="H137">
        <v>-559</v>
      </c>
      <c r="I137">
        <v>-40386</v>
      </c>
      <c r="J137">
        <v>-46728</v>
      </c>
      <c r="K137">
        <v>-57454</v>
      </c>
      <c r="L137">
        <v>-59238</v>
      </c>
      <c r="M137">
        <v>10.7</v>
      </c>
      <c r="N137">
        <f t="shared" si="11"/>
        <v>-1013785</v>
      </c>
      <c r="O137">
        <v>22335950</v>
      </c>
      <c r="P137" s="2">
        <f t="shared" si="12"/>
        <v>4.53880403564657</v>
      </c>
      <c r="Q137" s="3" t="str">
        <f t="shared" si="13"/>
        <v>〇</v>
      </c>
      <c r="R137" s="2">
        <f t="shared" si="10"/>
        <v>-4.53880403564657</v>
      </c>
      <c r="S137" s="5">
        <f t="shared" si="14"/>
        <v>23.899466499999996</v>
      </c>
    </row>
    <row r="138" spans="1:19" x14ac:dyDescent="0.4">
      <c r="A138">
        <v>20210803</v>
      </c>
      <c r="B138" s="1">
        <v>0.83333333333333337</v>
      </c>
      <c r="C138">
        <v>-27570</v>
      </c>
      <c r="D138">
        <v>-224642</v>
      </c>
      <c r="E138">
        <v>-287922</v>
      </c>
      <c r="F138">
        <v>135926</v>
      </c>
      <c r="G138">
        <v>-17296</v>
      </c>
      <c r="H138">
        <v>118885</v>
      </c>
      <c r="I138">
        <v>12877</v>
      </c>
      <c r="J138">
        <v>5305</v>
      </c>
      <c r="K138">
        <v>80521</v>
      </c>
      <c r="L138">
        <v>-52944</v>
      </c>
      <c r="M138">
        <v>10.27</v>
      </c>
      <c r="N138">
        <f t="shared" si="11"/>
        <v>-256860</v>
      </c>
      <c r="O138">
        <v>21852450</v>
      </c>
      <c r="P138" s="2">
        <f t="shared" si="12"/>
        <v>1.1754288420749162</v>
      </c>
      <c r="Q138" s="3" t="str">
        <f t="shared" si="13"/>
        <v>〇</v>
      </c>
      <c r="R138" s="2">
        <f t="shared" si="10"/>
        <v>-1.1754288420749162</v>
      </c>
      <c r="S138" s="5">
        <f t="shared" si="14"/>
        <v>22.442466150000001</v>
      </c>
    </row>
    <row r="139" spans="1:19" x14ac:dyDescent="0.4">
      <c r="A139">
        <v>20210803</v>
      </c>
      <c r="B139" s="1">
        <v>0.85416666666666663</v>
      </c>
      <c r="C139">
        <v>-125628</v>
      </c>
      <c r="D139">
        <v>-299889</v>
      </c>
      <c r="E139">
        <v>48544</v>
      </c>
      <c r="F139">
        <v>118523</v>
      </c>
      <c r="G139">
        <v>-18098</v>
      </c>
      <c r="H139">
        <v>28102</v>
      </c>
      <c r="I139">
        <v>-20234</v>
      </c>
      <c r="J139">
        <v>-11992</v>
      </c>
      <c r="K139">
        <v>37039</v>
      </c>
      <c r="L139">
        <v>-43876</v>
      </c>
      <c r="M139">
        <v>10.27</v>
      </c>
      <c r="N139">
        <f t="shared" si="11"/>
        <v>-287509</v>
      </c>
      <c r="O139">
        <v>21700800</v>
      </c>
      <c r="P139" s="2">
        <f t="shared" si="12"/>
        <v>1.3248774238737742</v>
      </c>
      <c r="Q139" s="3" t="str">
        <f t="shared" si="13"/>
        <v>〇</v>
      </c>
      <c r="R139" s="2">
        <f t="shared" si="10"/>
        <v>-1.3248774238737742</v>
      </c>
      <c r="S139" s="5">
        <f t="shared" si="14"/>
        <v>22.2867216</v>
      </c>
    </row>
    <row r="140" spans="1:19" x14ac:dyDescent="0.4">
      <c r="A140">
        <v>20210803</v>
      </c>
      <c r="B140" s="1">
        <v>0.875</v>
      </c>
      <c r="C140">
        <v>-24773</v>
      </c>
      <c r="D140">
        <v>-204364</v>
      </c>
      <c r="E140">
        <v>-272417</v>
      </c>
      <c r="F140">
        <v>134034</v>
      </c>
      <c r="G140">
        <v>-21772</v>
      </c>
      <c r="H140">
        <v>16012</v>
      </c>
      <c r="I140">
        <v>-4629</v>
      </c>
      <c r="J140">
        <v>-1129</v>
      </c>
      <c r="K140">
        <v>-23633</v>
      </c>
      <c r="L140">
        <v>-53988</v>
      </c>
      <c r="M140">
        <v>10.07</v>
      </c>
      <c r="N140">
        <f t="shared" si="11"/>
        <v>-456659</v>
      </c>
      <c r="O140">
        <v>21498300</v>
      </c>
      <c r="P140" s="2">
        <f t="shared" si="12"/>
        <v>2.1241633059358183</v>
      </c>
      <c r="Q140" s="3" t="str">
        <f t="shared" si="13"/>
        <v>〇</v>
      </c>
      <c r="R140" s="2">
        <f t="shared" si="10"/>
        <v>-2.1241633059358183</v>
      </c>
      <c r="S140" s="5">
        <f t="shared" si="14"/>
        <v>21.648788100000001</v>
      </c>
    </row>
    <row r="141" spans="1:19" x14ac:dyDescent="0.4">
      <c r="A141">
        <v>20210803</v>
      </c>
      <c r="B141" s="1">
        <v>0.89583333333333337</v>
      </c>
      <c r="C141">
        <v>-39164</v>
      </c>
      <c r="D141">
        <v>-112336</v>
      </c>
      <c r="E141">
        <v>181827</v>
      </c>
      <c r="F141">
        <v>62484</v>
      </c>
      <c r="G141">
        <v>-6002</v>
      </c>
      <c r="H141">
        <v>-61667</v>
      </c>
      <c r="I141">
        <v>36005</v>
      </c>
      <c r="J141">
        <v>5203</v>
      </c>
      <c r="K141">
        <v>15991</v>
      </c>
      <c r="L141">
        <v>-47524</v>
      </c>
      <c r="M141">
        <v>9.92</v>
      </c>
      <c r="N141">
        <f t="shared" si="11"/>
        <v>34817</v>
      </c>
      <c r="O141">
        <v>21403700</v>
      </c>
      <c r="P141" s="2">
        <f t="shared" si="12"/>
        <v>0.16266813681746614</v>
      </c>
      <c r="Q141" t="str">
        <f t="shared" si="13"/>
        <v/>
      </c>
      <c r="R141" s="2">
        <f t="shared" si="10"/>
        <v>0.16266813681746614</v>
      </c>
      <c r="S141" s="5">
        <f t="shared" si="14"/>
        <v>21.2324704</v>
      </c>
    </row>
    <row r="142" spans="1:19" x14ac:dyDescent="0.4">
      <c r="A142">
        <v>20210803</v>
      </c>
      <c r="B142" s="1">
        <v>0.91666666666666663</v>
      </c>
      <c r="C142">
        <v>15657</v>
      </c>
      <c r="D142">
        <v>-107635</v>
      </c>
      <c r="E142">
        <v>-255132</v>
      </c>
      <c r="F142">
        <v>118204</v>
      </c>
      <c r="G142">
        <v>-41356</v>
      </c>
      <c r="H142">
        <v>109399</v>
      </c>
      <c r="I142">
        <v>13091</v>
      </c>
      <c r="J142">
        <v>-6081</v>
      </c>
      <c r="K142">
        <v>25052</v>
      </c>
      <c r="L142">
        <v>-48896</v>
      </c>
      <c r="M142">
        <v>9.9</v>
      </c>
      <c r="N142">
        <f t="shared" si="11"/>
        <v>-177697</v>
      </c>
      <c r="O142">
        <v>20783300</v>
      </c>
      <c r="P142" s="2">
        <f t="shared" si="12"/>
        <v>0.85499896551558219</v>
      </c>
      <c r="Q142" s="3" t="str">
        <f t="shared" si="13"/>
        <v>〇</v>
      </c>
      <c r="R142" s="2">
        <f t="shared" si="10"/>
        <v>-0.85499896551558219</v>
      </c>
      <c r="S142" s="5">
        <f t="shared" si="14"/>
        <v>20.575467</v>
      </c>
    </row>
    <row r="143" spans="1:19" x14ac:dyDescent="0.4">
      <c r="A143">
        <v>20210803</v>
      </c>
      <c r="B143" s="1">
        <v>0.9375</v>
      </c>
      <c r="C143">
        <v>-3808</v>
      </c>
      <c r="D143">
        <v>-54897</v>
      </c>
      <c r="E143">
        <v>-140983</v>
      </c>
      <c r="F143">
        <v>47714</v>
      </c>
      <c r="G143">
        <v>-56562</v>
      </c>
      <c r="H143">
        <v>131070</v>
      </c>
      <c r="I143">
        <v>-60660</v>
      </c>
      <c r="J143">
        <v>-24649</v>
      </c>
      <c r="K143">
        <v>-50600</v>
      </c>
      <c r="L143">
        <v>-43717</v>
      </c>
      <c r="M143">
        <v>9.6300000000000008</v>
      </c>
      <c r="N143">
        <f t="shared" si="11"/>
        <v>-257092</v>
      </c>
      <c r="O143">
        <v>20692450</v>
      </c>
      <c r="P143" s="2">
        <f t="shared" si="12"/>
        <v>1.2424434999238854</v>
      </c>
      <c r="Q143" s="3" t="str">
        <f t="shared" si="13"/>
        <v>〇</v>
      </c>
      <c r="R143" s="2">
        <f t="shared" si="10"/>
        <v>-1.2424434999238854</v>
      </c>
      <c r="S143" s="5">
        <f t="shared" si="14"/>
        <v>19.926829350000002</v>
      </c>
    </row>
    <row r="144" spans="1:19" x14ac:dyDescent="0.4">
      <c r="A144">
        <v>20210803</v>
      </c>
      <c r="B144" s="1">
        <v>0.95833333333333337</v>
      </c>
      <c r="C144">
        <v>-19222</v>
      </c>
      <c r="D144">
        <v>-39731</v>
      </c>
      <c r="E144">
        <v>-484789</v>
      </c>
      <c r="F144">
        <v>58536</v>
      </c>
      <c r="G144">
        <v>-45635</v>
      </c>
      <c r="H144">
        <v>-17014</v>
      </c>
      <c r="I144">
        <v>-28966</v>
      </c>
      <c r="J144">
        <v>-10493</v>
      </c>
      <c r="K144">
        <v>-144806</v>
      </c>
      <c r="L144">
        <v>-50801</v>
      </c>
      <c r="M144">
        <v>8.86</v>
      </c>
      <c r="N144">
        <f t="shared" si="11"/>
        <v>-782921</v>
      </c>
      <c r="O144">
        <v>20075200</v>
      </c>
      <c r="P144" s="2">
        <f t="shared" si="12"/>
        <v>3.8999412210090063</v>
      </c>
      <c r="Q144" s="3" t="str">
        <f t="shared" si="13"/>
        <v>〇</v>
      </c>
      <c r="R144" s="2">
        <f t="shared" si="10"/>
        <v>-3.8999412210090063</v>
      </c>
      <c r="S144" s="5">
        <f t="shared" si="14"/>
        <v>17.786627200000002</v>
      </c>
    </row>
    <row r="145" spans="1:19" x14ac:dyDescent="0.4">
      <c r="A145">
        <v>20210803</v>
      </c>
      <c r="B145" s="1">
        <v>0.97916666666666663</v>
      </c>
      <c r="C145">
        <v>40760</v>
      </c>
      <c r="D145">
        <v>-56092</v>
      </c>
      <c r="E145">
        <v>-25781</v>
      </c>
      <c r="F145">
        <v>7749</v>
      </c>
      <c r="G145">
        <v>-19670</v>
      </c>
      <c r="H145">
        <v>45962</v>
      </c>
      <c r="I145">
        <v>-79909</v>
      </c>
      <c r="J145">
        <v>-12376</v>
      </c>
      <c r="K145">
        <v>-149236</v>
      </c>
      <c r="L145">
        <v>-42860</v>
      </c>
      <c r="M145">
        <v>7.65</v>
      </c>
      <c r="N145">
        <f t="shared" si="11"/>
        <v>-291453</v>
      </c>
      <c r="O145">
        <v>18819300</v>
      </c>
      <c r="P145" s="2">
        <f t="shared" si="12"/>
        <v>1.5486920342414436</v>
      </c>
      <c r="Q145" s="3" t="str">
        <f t="shared" si="13"/>
        <v>〇</v>
      </c>
      <c r="R145" s="2">
        <f t="shared" si="10"/>
        <v>-1.5486920342414436</v>
      </c>
      <c r="S145" s="5">
        <f t="shared" si="14"/>
        <v>14.3967645</v>
      </c>
    </row>
    <row r="146" spans="1:19" x14ac:dyDescent="0.4">
      <c r="A146">
        <v>20210804</v>
      </c>
      <c r="B146" s="1">
        <v>0</v>
      </c>
      <c r="C146">
        <v>27570</v>
      </c>
      <c r="D146">
        <v>-13648</v>
      </c>
      <c r="E146">
        <v>-271918</v>
      </c>
      <c r="F146">
        <v>42802</v>
      </c>
      <c r="G146">
        <v>-24805</v>
      </c>
      <c r="H146">
        <v>-7157</v>
      </c>
      <c r="I146">
        <v>-3771</v>
      </c>
      <c r="J146">
        <v>-19634</v>
      </c>
      <c r="K146">
        <v>-27977</v>
      </c>
      <c r="L146">
        <v>-63738</v>
      </c>
      <c r="M146">
        <v>8.86</v>
      </c>
      <c r="N146">
        <f t="shared" si="11"/>
        <v>-362276</v>
      </c>
      <c r="O146">
        <v>18615900</v>
      </c>
      <c r="P146" s="2">
        <f t="shared" si="12"/>
        <v>1.946056865367777</v>
      </c>
      <c r="Q146" s="3" t="str">
        <f t="shared" si="13"/>
        <v>〇</v>
      </c>
      <c r="R146" s="2">
        <f t="shared" si="10"/>
        <v>-1.946056865367777</v>
      </c>
      <c r="S146" s="5">
        <f t="shared" si="14"/>
        <v>16.493687399999999</v>
      </c>
    </row>
    <row r="147" spans="1:19" x14ac:dyDescent="0.4">
      <c r="A147">
        <v>20210804</v>
      </c>
      <c r="B147" s="1">
        <v>2.0833333333333332E-2</v>
      </c>
      <c r="C147">
        <v>-67436</v>
      </c>
      <c r="D147">
        <v>40209</v>
      </c>
      <c r="E147">
        <v>-61229</v>
      </c>
      <c r="F147">
        <v>161739</v>
      </c>
      <c r="G147">
        <v>-12755</v>
      </c>
      <c r="H147">
        <v>-14004</v>
      </c>
      <c r="I147">
        <v>29147</v>
      </c>
      <c r="J147">
        <v>-23076</v>
      </c>
      <c r="K147">
        <v>40655</v>
      </c>
      <c r="L147">
        <v>-57505</v>
      </c>
      <c r="M147">
        <v>8.86</v>
      </c>
      <c r="N147">
        <f t="shared" si="11"/>
        <v>35745</v>
      </c>
      <c r="O147">
        <v>19541150</v>
      </c>
      <c r="P147" s="2">
        <f t="shared" si="12"/>
        <v>0.18292168065850781</v>
      </c>
      <c r="Q147" s="3" t="str">
        <f t="shared" si="13"/>
        <v/>
      </c>
      <c r="R147" s="2">
        <f t="shared" si="10"/>
        <v>0.18292168065850781</v>
      </c>
      <c r="S147" s="5">
        <f t="shared" si="14"/>
        <v>17.313458900000001</v>
      </c>
    </row>
    <row r="148" spans="1:19" x14ac:dyDescent="0.4">
      <c r="A148">
        <v>20210804</v>
      </c>
      <c r="B148" s="1">
        <v>4.1666666666666664E-2</v>
      </c>
      <c r="C148">
        <v>-42889</v>
      </c>
      <c r="D148">
        <v>55577</v>
      </c>
      <c r="E148">
        <v>-114608</v>
      </c>
      <c r="F148">
        <v>137277</v>
      </c>
      <c r="G148">
        <v>-24778</v>
      </c>
      <c r="H148">
        <v>57683</v>
      </c>
      <c r="I148">
        <v>84586</v>
      </c>
      <c r="J148">
        <v>-17387</v>
      </c>
      <c r="K148">
        <v>12249</v>
      </c>
      <c r="L148">
        <v>-59241</v>
      </c>
      <c r="M148">
        <v>8.86</v>
      </c>
      <c r="N148">
        <f t="shared" si="11"/>
        <v>88469</v>
      </c>
      <c r="O148">
        <v>19738150</v>
      </c>
      <c r="P148" s="2">
        <f t="shared" si="12"/>
        <v>0.44821323173651029</v>
      </c>
      <c r="Q148" t="str">
        <f t="shared" si="13"/>
        <v/>
      </c>
      <c r="R148" s="2">
        <f t="shared" si="10"/>
        <v>0.44821323173651029</v>
      </c>
      <c r="S148" s="5">
        <f t="shared" si="14"/>
        <v>17.488000899999999</v>
      </c>
    </row>
    <row r="149" spans="1:19" x14ac:dyDescent="0.4">
      <c r="A149">
        <v>20210804</v>
      </c>
      <c r="B149" s="1">
        <v>6.25E-2</v>
      </c>
      <c r="C149">
        <v>-10565</v>
      </c>
      <c r="D149">
        <v>65175</v>
      </c>
      <c r="E149">
        <v>-7385</v>
      </c>
      <c r="F149">
        <v>180062</v>
      </c>
      <c r="G149">
        <v>-28092</v>
      </c>
      <c r="H149">
        <v>-30428</v>
      </c>
      <c r="I149">
        <v>-33956</v>
      </c>
      <c r="J149">
        <v>-15370</v>
      </c>
      <c r="K149">
        <v>26716</v>
      </c>
      <c r="L149">
        <v>-54676</v>
      </c>
      <c r="M149">
        <v>7.59</v>
      </c>
      <c r="N149">
        <f t="shared" si="11"/>
        <v>91481</v>
      </c>
      <c r="O149">
        <v>20064950</v>
      </c>
      <c r="P149" s="2">
        <f t="shared" si="12"/>
        <v>0.45592438555790071</v>
      </c>
      <c r="Q149" s="3" t="str">
        <f t="shared" si="13"/>
        <v/>
      </c>
      <c r="R149" s="2">
        <f t="shared" si="10"/>
        <v>0.45592438555790071</v>
      </c>
      <c r="S149" s="5">
        <f t="shared" si="14"/>
        <v>15.22929705</v>
      </c>
    </row>
    <row r="150" spans="1:19" x14ac:dyDescent="0.4">
      <c r="A150">
        <v>20210804</v>
      </c>
      <c r="B150" s="1">
        <v>8.3333333333333329E-2</v>
      </c>
      <c r="C150">
        <v>-52660</v>
      </c>
      <c r="D150">
        <v>125443</v>
      </c>
      <c r="E150">
        <v>-97936</v>
      </c>
      <c r="F150">
        <v>125021</v>
      </c>
      <c r="G150">
        <v>-20290</v>
      </c>
      <c r="H150">
        <v>-71686</v>
      </c>
      <c r="I150">
        <v>-44022</v>
      </c>
      <c r="J150">
        <v>-11113</v>
      </c>
      <c r="K150">
        <v>37006</v>
      </c>
      <c r="L150">
        <v>-49996</v>
      </c>
      <c r="M150">
        <v>7.45</v>
      </c>
      <c r="N150">
        <f t="shared" si="11"/>
        <v>-60233</v>
      </c>
      <c r="O150">
        <v>20214400</v>
      </c>
      <c r="P150" s="2">
        <f t="shared" si="12"/>
        <v>0.29797075352224156</v>
      </c>
      <c r="Q150" s="3" t="str">
        <f t="shared" si="13"/>
        <v>〇</v>
      </c>
      <c r="R150" s="2">
        <f t="shared" si="10"/>
        <v>-0.29797075352224156</v>
      </c>
      <c r="S150" s="5">
        <f t="shared" si="14"/>
        <v>15.059728</v>
      </c>
    </row>
    <row r="151" spans="1:19" x14ac:dyDescent="0.4">
      <c r="A151">
        <v>20210804</v>
      </c>
      <c r="B151" s="1">
        <v>0.10416666666666667</v>
      </c>
      <c r="C151">
        <v>17355</v>
      </c>
      <c r="D151">
        <v>64910</v>
      </c>
      <c r="E151">
        <v>-23197</v>
      </c>
      <c r="F151">
        <v>185380</v>
      </c>
      <c r="G151">
        <v>-18688</v>
      </c>
      <c r="H151">
        <v>-149867</v>
      </c>
      <c r="I151">
        <v>-99830</v>
      </c>
      <c r="J151">
        <v>3395</v>
      </c>
      <c r="K151">
        <v>39564</v>
      </c>
      <c r="L151">
        <v>-51378</v>
      </c>
      <c r="M151">
        <v>7.45</v>
      </c>
      <c r="N151">
        <f t="shared" si="11"/>
        <v>-32356</v>
      </c>
      <c r="O151">
        <v>20258800</v>
      </c>
      <c r="P151" s="2">
        <f t="shared" si="12"/>
        <v>0.15971330977155607</v>
      </c>
      <c r="Q151" s="3" t="str">
        <f t="shared" si="13"/>
        <v>〇</v>
      </c>
      <c r="R151" s="2">
        <f t="shared" si="10"/>
        <v>-0.15971330977155607</v>
      </c>
      <c r="S151" s="5">
        <f t="shared" si="14"/>
        <v>15.092806</v>
      </c>
    </row>
    <row r="152" spans="1:19" x14ac:dyDescent="0.4">
      <c r="A152">
        <v>20210804</v>
      </c>
      <c r="B152" s="1">
        <v>0.125</v>
      </c>
      <c r="C152">
        <v>-37571</v>
      </c>
      <c r="D152">
        <v>66056</v>
      </c>
      <c r="E152">
        <v>-41858</v>
      </c>
      <c r="F152">
        <v>133601</v>
      </c>
      <c r="G152">
        <v>-10729</v>
      </c>
      <c r="H152">
        <v>-48074</v>
      </c>
      <c r="I152">
        <v>-45430</v>
      </c>
      <c r="J152">
        <v>-5802</v>
      </c>
      <c r="K152">
        <v>77798</v>
      </c>
      <c r="L152">
        <v>-45768</v>
      </c>
      <c r="M152">
        <v>7.58</v>
      </c>
      <c r="N152">
        <f t="shared" si="11"/>
        <v>42223</v>
      </c>
      <c r="O152">
        <v>20455700</v>
      </c>
      <c r="P152" s="2">
        <f t="shared" si="12"/>
        <v>0.20641190475026522</v>
      </c>
      <c r="Q152" s="3" t="str">
        <f t="shared" si="13"/>
        <v/>
      </c>
      <c r="R152" s="2">
        <f t="shared" si="10"/>
        <v>0.20641190475026522</v>
      </c>
      <c r="S152" s="5">
        <f t="shared" si="14"/>
        <v>15.505420600000001</v>
      </c>
    </row>
    <row r="153" spans="1:19" x14ac:dyDescent="0.4">
      <c r="A153">
        <v>20210804</v>
      </c>
      <c r="B153" s="1">
        <v>0.14583333333333334</v>
      </c>
      <c r="C153">
        <v>-19943</v>
      </c>
      <c r="D153">
        <v>46717</v>
      </c>
      <c r="E153">
        <v>2496</v>
      </c>
      <c r="F153">
        <v>109315</v>
      </c>
      <c r="G153">
        <v>2954</v>
      </c>
      <c r="H153">
        <v>-42176</v>
      </c>
      <c r="I153">
        <v>-43040</v>
      </c>
      <c r="J153">
        <v>2549</v>
      </c>
      <c r="K153">
        <v>106056</v>
      </c>
      <c r="L153">
        <v>-51331</v>
      </c>
      <c r="M153">
        <v>7.58</v>
      </c>
      <c r="N153">
        <f t="shared" si="11"/>
        <v>113597</v>
      </c>
      <c r="O153">
        <v>20547400</v>
      </c>
      <c r="P153" s="2">
        <f t="shared" si="12"/>
        <v>0.55285340237694303</v>
      </c>
      <c r="Q153" s="3" t="str">
        <f t="shared" si="13"/>
        <v/>
      </c>
      <c r="R153" s="2">
        <f t="shared" si="10"/>
        <v>0.55285340237694303</v>
      </c>
      <c r="S153" s="5">
        <f t="shared" si="14"/>
        <v>15.5749292</v>
      </c>
    </row>
    <row r="154" spans="1:19" x14ac:dyDescent="0.4">
      <c r="A154">
        <v>20210804</v>
      </c>
      <c r="B154" s="1">
        <v>0.16666666666666666</v>
      </c>
      <c r="C154">
        <v>-19672</v>
      </c>
      <c r="D154">
        <v>61363</v>
      </c>
      <c r="E154">
        <v>8464</v>
      </c>
      <c r="F154">
        <v>162608</v>
      </c>
      <c r="G154">
        <v>6381</v>
      </c>
      <c r="H154">
        <v>-93025</v>
      </c>
      <c r="I154">
        <v>-29176</v>
      </c>
      <c r="J154">
        <v>19960</v>
      </c>
      <c r="K154">
        <v>189826</v>
      </c>
      <c r="L154">
        <v>-50853</v>
      </c>
      <c r="M154">
        <v>7.63</v>
      </c>
      <c r="N154">
        <f t="shared" si="11"/>
        <v>255876</v>
      </c>
      <c r="O154">
        <v>20614150</v>
      </c>
      <c r="P154" s="2">
        <f t="shared" si="12"/>
        <v>1.2412638891247032</v>
      </c>
      <c r="Q154" s="3" t="str">
        <f t="shared" si="13"/>
        <v/>
      </c>
      <c r="R154" s="2">
        <f t="shared" si="10"/>
        <v>1.2412638891247032</v>
      </c>
      <c r="S154" s="5">
        <f t="shared" si="14"/>
        <v>15.72859645</v>
      </c>
    </row>
    <row r="155" spans="1:19" x14ac:dyDescent="0.4">
      <c r="A155">
        <v>20210804</v>
      </c>
      <c r="B155" s="1">
        <v>0.1875</v>
      </c>
      <c r="C155">
        <v>-9018</v>
      </c>
      <c r="D155">
        <v>53849</v>
      </c>
      <c r="E155">
        <v>21527</v>
      </c>
      <c r="F155">
        <v>126053</v>
      </c>
      <c r="G155">
        <v>-11551</v>
      </c>
      <c r="H155">
        <v>-151519</v>
      </c>
      <c r="I155">
        <v>-57437</v>
      </c>
      <c r="J155">
        <v>24234</v>
      </c>
      <c r="K155">
        <v>117739</v>
      </c>
      <c r="L155">
        <v>-44545</v>
      </c>
      <c r="M155">
        <v>7.63</v>
      </c>
      <c r="N155">
        <f t="shared" si="11"/>
        <v>69332</v>
      </c>
      <c r="O155">
        <v>20630000</v>
      </c>
      <c r="P155" s="2">
        <f t="shared" si="12"/>
        <v>0.33607367910809499</v>
      </c>
      <c r="Q155" t="str">
        <f t="shared" si="13"/>
        <v/>
      </c>
      <c r="R155" s="2">
        <f t="shared" si="10"/>
        <v>0.33607367910809499</v>
      </c>
      <c r="S155" s="5">
        <f t="shared" si="14"/>
        <v>15.740690000000001</v>
      </c>
    </row>
    <row r="156" spans="1:19" x14ac:dyDescent="0.4">
      <c r="A156">
        <v>20210804</v>
      </c>
      <c r="B156" s="1">
        <v>0.20833333333333334</v>
      </c>
      <c r="C156">
        <v>-4103</v>
      </c>
      <c r="D156">
        <v>123928</v>
      </c>
      <c r="E156">
        <v>42018</v>
      </c>
      <c r="F156">
        <v>103390</v>
      </c>
      <c r="G156">
        <v>-8801</v>
      </c>
      <c r="H156">
        <v>-106946</v>
      </c>
      <c r="I156">
        <v>-82397</v>
      </c>
      <c r="J156">
        <v>48669</v>
      </c>
      <c r="K156">
        <v>140507</v>
      </c>
      <c r="L156">
        <v>-47874</v>
      </c>
      <c r="M156">
        <v>7.93</v>
      </c>
      <c r="N156">
        <f t="shared" si="11"/>
        <v>208391</v>
      </c>
      <c r="O156">
        <v>20621150</v>
      </c>
      <c r="P156" s="2">
        <f t="shared" si="12"/>
        <v>1.0105692456531279</v>
      </c>
      <c r="Q156" s="3" t="str">
        <f t="shared" si="13"/>
        <v/>
      </c>
      <c r="R156" s="2">
        <f t="shared" si="10"/>
        <v>1.0105692456531279</v>
      </c>
      <c r="S156" s="5">
        <f t="shared" si="14"/>
        <v>16.352571950000002</v>
      </c>
    </row>
    <row r="157" spans="1:19" x14ac:dyDescent="0.4">
      <c r="A157">
        <v>20210804</v>
      </c>
      <c r="B157" s="1">
        <v>0.22916666666666666</v>
      </c>
      <c r="C157">
        <v>13659</v>
      </c>
      <c r="D157">
        <v>216923</v>
      </c>
      <c r="E157">
        <v>-22015</v>
      </c>
      <c r="F157">
        <v>56129</v>
      </c>
      <c r="G157">
        <v>-21194</v>
      </c>
      <c r="H157">
        <v>-73132</v>
      </c>
      <c r="I157">
        <v>-117699</v>
      </c>
      <c r="J157">
        <v>75268</v>
      </c>
      <c r="K157">
        <v>99377</v>
      </c>
      <c r="L157">
        <v>-50734</v>
      </c>
      <c r="M157">
        <v>7.65</v>
      </c>
      <c r="N157">
        <f t="shared" si="11"/>
        <v>176582</v>
      </c>
      <c r="O157">
        <v>20661400</v>
      </c>
      <c r="P157" s="2">
        <f t="shared" si="12"/>
        <v>0.85464682935328684</v>
      </c>
      <c r="Q157" s="3" t="str">
        <f t="shared" si="13"/>
        <v/>
      </c>
      <c r="R157" s="2">
        <f t="shared" si="10"/>
        <v>0.85464682935328684</v>
      </c>
      <c r="S157" s="5">
        <f t="shared" si="14"/>
        <v>15.805971</v>
      </c>
    </row>
    <row r="158" spans="1:19" x14ac:dyDescent="0.4">
      <c r="A158">
        <v>20210804</v>
      </c>
      <c r="B158" s="1">
        <v>0.25</v>
      </c>
      <c r="C158">
        <v>21088</v>
      </c>
      <c r="D158">
        <v>224887</v>
      </c>
      <c r="E158">
        <v>179410</v>
      </c>
      <c r="F158">
        <v>-3177</v>
      </c>
      <c r="G158">
        <v>-18735</v>
      </c>
      <c r="H158">
        <v>-128289</v>
      </c>
      <c r="I158">
        <v>-180454</v>
      </c>
      <c r="J158">
        <v>94971</v>
      </c>
      <c r="K158">
        <v>-69463</v>
      </c>
      <c r="L158">
        <v>-53142</v>
      </c>
      <c r="M158">
        <v>7.93</v>
      </c>
      <c r="N158">
        <f t="shared" si="11"/>
        <v>67096</v>
      </c>
      <c r="O158">
        <v>21245450</v>
      </c>
      <c r="P158" s="2">
        <f t="shared" si="12"/>
        <v>0.31581350359724081</v>
      </c>
      <c r="Q158" s="3" t="str">
        <f t="shared" si="13"/>
        <v/>
      </c>
      <c r="R158" s="2">
        <f t="shared" si="10"/>
        <v>0.31581350359724081</v>
      </c>
      <c r="S158" s="5">
        <f t="shared" si="14"/>
        <v>16.847641849999999</v>
      </c>
    </row>
    <row r="159" spans="1:19" x14ac:dyDescent="0.4">
      <c r="A159">
        <v>20210804</v>
      </c>
      <c r="B159" s="1">
        <v>0.27083333333333331</v>
      </c>
      <c r="C159">
        <v>42972</v>
      </c>
      <c r="D159">
        <v>296166</v>
      </c>
      <c r="E159">
        <v>159842</v>
      </c>
      <c r="F159">
        <v>44885</v>
      </c>
      <c r="G159">
        <v>-15340</v>
      </c>
      <c r="H159">
        <v>-135404</v>
      </c>
      <c r="I159">
        <v>-166174</v>
      </c>
      <c r="J159">
        <v>108770</v>
      </c>
      <c r="K159">
        <v>-183094</v>
      </c>
      <c r="L159">
        <v>-55960</v>
      </c>
      <c r="M159">
        <v>7.93</v>
      </c>
      <c r="N159">
        <f t="shared" si="11"/>
        <v>96663</v>
      </c>
      <c r="O159">
        <v>21758950</v>
      </c>
      <c r="P159" s="2">
        <f t="shared" si="12"/>
        <v>0.44424478203222123</v>
      </c>
      <c r="Q159" s="3" t="str">
        <f t="shared" si="13"/>
        <v/>
      </c>
      <c r="R159" s="2">
        <f t="shared" si="10"/>
        <v>0.44424478203222123</v>
      </c>
      <c r="S159" s="5">
        <f t="shared" si="14"/>
        <v>17.254847349999999</v>
      </c>
    </row>
    <row r="160" spans="1:19" x14ac:dyDescent="0.4">
      <c r="A160">
        <v>20210804</v>
      </c>
      <c r="B160" s="1">
        <v>0.29166666666666669</v>
      </c>
      <c r="C160">
        <v>80862</v>
      </c>
      <c r="D160">
        <v>336427</v>
      </c>
      <c r="E160">
        <v>132926</v>
      </c>
      <c r="F160">
        <v>176681</v>
      </c>
      <c r="G160">
        <v>15020</v>
      </c>
      <c r="H160">
        <v>-113968</v>
      </c>
      <c r="I160">
        <v>-214040</v>
      </c>
      <c r="J160">
        <v>99244</v>
      </c>
      <c r="K160">
        <v>-174813</v>
      </c>
      <c r="L160">
        <v>-52013</v>
      </c>
      <c r="M160">
        <v>7.94</v>
      </c>
      <c r="N160">
        <f t="shared" si="11"/>
        <v>286326</v>
      </c>
      <c r="O160">
        <v>22741350</v>
      </c>
      <c r="P160" s="2">
        <f t="shared" si="12"/>
        <v>1.2590545416169225</v>
      </c>
      <c r="Q160" s="3" t="str">
        <f t="shared" si="13"/>
        <v/>
      </c>
      <c r="R160" s="2">
        <f t="shared" si="10"/>
        <v>1.2590545416169225</v>
      </c>
      <c r="S160" s="5">
        <f t="shared" si="14"/>
        <v>18.056631899999999</v>
      </c>
    </row>
    <row r="161" spans="1:19" x14ac:dyDescent="0.4">
      <c r="A161">
        <v>20210804</v>
      </c>
      <c r="B161" s="1">
        <v>0.3125</v>
      </c>
      <c r="C161">
        <v>49526</v>
      </c>
      <c r="D161">
        <v>571013</v>
      </c>
      <c r="E161">
        <v>-293823</v>
      </c>
      <c r="F161">
        <v>213188</v>
      </c>
      <c r="G161">
        <v>18706</v>
      </c>
      <c r="H161">
        <v>-70085</v>
      </c>
      <c r="I161">
        <v>-141429</v>
      </c>
      <c r="J161">
        <v>133336</v>
      </c>
      <c r="K161">
        <v>-127934</v>
      </c>
      <c r="L161">
        <v>-57741</v>
      </c>
      <c r="M161">
        <v>8.39</v>
      </c>
      <c r="N161">
        <f t="shared" si="11"/>
        <v>294757</v>
      </c>
      <c r="O161">
        <v>23067650</v>
      </c>
      <c r="P161" s="2">
        <f t="shared" si="12"/>
        <v>1.2777937934726771</v>
      </c>
      <c r="Q161" s="3" t="str">
        <f t="shared" si="13"/>
        <v/>
      </c>
      <c r="R161" s="2">
        <f t="shared" si="10"/>
        <v>1.2777937934726771</v>
      </c>
      <c r="S161" s="5">
        <f t="shared" si="14"/>
        <v>19.35375835</v>
      </c>
    </row>
    <row r="162" spans="1:19" x14ac:dyDescent="0.4">
      <c r="A162">
        <v>20210804</v>
      </c>
      <c r="B162" s="1">
        <v>0.33333333333333331</v>
      </c>
      <c r="C162">
        <v>-20354</v>
      </c>
      <c r="D162">
        <v>488750</v>
      </c>
      <c r="E162">
        <v>135465</v>
      </c>
      <c r="F162">
        <v>313796</v>
      </c>
      <c r="G162">
        <v>50749</v>
      </c>
      <c r="H162">
        <v>-147727</v>
      </c>
      <c r="I162">
        <v>-106529</v>
      </c>
      <c r="J162">
        <v>148428</v>
      </c>
      <c r="K162">
        <v>-29611</v>
      </c>
      <c r="L162">
        <v>-38821</v>
      </c>
      <c r="M162">
        <v>7.46</v>
      </c>
      <c r="N162">
        <f t="shared" si="11"/>
        <v>794146</v>
      </c>
      <c r="O162">
        <v>24340550</v>
      </c>
      <c r="P162" s="2">
        <f t="shared" si="12"/>
        <v>3.2626460782521347</v>
      </c>
      <c r="Q162" t="str">
        <f t="shared" si="13"/>
        <v/>
      </c>
      <c r="R162" s="2">
        <f t="shared" si="10"/>
        <v>3.2626460782521347</v>
      </c>
      <c r="S162" s="5">
        <f t="shared" si="14"/>
        <v>18.158050299999999</v>
      </c>
    </row>
    <row r="163" spans="1:19" x14ac:dyDescent="0.4">
      <c r="A163">
        <v>20210804</v>
      </c>
      <c r="B163" s="1">
        <v>0.35416666666666669</v>
      </c>
      <c r="C163">
        <v>59867</v>
      </c>
      <c r="D163">
        <v>557428</v>
      </c>
      <c r="E163">
        <v>-57785</v>
      </c>
      <c r="F163">
        <v>122293</v>
      </c>
      <c r="G163">
        <v>57523</v>
      </c>
      <c r="H163">
        <v>-174298</v>
      </c>
      <c r="I163">
        <v>-125906</v>
      </c>
      <c r="J163">
        <v>115358</v>
      </c>
      <c r="K163">
        <v>-3688</v>
      </c>
      <c r="L163">
        <v>-38128</v>
      </c>
      <c r="M163">
        <v>8.86</v>
      </c>
      <c r="N163">
        <f t="shared" si="11"/>
        <v>512664</v>
      </c>
      <c r="O163">
        <v>24946300</v>
      </c>
      <c r="P163" s="2">
        <f t="shared" si="12"/>
        <v>2.0550702909850358</v>
      </c>
      <c r="Q163" s="3" t="str">
        <f t="shared" si="13"/>
        <v/>
      </c>
      <c r="R163" s="2">
        <f t="shared" si="10"/>
        <v>2.0550702909850358</v>
      </c>
      <c r="S163" s="5">
        <f t="shared" si="14"/>
        <v>22.102421799999998</v>
      </c>
    </row>
    <row r="164" spans="1:19" x14ac:dyDescent="0.4">
      <c r="A164">
        <v>20210804</v>
      </c>
      <c r="B164" s="1">
        <v>0.375</v>
      </c>
      <c r="C164">
        <v>-35694</v>
      </c>
      <c r="D164">
        <v>481157</v>
      </c>
      <c r="E164">
        <v>83895</v>
      </c>
      <c r="F164">
        <v>268893</v>
      </c>
      <c r="G164">
        <v>58984</v>
      </c>
      <c r="H164">
        <v>-207465</v>
      </c>
      <c r="I164">
        <v>-97083</v>
      </c>
      <c r="J164">
        <v>129251</v>
      </c>
      <c r="K164">
        <v>3646</v>
      </c>
      <c r="L164">
        <v>-44252</v>
      </c>
      <c r="M164">
        <v>9.6</v>
      </c>
      <c r="N164">
        <f t="shared" si="11"/>
        <v>641332</v>
      </c>
      <c r="O164">
        <v>25455350</v>
      </c>
      <c r="P164" s="2">
        <f t="shared" si="12"/>
        <v>2.5194389391621015</v>
      </c>
      <c r="Q164" s="3" t="str">
        <f t="shared" si="13"/>
        <v/>
      </c>
      <c r="R164" s="2">
        <f t="shared" si="10"/>
        <v>2.5194389391621015</v>
      </c>
      <c r="S164" s="5">
        <f t="shared" si="14"/>
        <v>24.437135999999999</v>
      </c>
    </row>
    <row r="165" spans="1:19" x14ac:dyDescent="0.4">
      <c r="A165">
        <v>20210804</v>
      </c>
      <c r="B165" s="1">
        <v>0.39583333333333331</v>
      </c>
      <c r="C165">
        <v>-14575</v>
      </c>
      <c r="D165">
        <v>464545</v>
      </c>
      <c r="E165">
        <v>-154047</v>
      </c>
      <c r="F165">
        <v>270538</v>
      </c>
      <c r="G165">
        <v>53025</v>
      </c>
      <c r="H165">
        <v>-225589</v>
      </c>
      <c r="I165">
        <v>-26407</v>
      </c>
      <c r="J165">
        <v>114698</v>
      </c>
      <c r="K165">
        <v>59280</v>
      </c>
      <c r="L165">
        <v>-60468</v>
      </c>
      <c r="M165">
        <v>9.65</v>
      </c>
      <c r="N165">
        <f t="shared" si="11"/>
        <v>481000</v>
      </c>
      <c r="O165">
        <v>25856650</v>
      </c>
      <c r="P165" s="2">
        <f t="shared" si="12"/>
        <v>1.8602564524019933</v>
      </c>
      <c r="Q165" s="3" t="str">
        <f t="shared" si="13"/>
        <v/>
      </c>
      <c r="R165" s="2">
        <f t="shared" si="10"/>
        <v>1.8602564524019933</v>
      </c>
      <c r="S165" s="5">
        <f t="shared" si="14"/>
        <v>24.95166725</v>
      </c>
    </row>
    <row r="166" spans="1:19" x14ac:dyDescent="0.4">
      <c r="A166">
        <v>20210804</v>
      </c>
      <c r="B166" s="1">
        <v>0.41666666666666669</v>
      </c>
      <c r="C166">
        <v>-62488</v>
      </c>
      <c r="D166">
        <v>388196</v>
      </c>
      <c r="E166">
        <v>-27739</v>
      </c>
      <c r="F166">
        <v>281093</v>
      </c>
      <c r="G166">
        <v>38205</v>
      </c>
      <c r="H166">
        <v>-214299</v>
      </c>
      <c r="I166">
        <v>-20161</v>
      </c>
      <c r="J166">
        <v>102253</v>
      </c>
      <c r="K166">
        <v>-54390</v>
      </c>
      <c r="L166">
        <v>-52530</v>
      </c>
      <c r="M166">
        <v>9.74</v>
      </c>
      <c r="N166">
        <f t="shared" si="11"/>
        <v>378140</v>
      </c>
      <c r="O166">
        <v>26318500</v>
      </c>
      <c r="P166" s="2">
        <f t="shared" si="12"/>
        <v>1.4367840112468415</v>
      </c>
      <c r="Q166" s="3" t="str">
        <f t="shared" si="13"/>
        <v/>
      </c>
      <c r="R166" s="2">
        <f t="shared" si="10"/>
        <v>1.4367840112468415</v>
      </c>
      <c r="S166" s="5">
        <f t="shared" si="14"/>
        <v>25.634219000000002</v>
      </c>
    </row>
    <row r="167" spans="1:19" x14ac:dyDescent="0.4">
      <c r="A167">
        <v>20210804</v>
      </c>
      <c r="B167" s="1">
        <v>0.4375</v>
      </c>
      <c r="C167">
        <v>-35851</v>
      </c>
      <c r="D167">
        <v>335977</v>
      </c>
      <c r="E167">
        <v>158682</v>
      </c>
      <c r="F167">
        <v>306876</v>
      </c>
      <c r="G167">
        <v>46719</v>
      </c>
      <c r="H167">
        <v>-236732</v>
      </c>
      <c r="I167">
        <v>-31631</v>
      </c>
      <c r="J167">
        <v>91013</v>
      </c>
      <c r="K167">
        <v>11089</v>
      </c>
      <c r="L167">
        <v>-56046</v>
      </c>
      <c r="M167">
        <v>9.83</v>
      </c>
      <c r="N167">
        <f t="shared" si="11"/>
        <v>590096</v>
      </c>
      <c r="O167">
        <v>26526200</v>
      </c>
      <c r="P167" s="2">
        <f t="shared" si="12"/>
        <v>2.2245779644276227</v>
      </c>
      <c r="Q167" s="3" t="str">
        <f t="shared" si="13"/>
        <v/>
      </c>
      <c r="R167" s="2">
        <f t="shared" si="10"/>
        <v>2.2245779644276227</v>
      </c>
      <c r="S167" s="5">
        <f t="shared" si="14"/>
        <v>26.075254600000001</v>
      </c>
    </row>
    <row r="168" spans="1:19" x14ac:dyDescent="0.4">
      <c r="A168">
        <v>20210804</v>
      </c>
      <c r="B168" s="1">
        <v>0.45833333333333331</v>
      </c>
      <c r="C168">
        <v>-2340</v>
      </c>
      <c r="D168">
        <v>230006</v>
      </c>
      <c r="E168">
        <v>228727</v>
      </c>
      <c r="F168">
        <v>300148</v>
      </c>
      <c r="G168">
        <v>40117</v>
      </c>
      <c r="H168">
        <v>-252619</v>
      </c>
      <c r="I168">
        <v>-67601</v>
      </c>
      <c r="J168">
        <v>91725</v>
      </c>
      <c r="K168">
        <v>-28334</v>
      </c>
      <c r="L168">
        <v>-61331</v>
      </c>
      <c r="M168">
        <v>10.01</v>
      </c>
      <c r="N168">
        <f t="shared" si="11"/>
        <v>478498</v>
      </c>
      <c r="O168">
        <v>26841900</v>
      </c>
      <c r="P168" s="2">
        <f t="shared" si="12"/>
        <v>1.7826532398973247</v>
      </c>
      <c r="Q168" s="3" t="str">
        <f t="shared" si="13"/>
        <v/>
      </c>
      <c r="R168" s="2">
        <f t="shared" si="10"/>
        <v>1.7826532398973247</v>
      </c>
      <c r="S168" s="5">
        <f t="shared" si="14"/>
        <v>26.8687419</v>
      </c>
    </row>
    <row r="169" spans="1:19" x14ac:dyDescent="0.4">
      <c r="A169">
        <v>20210804</v>
      </c>
      <c r="B169" s="1">
        <v>0.47916666666666669</v>
      </c>
      <c r="C169">
        <v>39394</v>
      </c>
      <c r="D169">
        <v>109786</v>
      </c>
      <c r="E169">
        <v>221715</v>
      </c>
      <c r="F169">
        <v>210891</v>
      </c>
      <c r="G169">
        <v>39149</v>
      </c>
      <c r="H169">
        <v>-171463</v>
      </c>
      <c r="I169">
        <v>27971</v>
      </c>
      <c r="J169">
        <v>75391</v>
      </c>
      <c r="K169">
        <v>27593</v>
      </c>
      <c r="L169">
        <v>-52393</v>
      </c>
      <c r="M169">
        <v>9.89</v>
      </c>
      <c r="N169">
        <f t="shared" si="11"/>
        <v>528034</v>
      </c>
      <c r="O169">
        <v>27010300</v>
      </c>
      <c r="P169" s="2">
        <f t="shared" si="12"/>
        <v>1.95493570971074</v>
      </c>
      <c r="Q169" t="str">
        <f t="shared" si="13"/>
        <v/>
      </c>
      <c r="R169" s="2">
        <f t="shared" si="10"/>
        <v>1.95493570971074</v>
      </c>
      <c r="S169" s="5">
        <f t="shared" si="14"/>
        <v>26.713186700000001</v>
      </c>
    </row>
    <row r="170" spans="1:19" x14ac:dyDescent="0.4">
      <c r="A170">
        <v>20210804</v>
      </c>
      <c r="B170" s="1">
        <v>0.5</v>
      </c>
      <c r="C170">
        <v>23225</v>
      </c>
      <c r="D170">
        <v>61861</v>
      </c>
      <c r="E170">
        <v>183042</v>
      </c>
      <c r="F170">
        <v>211067</v>
      </c>
      <c r="G170">
        <v>47076</v>
      </c>
      <c r="H170">
        <v>-152523</v>
      </c>
      <c r="I170">
        <v>-4516</v>
      </c>
      <c r="J170">
        <v>103042</v>
      </c>
      <c r="K170">
        <v>-62796</v>
      </c>
      <c r="L170">
        <v>-32413</v>
      </c>
      <c r="M170">
        <v>9.6</v>
      </c>
      <c r="N170">
        <f t="shared" si="11"/>
        <v>377065</v>
      </c>
      <c r="O170">
        <v>26936950</v>
      </c>
      <c r="P170" s="2">
        <f t="shared" si="12"/>
        <v>1.3998058429035209</v>
      </c>
      <c r="Q170" s="3" t="str">
        <f t="shared" si="13"/>
        <v/>
      </c>
      <c r="R170" s="2">
        <f t="shared" si="10"/>
        <v>1.3998058429035209</v>
      </c>
      <c r="S170" s="5">
        <f t="shared" si="14"/>
        <v>25.859472</v>
      </c>
    </row>
    <row r="171" spans="1:19" x14ac:dyDescent="0.4">
      <c r="A171">
        <v>20210804</v>
      </c>
      <c r="B171" s="1">
        <v>0.52083333333333337</v>
      </c>
      <c r="C171">
        <v>47877</v>
      </c>
      <c r="D171">
        <v>41837</v>
      </c>
      <c r="E171">
        <v>176989</v>
      </c>
      <c r="F171">
        <v>177765</v>
      </c>
      <c r="G171">
        <v>79421</v>
      </c>
      <c r="H171">
        <v>-114071</v>
      </c>
      <c r="I171">
        <v>-18822</v>
      </c>
      <c r="J171">
        <v>93928</v>
      </c>
      <c r="K171">
        <v>-96134</v>
      </c>
      <c r="L171">
        <v>-24661</v>
      </c>
      <c r="M171">
        <v>9.82</v>
      </c>
      <c r="N171">
        <f t="shared" si="11"/>
        <v>364129</v>
      </c>
      <c r="O171">
        <v>26878700</v>
      </c>
      <c r="P171" s="2">
        <f t="shared" si="12"/>
        <v>1.354712095451045</v>
      </c>
      <c r="Q171" s="3" t="str">
        <f t="shared" si="13"/>
        <v/>
      </c>
      <c r="R171" s="2">
        <f t="shared" si="10"/>
        <v>1.354712095451045</v>
      </c>
      <c r="S171" s="5">
        <f t="shared" si="14"/>
        <v>26.394883400000001</v>
      </c>
    </row>
    <row r="172" spans="1:19" x14ac:dyDescent="0.4">
      <c r="A172">
        <v>20210804</v>
      </c>
      <c r="B172" s="1">
        <v>0.54166666666666663</v>
      </c>
      <c r="C172">
        <v>21244</v>
      </c>
      <c r="D172">
        <v>-50847</v>
      </c>
      <c r="E172">
        <v>47663</v>
      </c>
      <c r="F172">
        <v>197126</v>
      </c>
      <c r="G172">
        <v>92057</v>
      </c>
      <c r="H172">
        <v>-77711</v>
      </c>
      <c r="I172">
        <v>-1631</v>
      </c>
      <c r="J172">
        <v>61580</v>
      </c>
      <c r="K172">
        <v>-78279</v>
      </c>
      <c r="L172">
        <v>-11768</v>
      </c>
      <c r="M172">
        <v>10.27</v>
      </c>
      <c r="N172">
        <f t="shared" si="11"/>
        <v>199434</v>
      </c>
      <c r="O172">
        <v>26518900</v>
      </c>
      <c r="P172" s="2">
        <f t="shared" si="12"/>
        <v>0.75204476807107379</v>
      </c>
      <c r="Q172" s="3" t="str">
        <f t="shared" si="13"/>
        <v/>
      </c>
      <c r="R172" s="2">
        <f t="shared" si="10"/>
        <v>0.75204476807107379</v>
      </c>
      <c r="S172" s="5">
        <f t="shared" si="14"/>
        <v>27.234910299999999</v>
      </c>
    </row>
    <row r="173" spans="1:19" x14ac:dyDescent="0.4">
      <c r="A173">
        <v>20210804</v>
      </c>
      <c r="B173" s="1">
        <v>0.5625</v>
      </c>
      <c r="C173">
        <v>26646</v>
      </c>
      <c r="D173">
        <v>-61563</v>
      </c>
      <c r="E173">
        <v>76857</v>
      </c>
      <c r="F173">
        <v>248539</v>
      </c>
      <c r="G173">
        <v>94449</v>
      </c>
      <c r="H173">
        <v>24703</v>
      </c>
      <c r="I173">
        <v>-48383</v>
      </c>
      <c r="J173">
        <v>63046</v>
      </c>
      <c r="K173">
        <v>98620</v>
      </c>
      <c r="L173">
        <v>-25478</v>
      </c>
      <c r="M173">
        <v>10.27</v>
      </c>
      <c r="N173">
        <f t="shared" si="11"/>
        <v>497436</v>
      </c>
      <c r="O173">
        <v>26437000</v>
      </c>
      <c r="P173" s="2">
        <f t="shared" si="12"/>
        <v>1.881590195559254</v>
      </c>
      <c r="Q173" s="3" t="str">
        <f t="shared" si="13"/>
        <v/>
      </c>
      <c r="R173" s="2">
        <f t="shared" si="10"/>
        <v>1.881590195559254</v>
      </c>
      <c r="S173" s="5">
        <f t="shared" si="14"/>
        <v>27.150798999999999</v>
      </c>
    </row>
    <row r="174" spans="1:19" x14ac:dyDescent="0.4">
      <c r="A174">
        <v>20210804</v>
      </c>
      <c r="B174" s="1">
        <v>0.58333333333333337</v>
      </c>
      <c r="C174">
        <v>-74600</v>
      </c>
      <c r="D174">
        <v>-13474</v>
      </c>
      <c r="E174">
        <v>264</v>
      </c>
      <c r="F174">
        <v>320446</v>
      </c>
      <c r="G174">
        <v>90726</v>
      </c>
      <c r="H174">
        <v>9560</v>
      </c>
      <c r="I174">
        <v>88022</v>
      </c>
      <c r="J174">
        <v>51635</v>
      </c>
      <c r="K174">
        <v>240267</v>
      </c>
      <c r="L174">
        <v>-27862</v>
      </c>
      <c r="M174">
        <v>10.84</v>
      </c>
      <c r="N174">
        <f t="shared" si="11"/>
        <v>684984</v>
      </c>
      <c r="O174">
        <v>26282400</v>
      </c>
      <c r="P174" s="2">
        <f t="shared" si="12"/>
        <v>2.6062460049310565</v>
      </c>
      <c r="Q174" s="3" t="str">
        <f t="shared" si="13"/>
        <v/>
      </c>
      <c r="R174" s="2">
        <f t="shared" si="10"/>
        <v>2.6062460049310565</v>
      </c>
      <c r="S174" s="5">
        <f t="shared" si="14"/>
        <v>28.490121599999998</v>
      </c>
    </row>
    <row r="175" spans="1:19" x14ac:dyDescent="0.4">
      <c r="A175">
        <v>20210804</v>
      </c>
      <c r="B175" s="1">
        <v>0.60416666666666663</v>
      </c>
      <c r="C175">
        <v>-16637</v>
      </c>
      <c r="D175">
        <v>78022</v>
      </c>
      <c r="E175">
        <v>73514</v>
      </c>
      <c r="F175">
        <v>282155</v>
      </c>
      <c r="G175">
        <v>75363</v>
      </c>
      <c r="H175">
        <v>129043</v>
      </c>
      <c r="I175">
        <v>111746</v>
      </c>
      <c r="J175">
        <v>49093</v>
      </c>
      <c r="K175">
        <v>293844</v>
      </c>
      <c r="L175">
        <v>-24505</v>
      </c>
      <c r="M175">
        <v>12.26</v>
      </c>
      <c r="N175">
        <f t="shared" si="11"/>
        <v>1051638</v>
      </c>
      <c r="O175">
        <v>26452050</v>
      </c>
      <c r="P175" s="2">
        <f t="shared" si="12"/>
        <v>3.9756389391370424</v>
      </c>
      <c r="Q175" s="3" t="str">
        <f t="shared" si="13"/>
        <v/>
      </c>
      <c r="R175" s="2">
        <f t="shared" si="10"/>
        <v>3.9756389391370424</v>
      </c>
      <c r="S175" s="5">
        <f t="shared" si="14"/>
        <v>32.430213299999998</v>
      </c>
    </row>
    <row r="176" spans="1:19" x14ac:dyDescent="0.4">
      <c r="A176">
        <v>20210804</v>
      </c>
      <c r="B176" s="1">
        <v>0.625</v>
      </c>
      <c r="C176">
        <v>-108559</v>
      </c>
      <c r="D176">
        <v>-27713</v>
      </c>
      <c r="E176">
        <v>-47008</v>
      </c>
      <c r="F176">
        <v>225138</v>
      </c>
      <c r="G176">
        <v>57715</v>
      </c>
      <c r="H176">
        <v>129891</v>
      </c>
      <c r="I176">
        <v>121668</v>
      </c>
      <c r="J176">
        <v>27201</v>
      </c>
      <c r="K176">
        <v>338376</v>
      </c>
      <c r="L176">
        <v>-25831</v>
      </c>
      <c r="M176">
        <v>14.81</v>
      </c>
      <c r="N176">
        <f t="shared" si="11"/>
        <v>690878</v>
      </c>
      <c r="O176">
        <v>25873400</v>
      </c>
      <c r="P176" s="2">
        <f t="shared" si="12"/>
        <v>2.6702250187451204</v>
      </c>
      <c r="Q176" t="str">
        <f t="shared" si="13"/>
        <v/>
      </c>
      <c r="R176" s="2">
        <f t="shared" si="10"/>
        <v>2.6702250187451204</v>
      </c>
      <c r="S176" s="5">
        <f t="shared" si="14"/>
        <v>38.318505399999999</v>
      </c>
    </row>
    <row r="177" spans="1:19" x14ac:dyDescent="0.4">
      <c r="A177">
        <v>20210804</v>
      </c>
      <c r="B177" s="1">
        <v>0.64583333333333337</v>
      </c>
      <c r="C177">
        <v>-109495</v>
      </c>
      <c r="D177">
        <v>-135806</v>
      </c>
      <c r="E177">
        <v>-436772</v>
      </c>
      <c r="F177">
        <v>130955</v>
      </c>
      <c r="G177">
        <v>30457</v>
      </c>
      <c r="H177">
        <v>123111</v>
      </c>
      <c r="I177">
        <v>22513</v>
      </c>
      <c r="J177">
        <v>-1351</v>
      </c>
      <c r="K177">
        <v>402127</v>
      </c>
      <c r="L177">
        <v>-27236</v>
      </c>
      <c r="M177">
        <v>17.010000000000002</v>
      </c>
      <c r="N177">
        <f t="shared" si="11"/>
        <v>-1497</v>
      </c>
      <c r="O177">
        <v>25336950</v>
      </c>
      <c r="P177" s="2">
        <f t="shared" si="12"/>
        <v>5.9083670291807024E-3</v>
      </c>
      <c r="Q177" s="3" t="str">
        <f t="shared" si="13"/>
        <v>〇</v>
      </c>
      <c r="R177" s="2">
        <f t="shared" si="10"/>
        <v>-5.9083670291807024E-3</v>
      </c>
      <c r="S177" s="5">
        <f t="shared" si="14"/>
        <v>43.098151950000009</v>
      </c>
    </row>
    <row r="178" spans="1:19" x14ac:dyDescent="0.4">
      <c r="A178">
        <v>20210804</v>
      </c>
      <c r="B178" s="1">
        <v>0.66666666666666663</v>
      </c>
      <c r="C178">
        <v>-10963</v>
      </c>
      <c r="D178">
        <v>-52345</v>
      </c>
      <c r="E178">
        <v>-611881</v>
      </c>
      <c r="F178">
        <v>123368</v>
      </c>
      <c r="G178">
        <v>640</v>
      </c>
      <c r="H178">
        <v>45679</v>
      </c>
      <c r="I178">
        <v>-47970</v>
      </c>
      <c r="J178">
        <v>-38076</v>
      </c>
      <c r="K178">
        <v>202313</v>
      </c>
      <c r="L178">
        <v>-27795</v>
      </c>
      <c r="M178">
        <v>17.010000000000002</v>
      </c>
      <c r="N178">
        <f t="shared" si="11"/>
        <v>-417030</v>
      </c>
      <c r="O178">
        <v>25519400</v>
      </c>
      <c r="P178" s="2">
        <f t="shared" si="12"/>
        <v>1.6341685149337366</v>
      </c>
      <c r="Q178" s="3" t="str">
        <f t="shared" si="13"/>
        <v>〇</v>
      </c>
      <c r="R178" s="2">
        <f t="shared" si="10"/>
        <v>-1.6341685149337366</v>
      </c>
      <c r="S178" s="5">
        <f t="shared" si="14"/>
        <v>43.408499400000004</v>
      </c>
    </row>
    <row r="179" spans="1:19" x14ac:dyDescent="0.4">
      <c r="A179">
        <v>20210804</v>
      </c>
      <c r="B179" s="1">
        <v>0.6875</v>
      </c>
      <c r="C179">
        <v>-971</v>
      </c>
      <c r="D179">
        <v>-106867</v>
      </c>
      <c r="E179">
        <v>-810255</v>
      </c>
      <c r="F179">
        <v>124660</v>
      </c>
      <c r="G179">
        <v>-15297</v>
      </c>
      <c r="H179">
        <v>64522</v>
      </c>
      <c r="I179">
        <v>-154659</v>
      </c>
      <c r="J179">
        <v>-38273</v>
      </c>
      <c r="K179">
        <v>127530</v>
      </c>
      <c r="L179">
        <v>-35568</v>
      </c>
      <c r="M179">
        <v>20</v>
      </c>
      <c r="N179">
        <f t="shared" si="11"/>
        <v>-845178</v>
      </c>
      <c r="O179">
        <v>24908400</v>
      </c>
      <c r="P179" s="2">
        <f t="shared" si="12"/>
        <v>3.3931444813797755</v>
      </c>
      <c r="Q179" s="3" t="str">
        <f t="shared" si="13"/>
        <v>〇</v>
      </c>
      <c r="R179" s="2">
        <f t="shared" si="10"/>
        <v>-3.3931444813797755</v>
      </c>
      <c r="S179" s="5">
        <f t="shared" si="14"/>
        <v>49.816800000000001</v>
      </c>
    </row>
    <row r="180" spans="1:19" x14ac:dyDescent="0.4">
      <c r="A180">
        <v>20210804</v>
      </c>
      <c r="B180" s="1">
        <v>0.70833333333333337</v>
      </c>
      <c r="C180">
        <v>11494</v>
      </c>
      <c r="D180">
        <v>-43910</v>
      </c>
      <c r="E180">
        <v>-824400</v>
      </c>
      <c r="F180">
        <v>-147371</v>
      </c>
      <c r="G180">
        <v>-55763</v>
      </c>
      <c r="H180">
        <v>-84295</v>
      </c>
      <c r="I180">
        <v>-209224</v>
      </c>
      <c r="J180">
        <v>-54427</v>
      </c>
      <c r="K180">
        <v>-53274</v>
      </c>
      <c r="L180">
        <v>-38622</v>
      </c>
      <c r="M180">
        <v>17.010000000000002</v>
      </c>
      <c r="N180">
        <f t="shared" si="11"/>
        <v>-1499792</v>
      </c>
      <c r="O180">
        <v>24139650</v>
      </c>
      <c r="P180" s="2">
        <f t="shared" si="12"/>
        <v>6.2129815469569776</v>
      </c>
      <c r="Q180" s="3" t="str">
        <f t="shared" si="13"/>
        <v>〇</v>
      </c>
      <c r="R180" s="2">
        <f t="shared" si="10"/>
        <v>-6.2129815469569776</v>
      </c>
      <c r="S180" s="5">
        <f t="shared" si="14"/>
        <v>41.061544650000009</v>
      </c>
    </row>
    <row r="181" spans="1:19" x14ac:dyDescent="0.4">
      <c r="A181">
        <v>20210804</v>
      </c>
      <c r="B181" s="1">
        <v>0.72916666666666663</v>
      </c>
      <c r="C181">
        <v>10143</v>
      </c>
      <c r="D181">
        <v>-127388</v>
      </c>
      <c r="E181">
        <v>-698640</v>
      </c>
      <c r="F181">
        <v>-98399</v>
      </c>
      <c r="G181">
        <v>-71227</v>
      </c>
      <c r="H181">
        <v>-196892</v>
      </c>
      <c r="I181">
        <v>-226216</v>
      </c>
      <c r="J181">
        <v>-81037</v>
      </c>
      <c r="K181">
        <v>-178166</v>
      </c>
      <c r="L181">
        <v>-38137</v>
      </c>
      <c r="M181">
        <v>17.010000000000002</v>
      </c>
      <c r="N181">
        <f t="shared" si="11"/>
        <v>-1705959</v>
      </c>
      <c r="O181">
        <v>23626400</v>
      </c>
      <c r="P181" s="2">
        <f t="shared" si="12"/>
        <v>7.2205625909998981</v>
      </c>
      <c r="Q181" s="3" t="str">
        <f t="shared" si="13"/>
        <v>〇</v>
      </c>
      <c r="R181" s="2">
        <f t="shared" si="10"/>
        <v>-7.2205625909998981</v>
      </c>
      <c r="S181" s="5">
        <f t="shared" si="14"/>
        <v>40.188506400000009</v>
      </c>
    </row>
    <row r="182" spans="1:19" x14ac:dyDescent="0.4">
      <c r="A182">
        <v>20210804</v>
      </c>
      <c r="B182" s="1">
        <v>0.75</v>
      </c>
      <c r="C182">
        <v>-4872</v>
      </c>
      <c r="D182">
        <v>-149075</v>
      </c>
      <c r="E182">
        <v>-568546</v>
      </c>
      <c r="F182">
        <v>-22555</v>
      </c>
      <c r="G182">
        <v>-62248</v>
      </c>
      <c r="H182">
        <v>-147330</v>
      </c>
      <c r="I182">
        <v>-172964</v>
      </c>
      <c r="J182">
        <v>-61782</v>
      </c>
      <c r="K182">
        <v>-119045</v>
      </c>
      <c r="L182">
        <v>-26692</v>
      </c>
      <c r="M182">
        <v>17.010000000000002</v>
      </c>
      <c r="N182">
        <f t="shared" si="11"/>
        <v>-1335109</v>
      </c>
      <c r="O182">
        <v>22962300</v>
      </c>
      <c r="P182" s="2">
        <f t="shared" si="12"/>
        <v>5.8143522208141167</v>
      </c>
      <c r="Q182" s="3" t="str">
        <f t="shared" si="13"/>
        <v>〇</v>
      </c>
      <c r="R182" s="2">
        <f t="shared" si="10"/>
        <v>-5.8143522208141167</v>
      </c>
      <c r="S182" s="5">
        <f t="shared" si="14"/>
        <v>39.058872300000004</v>
      </c>
    </row>
    <row r="183" spans="1:19" x14ac:dyDescent="0.4">
      <c r="A183">
        <v>20210804</v>
      </c>
      <c r="B183" s="1">
        <v>0.77083333333333337</v>
      </c>
      <c r="C183">
        <v>-27826</v>
      </c>
      <c r="D183">
        <v>-255386</v>
      </c>
      <c r="E183">
        <v>-368967</v>
      </c>
      <c r="F183">
        <v>10665</v>
      </c>
      <c r="G183">
        <v>-38423</v>
      </c>
      <c r="H183">
        <v>-162440</v>
      </c>
      <c r="I183">
        <v>-162174</v>
      </c>
      <c r="J183">
        <v>-17303</v>
      </c>
      <c r="K183">
        <v>31808</v>
      </c>
      <c r="L183">
        <v>-31928</v>
      </c>
      <c r="M183">
        <v>20</v>
      </c>
      <c r="N183">
        <f t="shared" si="11"/>
        <v>-1021974</v>
      </c>
      <c r="O183">
        <v>22919100</v>
      </c>
      <c r="P183" s="2">
        <f t="shared" si="12"/>
        <v>4.4590494391141009</v>
      </c>
      <c r="Q183" s="3" t="str">
        <f t="shared" si="13"/>
        <v>〇</v>
      </c>
      <c r="R183" s="2">
        <f t="shared" si="10"/>
        <v>-4.4590494391141009</v>
      </c>
      <c r="S183" s="5">
        <f t="shared" si="14"/>
        <v>45.838200000000001</v>
      </c>
    </row>
    <row r="184" spans="1:19" x14ac:dyDescent="0.4">
      <c r="A184">
        <v>20210804</v>
      </c>
      <c r="B184" s="1">
        <v>0.79166666666666663</v>
      </c>
      <c r="C184">
        <v>26798</v>
      </c>
      <c r="D184">
        <v>-144093</v>
      </c>
      <c r="E184">
        <v>-239714</v>
      </c>
      <c r="F184">
        <v>-58010</v>
      </c>
      <c r="G184">
        <v>-58061</v>
      </c>
      <c r="H184">
        <v>-139304</v>
      </c>
      <c r="I184">
        <v>-77747</v>
      </c>
      <c r="J184">
        <v>4917</v>
      </c>
      <c r="K184">
        <v>72490</v>
      </c>
      <c r="L184">
        <v>-33355</v>
      </c>
      <c r="M184">
        <v>17.010000000000002</v>
      </c>
      <c r="N184">
        <f t="shared" si="11"/>
        <v>-646079</v>
      </c>
      <c r="O184">
        <v>22780800</v>
      </c>
      <c r="P184" s="2">
        <f t="shared" si="12"/>
        <v>2.8360680924287118</v>
      </c>
      <c r="Q184" s="3" t="str">
        <f t="shared" si="13"/>
        <v>〇</v>
      </c>
      <c r="R184" s="2">
        <f t="shared" si="10"/>
        <v>-2.8360680924287118</v>
      </c>
      <c r="S184" s="5">
        <f t="shared" si="14"/>
        <v>38.750140800000004</v>
      </c>
    </row>
    <row r="185" spans="1:19" x14ac:dyDescent="0.4">
      <c r="A185">
        <v>20210804</v>
      </c>
      <c r="B185" s="1">
        <v>0.8125</v>
      </c>
      <c r="C185">
        <v>-86285</v>
      </c>
      <c r="D185">
        <v>-100638</v>
      </c>
      <c r="E185">
        <v>-115594</v>
      </c>
      <c r="F185">
        <v>-51100</v>
      </c>
      <c r="G185">
        <v>-40458</v>
      </c>
      <c r="H185">
        <v>-106150</v>
      </c>
      <c r="I185">
        <v>-53586</v>
      </c>
      <c r="J185">
        <v>-456</v>
      </c>
      <c r="K185">
        <v>28525</v>
      </c>
      <c r="L185">
        <v>-31220</v>
      </c>
      <c r="M185">
        <v>15.01</v>
      </c>
      <c r="N185">
        <f t="shared" si="11"/>
        <v>-556962</v>
      </c>
      <c r="O185">
        <v>22550850</v>
      </c>
      <c r="P185" s="2">
        <f t="shared" si="12"/>
        <v>2.4698049075755457</v>
      </c>
      <c r="Q185" s="3" t="str">
        <f t="shared" si="13"/>
        <v>〇</v>
      </c>
      <c r="R185" s="2">
        <f t="shared" si="10"/>
        <v>-2.4698049075755457</v>
      </c>
      <c r="S185" s="5">
        <f t="shared" si="14"/>
        <v>33.848825849999997</v>
      </c>
    </row>
    <row r="186" spans="1:19" x14ac:dyDescent="0.4">
      <c r="A186">
        <v>20210804</v>
      </c>
      <c r="B186" s="1">
        <v>0.83333333333333337</v>
      </c>
      <c r="C186">
        <v>7897</v>
      </c>
      <c r="D186">
        <v>-65296</v>
      </c>
      <c r="E186">
        <v>-176791</v>
      </c>
      <c r="F186">
        <v>-111556</v>
      </c>
      <c r="G186">
        <v>-4287</v>
      </c>
      <c r="H186">
        <v>-109665</v>
      </c>
      <c r="I186">
        <v>-46776</v>
      </c>
      <c r="J186">
        <v>7493</v>
      </c>
      <c r="K186">
        <v>30451</v>
      </c>
      <c r="L186">
        <v>-36063</v>
      </c>
      <c r="M186">
        <v>12.1</v>
      </c>
      <c r="N186">
        <f t="shared" si="11"/>
        <v>-504593</v>
      </c>
      <c r="O186">
        <v>22017100</v>
      </c>
      <c r="P186" s="2">
        <f t="shared" si="12"/>
        <v>2.2918231738058146</v>
      </c>
      <c r="Q186" s="3" t="str">
        <f t="shared" si="13"/>
        <v>〇</v>
      </c>
      <c r="R186" s="2">
        <f t="shared" si="10"/>
        <v>-2.2918231738058146</v>
      </c>
      <c r="S186" s="5">
        <f t="shared" si="14"/>
        <v>26.640691</v>
      </c>
    </row>
    <row r="187" spans="1:19" x14ac:dyDescent="0.4">
      <c r="A187">
        <v>20210804</v>
      </c>
      <c r="B187" s="1">
        <v>0.85416666666666663</v>
      </c>
      <c r="C187">
        <v>-27746</v>
      </c>
      <c r="D187">
        <v>-152406</v>
      </c>
      <c r="E187">
        <v>93536</v>
      </c>
      <c r="F187">
        <v>-62052</v>
      </c>
      <c r="G187">
        <v>-19183</v>
      </c>
      <c r="H187">
        <v>-121087</v>
      </c>
      <c r="I187">
        <v>-69880</v>
      </c>
      <c r="J187">
        <v>-24504</v>
      </c>
      <c r="K187">
        <v>104400</v>
      </c>
      <c r="L187">
        <v>-30750</v>
      </c>
      <c r="M187">
        <v>10.220000000000001</v>
      </c>
      <c r="N187">
        <f t="shared" si="11"/>
        <v>-309672</v>
      </c>
      <c r="O187">
        <v>21825150</v>
      </c>
      <c r="P187" s="2">
        <f t="shared" si="12"/>
        <v>1.4188768462072425</v>
      </c>
      <c r="Q187" s="3" t="str">
        <f t="shared" si="13"/>
        <v>〇</v>
      </c>
      <c r="R187" s="2">
        <f t="shared" si="10"/>
        <v>-1.4188768462072425</v>
      </c>
      <c r="S187" s="5">
        <f t="shared" si="14"/>
        <v>22.305303299999999</v>
      </c>
    </row>
    <row r="188" spans="1:19" x14ac:dyDescent="0.4">
      <c r="A188">
        <v>20210804</v>
      </c>
      <c r="B188" s="1">
        <v>0.875</v>
      </c>
      <c r="C188">
        <v>-15722</v>
      </c>
      <c r="D188">
        <v>-83890</v>
      </c>
      <c r="E188">
        <v>304531</v>
      </c>
      <c r="F188">
        <v>-56406</v>
      </c>
      <c r="G188">
        <v>-16208</v>
      </c>
      <c r="H188">
        <v>100707</v>
      </c>
      <c r="I188">
        <v>-113310</v>
      </c>
      <c r="J188">
        <v>1096</v>
      </c>
      <c r="K188">
        <v>53614</v>
      </c>
      <c r="L188">
        <v>-37289</v>
      </c>
      <c r="M188">
        <v>9.9499999999999993</v>
      </c>
      <c r="N188">
        <f t="shared" si="11"/>
        <v>137123</v>
      </c>
      <c r="O188">
        <v>21350850</v>
      </c>
      <c r="P188" s="2">
        <f t="shared" si="12"/>
        <v>0.6422367259383116</v>
      </c>
      <c r="Q188" s="3" t="str">
        <f t="shared" si="13"/>
        <v/>
      </c>
      <c r="R188" s="2">
        <f t="shared" si="10"/>
        <v>0.6422367259383116</v>
      </c>
      <c r="S188" s="5">
        <f t="shared" si="14"/>
        <v>21.244095749999996</v>
      </c>
    </row>
    <row r="189" spans="1:19" x14ac:dyDescent="0.4">
      <c r="A189">
        <v>20210804</v>
      </c>
      <c r="B189" s="1">
        <v>0.89583333333333337</v>
      </c>
      <c r="C189">
        <v>-54008</v>
      </c>
      <c r="D189">
        <v>-57371</v>
      </c>
      <c r="E189">
        <v>372471</v>
      </c>
      <c r="F189">
        <v>-46201</v>
      </c>
      <c r="G189">
        <v>-23174</v>
      </c>
      <c r="H189">
        <v>-74417</v>
      </c>
      <c r="I189">
        <v>-88472</v>
      </c>
      <c r="J189">
        <v>-12905</v>
      </c>
      <c r="K189">
        <v>54107</v>
      </c>
      <c r="L189">
        <v>-32397</v>
      </c>
      <c r="M189">
        <v>9.85</v>
      </c>
      <c r="N189">
        <f t="shared" si="11"/>
        <v>37633</v>
      </c>
      <c r="O189">
        <v>21404100</v>
      </c>
      <c r="P189" s="2">
        <f t="shared" si="12"/>
        <v>0.17582145476801173</v>
      </c>
      <c r="Q189" s="3" t="str">
        <f t="shared" si="13"/>
        <v/>
      </c>
      <c r="R189" s="2">
        <f t="shared" si="10"/>
        <v>0.17582145476801173</v>
      </c>
      <c r="S189" s="5">
        <f t="shared" si="14"/>
        <v>21.083038500000001</v>
      </c>
    </row>
    <row r="190" spans="1:19" x14ac:dyDescent="0.4">
      <c r="A190">
        <v>20210804</v>
      </c>
      <c r="B190" s="1">
        <v>0.91666666666666663</v>
      </c>
      <c r="C190">
        <v>-28735</v>
      </c>
      <c r="D190">
        <v>-30157</v>
      </c>
      <c r="E190">
        <v>385919</v>
      </c>
      <c r="F190">
        <v>18551</v>
      </c>
      <c r="G190">
        <v>-40887</v>
      </c>
      <c r="H190">
        <v>-21860</v>
      </c>
      <c r="I190">
        <v>29006</v>
      </c>
      <c r="J190">
        <v>-19711</v>
      </c>
      <c r="K190">
        <v>17332</v>
      </c>
      <c r="L190">
        <v>-39334</v>
      </c>
      <c r="M190">
        <v>9.69</v>
      </c>
      <c r="N190">
        <f t="shared" si="11"/>
        <v>270124</v>
      </c>
      <c r="O190">
        <v>20747750</v>
      </c>
      <c r="P190" s="2">
        <f t="shared" si="12"/>
        <v>1.3019435842440747</v>
      </c>
      <c r="Q190" t="str">
        <f t="shared" si="13"/>
        <v/>
      </c>
      <c r="R190" s="2">
        <f t="shared" si="10"/>
        <v>1.3019435842440747</v>
      </c>
      <c r="S190" s="5">
        <f t="shared" si="14"/>
        <v>20.10456975</v>
      </c>
    </row>
    <row r="191" spans="1:19" x14ac:dyDescent="0.4">
      <c r="A191">
        <v>20210804</v>
      </c>
      <c r="B191" s="1">
        <v>0.9375</v>
      </c>
      <c r="C191">
        <v>-48285</v>
      </c>
      <c r="D191">
        <v>-116476</v>
      </c>
      <c r="E191">
        <v>428008</v>
      </c>
      <c r="F191">
        <v>-24521</v>
      </c>
      <c r="G191">
        <v>-60466</v>
      </c>
      <c r="H191">
        <v>114972</v>
      </c>
      <c r="I191">
        <v>-40837</v>
      </c>
      <c r="J191">
        <v>-15920</v>
      </c>
      <c r="K191">
        <v>-65993</v>
      </c>
      <c r="L191">
        <v>-31570</v>
      </c>
      <c r="M191">
        <v>9.6199999999999992</v>
      </c>
      <c r="N191">
        <f t="shared" si="11"/>
        <v>138912</v>
      </c>
      <c r="O191">
        <v>20654350</v>
      </c>
      <c r="P191" s="2">
        <f t="shared" si="12"/>
        <v>0.67255566018780544</v>
      </c>
      <c r="Q191" s="3" t="str">
        <f t="shared" si="13"/>
        <v/>
      </c>
      <c r="R191" s="2">
        <f t="shared" si="10"/>
        <v>0.67255566018780544</v>
      </c>
      <c r="S191" s="5">
        <f t="shared" si="14"/>
        <v>19.869484699999997</v>
      </c>
    </row>
    <row r="192" spans="1:19" x14ac:dyDescent="0.4">
      <c r="A192">
        <v>20210804</v>
      </c>
      <c r="B192" s="1">
        <v>0.95833333333333337</v>
      </c>
      <c r="C192">
        <v>20952</v>
      </c>
      <c r="D192">
        <v>-115623</v>
      </c>
      <c r="E192">
        <v>232952</v>
      </c>
      <c r="F192">
        <v>-32907</v>
      </c>
      <c r="G192">
        <v>-43888</v>
      </c>
      <c r="H192">
        <v>55559</v>
      </c>
      <c r="I192">
        <v>-48055</v>
      </c>
      <c r="J192">
        <v>-15841</v>
      </c>
      <c r="K192">
        <v>-137941</v>
      </c>
      <c r="L192">
        <v>-47601</v>
      </c>
      <c r="M192">
        <v>8.86</v>
      </c>
      <c r="N192">
        <f t="shared" si="11"/>
        <v>-132393</v>
      </c>
      <c r="O192">
        <v>20094750</v>
      </c>
      <c r="P192" s="2">
        <f t="shared" si="12"/>
        <v>0.65884372783936107</v>
      </c>
      <c r="Q192" s="3" t="str">
        <f t="shared" si="13"/>
        <v>〇</v>
      </c>
      <c r="R192" s="2">
        <f t="shared" si="10"/>
        <v>-0.65884372783936107</v>
      </c>
      <c r="S192" s="5">
        <f t="shared" si="14"/>
        <v>17.803948500000001</v>
      </c>
    </row>
    <row r="193" spans="1:19" x14ac:dyDescent="0.4">
      <c r="A193">
        <v>20210804</v>
      </c>
      <c r="B193" s="1">
        <v>0.97916666666666663</v>
      </c>
      <c r="C193">
        <v>-66584</v>
      </c>
      <c r="D193">
        <v>-192391</v>
      </c>
      <c r="E193">
        <v>570600</v>
      </c>
      <c r="F193">
        <v>-64611</v>
      </c>
      <c r="G193">
        <v>-33668</v>
      </c>
      <c r="H193">
        <v>59237</v>
      </c>
      <c r="I193">
        <v>-106308</v>
      </c>
      <c r="J193">
        <v>-16647</v>
      </c>
      <c r="K193">
        <v>-176654</v>
      </c>
      <c r="L193">
        <v>-39375</v>
      </c>
      <c r="M193">
        <v>7.61</v>
      </c>
      <c r="N193">
        <f t="shared" si="11"/>
        <v>-66401</v>
      </c>
      <c r="O193">
        <v>18818150</v>
      </c>
      <c r="P193" s="2">
        <f t="shared" si="12"/>
        <v>0.35285615217223798</v>
      </c>
      <c r="Q193" s="3" t="str">
        <f t="shared" si="13"/>
        <v>〇</v>
      </c>
      <c r="R193" s="2">
        <f t="shared" si="10"/>
        <v>-0.35285615217223798</v>
      </c>
      <c r="S193" s="5">
        <f t="shared" si="14"/>
        <v>14.320612150000001</v>
      </c>
    </row>
    <row r="194" spans="1:19" x14ac:dyDescent="0.4">
      <c r="A194">
        <v>20210805</v>
      </c>
      <c r="B194" s="1">
        <v>0</v>
      </c>
      <c r="C194">
        <v>-23318</v>
      </c>
      <c r="D194">
        <v>-70777</v>
      </c>
      <c r="E194">
        <v>278659</v>
      </c>
      <c r="F194">
        <v>-69904</v>
      </c>
      <c r="G194">
        <v>-45643</v>
      </c>
      <c r="H194">
        <v>-62706</v>
      </c>
      <c r="I194">
        <v>-117155</v>
      </c>
      <c r="J194">
        <v>-3789</v>
      </c>
      <c r="K194">
        <v>-143879</v>
      </c>
      <c r="L194">
        <v>-42570</v>
      </c>
      <c r="M194">
        <v>8.7200000000000006</v>
      </c>
      <c r="N194">
        <f t="shared" si="11"/>
        <v>-301082</v>
      </c>
      <c r="O194">
        <v>19364200</v>
      </c>
      <c r="P194" s="2">
        <f t="shared" si="12"/>
        <v>1.5548383098707925</v>
      </c>
      <c r="Q194" s="3" t="str">
        <f t="shared" si="13"/>
        <v>〇</v>
      </c>
      <c r="R194" s="2">
        <f t="shared" ref="R194:R257" si="15">IF(N194&lt;0,-P194,P194)</f>
        <v>-1.5548383098707925</v>
      </c>
      <c r="S194" s="5">
        <f t="shared" si="14"/>
        <v>16.885582400000001</v>
      </c>
    </row>
    <row r="195" spans="1:19" x14ac:dyDescent="0.4">
      <c r="A195">
        <v>20210805</v>
      </c>
      <c r="B195" s="1">
        <v>2.0833333333333332E-2</v>
      </c>
      <c r="C195">
        <v>10362</v>
      </c>
      <c r="D195">
        <v>-57643</v>
      </c>
      <c r="E195">
        <v>416579</v>
      </c>
      <c r="F195">
        <v>5860</v>
      </c>
      <c r="G195">
        <v>-31874</v>
      </c>
      <c r="H195">
        <v>92960</v>
      </c>
      <c r="I195">
        <v>-73525</v>
      </c>
      <c r="J195">
        <v>-14034</v>
      </c>
      <c r="K195">
        <v>-35403</v>
      </c>
      <c r="L195">
        <v>-37883</v>
      </c>
      <c r="M195">
        <v>8.0299999999999994</v>
      </c>
      <c r="N195">
        <f t="shared" ref="N195:N258" si="16">SUM(C195:L195)</f>
        <v>275399</v>
      </c>
      <c r="O195">
        <v>19820100</v>
      </c>
      <c r="P195" s="2">
        <f t="shared" ref="P195:P258" si="17">((ABS(N195)*100)/O195)</f>
        <v>1.3894934939783352</v>
      </c>
      <c r="Q195" s="3" t="str">
        <f t="shared" ref="Q195:Q258" si="18">IF(N195&lt;0,"〇","")</f>
        <v/>
      </c>
      <c r="R195" s="2">
        <f t="shared" si="15"/>
        <v>1.3894934939783352</v>
      </c>
      <c r="S195" s="5">
        <f t="shared" ref="S195:S258" si="19">(M195*O195)/10^7</f>
        <v>15.9155403</v>
      </c>
    </row>
    <row r="196" spans="1:19" x14ac:dyDescent="0.4">
      <c r="A196">
        <v>20210805</v>
      </c>
      <c r="B196" s="1">
        <v>4.1666666666666664E-2</v>
      </c>
      <c r="C196">
        <v>-18379</v>
      </c>
      <c r="D196">
        <v>-80327</v>
      </c>
      <c r="E196">
        <v>285445</v>
      </c>
      <c r="F196">
        <v>16013</v>
      </c>
      <c r="G196">
        <v>-36715</v>
      </c>
      <c r="H196">
        <v>138587</v>
      </c>
      <c r="I196">
        <v>-68900</v>
      </c>
      <c r="J196">
        <v>-10808</v>
      </c>
      <c r="K196">
        <v>-82198</v>
      </c>
      <c r="L196">
        <v>-30589</v>
      </c>
      <c r="M196">
        <v>8.1199999999999992</v>
      </c>
      <c r="N196">
        <f t="shared" si="16"/>
        <v>112129</v>
      </c>
      <c r="O196">
        <v>19915200</v>
      </c>
      <c r="P196" s="2">
        <f t="shared" si="17"/>
        <v>0.56303225676869928</v>
      </c>
      <c r="Q196" s="3" t="str">
        <f t="shared" si="18"/>
        <v/>
      </c>
      <c r="R196" s="2">
        <f t="shared" si="15"/>
        <v>0.56303225676869928</v>
      </c>
      <c r="S196" s="5">
        <f t="shared" si="19"/>
        <v>16.171142399999997</v>
      </c>
    </row>
    <row r="197" spans="1:19" x14ac:dyDescent="0.4">
      <c r="A197">
        <v>20210805</v>
      </c>
      <c r="B197" s="1">
        <v>6.25E-2</v>
      </c>
      <c r="C197">
        <v>-2726</v>
      </c>
      <c r="D197">
        <v>-118874</v>
      </c>
      <c r="E197">
        <v>354818</v>
      </c>
      <c r="F197">
        <v>56607</v>
      </c>
      <c r="G197">
        <v>-10416</v>
      </c>
      <c r="H197">
        <v>110435</v>
      </c>
      <c r="I197">
        <v>-71756</v>
      </c>
      <c r="J197">
        <v>-13505</v>
      </c>
      <c r="K197">
        <v>-80115</v>
      </c>
      <c r="L197">
        <v>-23559</v>
      </c>
      <c r="M197">
        <v>8.02</v>
      </c>
      <c r="N197">
        <f t="shared" si="16"/>
        <v>200909</v>
      </c>
      <c r="O197">
        <v>19895950</v>
      </c>
      <c r="P197" s="2">
        <f t="shared" si="17"/>
        <v>1.0097984765743782</v>
      </c>
      <c r="Q197" t="str">
        <f t="shared" si="18"/>
        <v/>
      </c>
      <c r="R197" s="2">
        <f t="shared" si="15"/>
        <v>1.0097984765743782</v>
      </c>
      <c r="S197" s="5">
        <f t="shared" si="19"/>
        <v>15.956551899999999</v>
      </c>
    </row>
    <row r="198" spans="1:19" x14ac:dyDescent="0.4">
      <c r="A198">
        <v>20210805</v>
      </c>
      <c r="B198" s="1">
        <v>8.3333333333333329E-2</v>
      </c>
      <c r="C198">
        <v>-27081</v>
      </c>
      <c r="D198">
        <v>-50163</v>
      </c>
      <c r="E198">
        <v>221122</v>
      </c>
      <c r="F198">
        <v>-6696</v>
      </c>
      <c r="G198">
        <v>7262</v>
      </c>
      <c r="H198">
        <v>125235</v>
      </c>
      <c r="I198">
        <v>-43538</v>
      </c>
      <c r="J198">
        <v>-7038</v>
      </c>
      <c r="K198">
        <v>-27542</v>
      </c>
      <c r="L198">
        <v>-16384</v>
      </c>
      <c r="M198">
        <v>8.02</v>
      </c>
      <c r="N198">
        <f t="shared" si="16"/>
        <v>175177</v>
      </c>
      <c r="O198">
        <v>20036550</v>
      </c>
      <c r="P198" s="2">
        <f t="shared" si="17"/>
        <v>0.87428724006877434</v>
      </c>
      <c r="Q198" s="3" t="str">
        <f t="shared" si="18"/>
        <v/>
      </c>
      <c r="R198" s="2">
        <f t="shared" si="15"/>
        <v>0.87428724006877434</v>
      </c>
      <c r="S198" s="5">
        <f t="shared" si="19"/>
        <v>16.069313099999999</v>
      </c>
    </row>
    <row r="199" spans="1:19" x14ac:dyDescent="0.4">
      <c r="A199">
        <v>20210805</v>
      </c>
      <c r="B199" s="1">
        <v>0.10416666666666667</v>
      </c>
      <c r="C199">
        <v>54773</v>
      </c>
      <c r="D199">
        <v>-36503</v>
      </c>
      <c r="E199">
        <v>292279</v>
      </c>
      <c r="F199">
        <v>32918</v>
      </c>
      <c r="G199">
        <v>5393</v>
      </c>
      <c r="H199">
        <v>108958</v>
      </c>
      <c r="I199">
        <v>-41329</v>
      </c>
      <c r="J199">
        <v>4095</v>
      </c>
      <c r="K199">
        <v>-5375</v>
      </c>
      <c r="L199">
        <v>-19939</v>
      </c>
      <c r="M199">
        <v>7.93</v>
      </c>
      <c r="N199">
        <f t="shared" si="16"/>
        <v>395270</v>
      </c>
      <c r="O199">
        <v>20068300</v>
      </c>
      <c r="P199" s="2">
        <f t="shared" si="17"/>
        <v>1.9696237349451622</v>
      </c>
      <c r="Q199" s="3" t="str">
        <f t="shared" si="18"/>
        <v/>
      </c>
      <c r="R199" s="2">
        <f t="shared" si="15"/>
        <v>1.9696237349451622</v>
      </c>
      <c r="S199" s="5">
        <f t="shared" si="19"/>
        <v>15.9141619</v>
      </c>
    </row>
    <row r="200" spans="1:19" x14ac:dyDescent="0.4">
      <c r="A200">
        <v>20210805</v>
      </c>
      <c r="B200" s="1">
        <v>0.125</v>
      </c>
      <c r="C200">
        <v>2764</v>
      </c>
      <c r="D200">
        <v>-42078</v>
      </c>
      <c r="E200">
        <v>293944</v>
      </c>
      <c r="F200">
        <v>66095</v>
      </c>
      <c r="G200">
        <v>-26378</v>
      </c>
      <c r="H200">
        <v>206374</v>
      </c>
      <c r="I200">
        <v>58920</v>
      </c>
      <c r="J200">
        <v>18584</v>
      </c>
      <c r="K200">
        <v>31900</v>
      </c>
      <c r="L200">
        <v>-12237</v>
      </c>
      <c r="M200">
        <v>7.46</v>
      </c>
      <c r="N200">
        <f t="shared" si="16"/>
        <v>597888</v>
      </c>
      <c r="O200">
        <v>20158700</v>
      </c>
      <c r="P200" s="2">
        <f t="shared" si="17"/>
        <v>2.9659055395437206</v>
      </c>
      <c r="Q200" s="3" t="str">
        <f t="shared" si="18"/>
        <v/>
      </c>
      <c r="R200" s="2">
        <f t="shared" si="15"/>
        <v>2.9659055395437206</v>
      </c>
      <c r="S200" s="5">
        <f t="shared" si="19"/>
        <v>15.0383902</v>
      </c>
    </row>
    <row r="201" spans="1:19" x14ac:dyDescent="0.4">
      <c r="A201">
        <v>20210805</v>
      </c>
      <c r="B201" s="1">
        <v>0.14583333333333334</v>
      </c>
      <c r="C201">
        <v>-21113</v>
      </c>
      <c r="D201">
        <v>-31036</v>
      </c>
      <c r="E201">
        <v>363954</v>
      </c>
      <c r="F201">
        <v>109170</v>
      </c>
      <c r="G201">
        <v>-10084</v>
      </c>
      <c r="H201">
        <v>84241</v>
      </c>
      <c r="I201">
        <v>42955</v>
      </c>
      <c r="J201">
        <v>44851</v>
      </c>
      <c r="K201">
        <v>32823</v>
      </c>
      <c r="L201">
        <v>-5885</v>
      </c>
      <c r="M201">
        <v>7.46</v>
      </c>
      <c r="N201">
        <f t="shared" si="16"/>
        <v>609876</v>
      </c>
      <c r="O201">
        <v>20163350</v>
      </c>
      <c r="P201" s="2">
        <f t="shared" si="17"/>
        <v>3.0246759591040178</v>
      </c>
      <c r="Q201" s="3" t="str">
        <f t="shared" si="18"/>
        <v/>
      </c>
      <c r="R201" s="2">
        <f t="shared" si="15"/>
        <v>3.0246759591040178</v>
      </c>
      <c r="S201" s="5">
        <f t="shared" si="19"/>
        <v>15.0418591</v>
      </c>
    </row>
    <row r="202" spans="1:19" x14ac:dyDescent="0.4">
      <c r="A202">
        <v>20210805</v>
      </c>
      <c r="B202" s="1">
        <v>0.16666666666666666</v>
      </c>
      <c r="C202">
        <v>-31205</v>
      </c>
      <c r="D202">
        <v>-42166</v>
      </c>
      <c r="E202">
        <v>358721</v>
      </c>
      <c r="F202">
        <v>78723</v>
      </c>
      <c r="G202">
        <v>-153</v>
      </c>
      <c r="H202">
        <v>102992</v>
      </c>
      <c r="I202">
        <v>70058</v>
      </c>
      <c r="J202">
        <v>49255</v>
      </c>
      <c r="K202">
        <v>87635</v>
      </c>
      <c r="L202">
        <v>-2100</v>
      </c>
      <c r="M202">
        <v>7.58</v>
      </c>
      <c r="N202">
        <f t="shared" si="16"/>
        <v>671760</v>
      </c>
      <c r="O202">
        <v>20112400</v>
      </c>
      <c r="P202" s="2">
        <f t="shared" si="17"/>
        <v>3.3400290368131103</v>
      </c>
      <c r="Q202" s="3" t="str">
        <f t="shared" si="18"/>
        <v/>
      </c>
      <c r="R202" s="2">
        <f t="shared" si="15"/>
        <v>3.3400290368131103</v>
      </c>
      <c r="S202" s="5">
        <f t="shared" si="19"/>
        <v>15.2451992</v>
      </c>
    </row>
    <row r="203" spans="1:19" x14ac:dyDescent="0.4">
      <c r="A203">
        <v>20210805</v>
      </c>
      <c r="B203" s="1">
        <v>0.1875</v>
      </c>
      <c r="C203">
        <v>13076</v>
      </c>
      <c r="D203">
        <v>-132343</v>
      </c>
      <c r="E203">
        <v>265868</v>
      </c>
      <c r="F203">
        <v>52128</v>
      </c>
      <c r="G203">
        <v>-22526</v>
      </c>
      <c r="H203">
        <v>99491</v>
      </c>
      <c r="I203">
        <v>41635</v>
      </c>
      <c r="J203">
        <v>33340</v>
      </c>
      <c r="K203">
        <v>81071</v>
      </c>
      <c r="L203">
        <v>-4490</v>
      </c>
      <c r="M203">
        <v>7.58</v>
      </c>
      <c r="N203">
        <f t="shared" si="16"/>
        <v>427250</v>
      </c>
      <c r="O203">
        <v>20108550</v>
      </c>
      <c r="P203" s="2">
        <f t="shared" si="17"/>
        <v>2.1247180925526705</v>
      </c>
      <c r="Q203" s="3" t="str">
        <f t="shared" si="18"/>
        <v/>
      </c>
      <c r="R203" s="2">
        <f t="shared" si="15"/>
        <v>2.1247180925526705</v>
      </c>
      <c r="S203" s="5">
        <f t="shared" si="19"/>
        <v>15.242280900000001</v>
      </c>
    </row>
    <row r="204" spans="1:19" x14ac:dyDescent="0.4">
      <c r="A204">
        <v>20210805</v>
      </c>
      <c r="B204" s="1">
        <v>0.20833333333333334</v>
      </c>
      <c r="C204">
        <v>26374</v>
      </c>
      <c r="D204">
        <v>-4721</v>
      </c>
      <c r="E204">
        <v>282180</v>
      </c>
      <c r="F204">
        <v>61060</v>
      </c>
      <c r="G204">
        <v>-24836</v>
      </c>
      <c r="H204">
        <v>230391</v>
      </c>
      <c r="I204">
        <v>54032</v>
      </c>
      <c r="J204">
        <v>38319</v>
      </c>
      <c r="K204">
        <v>79801</v>
      </c>
      <c r="L204">
        <v>-8770</v>
      </c>
      <c r="M204">
        <v>8.2899999999999991</v>
      </c>
      <c r="N204">
        <f t="shared" si="16"/>
        <v>733830</v>
      </c>
      <c r="O204">
        <v>20156400</v>
      </c>
      <c r="P204" s="2">
        <f t="shared" si="17"/>
        <v>3.6406798833124965</v>
      </c>
      <c r="Q204" t="str">
        <f t="shared" si="18"/>
        <v/>
      </c>
      <c r="R204" s="2">
        <f t="shared" si="15"/>
        <v>3.6406798833124965</v>
      </c>
      <c r="S204" s="5">
        <f t="shared" si="19"/>
        <v>16.709655599999998</v>
      </c>
    </row>
    <row r="205" spans="1:19" x14ac:dyDescent="0.4">
      <c r="A205">
        <v>20210805</v>
      </c>
      <c r="B205" s="1">
        <v>0.22916666666666666</v>
      </c>
      <c r="C205">
        <v>-7135</v>
      </c>
      <c r="D205">
        <v>-51810</v>
      </c>
      <c r="E205">
        <v>173806</v>
      </c>
      <c r="F205">
        <v>10174</v>
      </c>
      <c r="G205">
        <v>-17683</v>
      </c>
      <c r="H205">
        <v>191175</v>
      </c>
      <c r="I205">
        <v>61927</v>
      </c>
      <c r="J205">
        <v>54825</v>
      </c>
      <c r="K205">
        <v>94419</v>
      </c>
      <c r="L205">
        <v>-7285</v>
      </c>
      <c r="M205">
        <v>7.93</v>
      </c>
      <c r="N205">
        <f t="shared" si="16"/>
        <v>502413</v>
      </c>
      <c r="O205">
        <v>20102600</v>
      </c>
      <c r="P205" s="2">
        <f t="shared" si="17"/>
        <v>2.4992438789012366</v>
      </c>
      <c r="Q205" s="3" t="str">
        <f t="shared" si="18"/>
        <v/>
      </c>
      <c r="R205" s="2">
        <f t="shared" si="15"/>
        <v>2.4992438789012366</v>
      </c>
      <c r="S205" s="5">
        <f t="shared" si="19"/>
        <v>15.941361799999999</v>
      </c>
    </row>
    <row r="206" spans="1:19" x14ac:dyDescent="0.4">
      <c r="A206">
        <v>20210805</v>
      </c>
      <c r="B206" s="1">
        <v>0.25</v>
      </c>
      <c r="C206">
        <v>49744</v>
      </c>
      <c r="D206">
        <v>189536</v>
      </c>
      <c r="E206">
        <v>181736</v>
      </c>
      <c r="F206">
        <v>-31822</v>
      </c>
      <c r="G206">
        <v>-21209</v>
      </c>
      <c r="H206">
        <v>-333</v>
      </c>
      <c r="I206">
        <v>15077</v>
      </c>
      <c r="J206">
        <v>76762</v>
      </c>
      <c r="K206">
        <v>40518</v>
      </c>
      <c r="L206">
        <v>-4404</v>
      </c>
      <c r="M206">
        <v>7.9</v>
      </c>
      <c r="N206">
        <f t="shared" si="16"/>
        <v>495605</v>
      </c>
      <c r="O206">
        <v>20856250</v>
      </c>
      <c r="P206" s="2">
        <f t="shared" si="17"/>
        <v>2.3762900809109979</v>
      </c>
      <c r="Q206" s="3" t="str">
        <f t="shared" si="18"/>
        <v/>
      </c>
      <c r="R206" s="2">
        <f t="shared" si="15"/>
        <v>2.3762900809109979</v>
      </c>
      <c r="S206" s="5">
        <f t="shared" si="19"/>
        <v>16.476437499999999</v>
      </c>
    </row>
    <row r="207" spans="1:19" x14ac:dyDescent="0.4">
      <c r="A207">
        <v>20210805</v>
      </c>
      <c r="B207" s="1">
        <v>0.27083333333333331</v>
      </c>
      <c r="C207">
        <v>40226</v>
      </c>
      <c r="D207">
        <v>213537</v>
      </c>
      <c r="E207">
        <v>198860</v>
      </c>
      <c r="F207">
        <v>112189</v>
      </c>
      <c r="G207">
        <v>-12970</v>
      </c>
      <c r="H207">
        <v>-116556</v>
      </c>
      <c r="I207">
        <v>-82268</v>
      </c>
      <c r="J207">
        <v>52242</v>
      </c>
      <c r="K207">
        <v>-57700</v>
      </c>
      <c r="L207">
        <v>-9970</v>
      </c>
      <c r="M207">
        <v>7.45</v>
      </c>
      <c r="N207">
        <f t="shared" si="16"/>
        <v>337590</v>
      </c>
      <c r="O207">
        <v>21547550</v>
      </c>
      <c r="P207" s="2">
        <f t="shared" si="17"/>
        <v>1.5667210425315174</v>
      </c>
      <c r="Q207" s="3" t="str">
        <f t="shared" si="18"/>
        <v/>
      </c>
      <c r="R207" s="2">
        <f t="shared" si="15"/>
        <v>1.5667210425315174</v>
      </c>
      <c r="S207" s="5">
        <f t="shared" si="19"/>
        <v>16.052924749999999</v>
      </c>
    </row>
    <row r="208" spans="1:19" x14ac:dyDescent="0.4">
      <c r="A208">
        <v>20210805</v>
      </c>
      <c r="B208" s="1">
        <v>0.29166666666666669</v>
      </c>
      <c r="C208">
        <v>147047</v>
      </c>
      <c r="D208">
        <v>382301</v>
      </c>
      <c r="E208">
        <v>383835</v>
      </c>
      <c r="F208">
        <v>73074</v>
      </c>
      <c r="G208">
        <v>-2904</v>
      </c>
      <c r="H208">
        <v>-134177</v>
      </c>
      <c r="I208">
        <v>-50851</v>
      </c>
      <c r="J208">
        <v>27123</v>
      </c>
      <c r="K208">
        <v>-34896</v>
      </c>
      <c r="L208">
        <v>-9083</v>
      </c>
      <c r="M208">
        <v>7.46</v>
      </c>
      <c r="N208">
        <f t="shared" si="16"/>
        <v>781469</v>
      </c>
      <c r="O208">
        <v>22623350</v>
      </c>
      <c r="P208" s="2">
        <f t="shared" si="17"/>
        <v>3.4542585426119472</v>
      </c>
      <c r="Q208" s="3" t="str">
        <f t="shared" si="18"/>
        <v/>
      </c>
      <c r="R208" s="2">
        <f t="shared" si="15"/>
        <v>3.4542585426119472</v>
      </c>
      <c r="S208" s="5">
        <f t="shared" si="19"/>
        <v>16.877019099999998</v>
      </c>
    </row>
    <row r="209" spans="1:19" x14ac:dyDescent="0.4">
      <c r="A209">
        <v>20210805</v>
      </c>
      <c r="B209" s="1">
        <v>0.3125</v>
      </c>
      <c r="C209">
        <v>148296</v>
      </c>
      <c r="D209">
        <v>504787</v>
      </c>
      <c r="E209">
        <v>704627</v>
      </c>
      <c r="F209">
        <v>21858</v>
      </c>
      <c r="G209">
        <v>-27720</v>
      </c>
      <c r="H209">
        <v>-61330</v>
      </c>
      <c r="I209">
        <v>16239</v>
      </c>
      <c r="J209">
        <v>28370</v>
      </c>
      <c r="K209">
        <v>56226</v>
      </c>
      <c r="L209">
        <v>-23762</v>
      </c>
      <c r="M209">
        <v>8.86</v>
      </c>
      <c r="N209">
        <f t="shared" si="16"/>
        <v>1367591</v>
      </c>
      <c r="O209">
        <v>22919500</v>
      </c>
      <c r="P209" s="2">
        <f t="shared" si="17"/>
        <v>5.9669320883963435</v>
      </c>
      <c r="Q209" s="3" t="str">
        <f t="shared" si="18"/>
        <v/>
      </c>
      <c r="R209" s="2">
        <f t="shared" si="15"/>
        <v>5.9669320883963435</v>
      </c>
      <c r="S209" s="5">
        <f t="shared" si="19"/>
        <v>20.306677000000001</v>
      </c>
    </row>
    <row r="210" spans="1:19" x14ac:dyDescent="0.4">
      <c r="A210">
        <v>20210805</v>
      </c>
      <c r="B210" s="1">
        <v>0.33333333333333331</v>
      </c>
      <c r="C210">
        <v>146262</v>
      </c>
      <c r="D210">
        <v>606611</v>
      </c>
      <c r="E210">
        <v>671348</v>
      </c>
      <c r="F210">
        <v>125694</v>
      </c>
      <c r="G210">
        <v>-4470</v>
      </c>
      <c r="H210">
        <v>-166612</v>
      </c>
      <c r="I210">
        <v>64153</v>
      </c>
      <c r="J210">
        <v>35135</v>
      </c>
      <c r="K210">
        <v>38333</v>
      </c>
      <c r="L210">
        <v>-9685</v>
      </c>
      <c r="M210">
        <v>8.86</v>
      </c>
      <c r="N210">
        <f t="shared" si="16"/>
        <v>1506769</v>
      </c>
      <c r="O210">
        <v>24598550</v>
      </c>
      <c r="P210" s="2">
        <f t="shared" si="17"/>
        <v>6.1254382880291729</v>
      </c>
      <c r="Q210" s="3" t="str">
        <f t="shared" si="18"/>
        <v/>
      </c>
      <c r="R210" s="2">
        <f t="shared" si="15"/>
        <v>6.1254382880291729</v>
      </c>
      <c r="S210" s="5">
        <f t="shared" si="19"/>
        <v>21.794315300000001</v>
      </c>
    </row>
    <row r="211" spans="1:19" x14ac:dyDescent="0.4">
      <c r="A211">
        <v>20210805</v>
      </c>
      <c r="B211" s="1">
        <v>0.35416666666666669</v>
      </c>
      <c r="C211">
        <v>236260</v>
      </c>
      <c r="D211">
        <v>485221</v>
      </c>
      <c r="E211">
        <v>357280</v>
      </c>
      <c r="F211">
        <v>-72546</v>
      </c>
      <c r="G211">
        <v>30081</v>
      </c>
      <c r="H211">
        <v>-69992</v>
      </c>
      <c r="I211">
        <v>-29900</v>
      </c>
      <c r="J211">
        <v>42174</v>
      </c>
      <c r="K211">
        <v>115699</v>
      </c>
      <c r="L211">
        <v>-27006</v>
      </c>
      <c r="M211">
        <v>8.86</v>
      </c>
      <c r="N211">
        <f t="shared" si="16"/>
        <v>1067271</v>
      </c>
      <c r="O211">
        <v>25540150</v>
      </c>
      <c r="P211" s="2">
        <f t="shared" si="17"/>
        <v>4.1787969138787364</v>
      </c>
      <c r="Q211" t="str">
        <f t="shared" si="18"/>
        <v/>
      </c>
      <c r="R211" s="2">
        <f t="shared" si="15"/>
        <v>4.1787969138787364</v>
      </c>
      <c r="S211" s="5">
        <f t="shared" si="19"/>
        <v>22.628572900000002</v>
      </c>
    </row>
    <row r="212" spans="1:19" x14ac:dyDescent="0.4">
      <c r="A212">
        <v>20210805</v>
      </c>
      <c r="B212" s="1">
        <v>0.375</v>
      </c>
      <c r="C212">
        <v>143322</v>
      </c>
      <c r="D212">
        <v>537208</v>
      </c>
      <c r="E212">
        <v>422027</v>
      </c>
      <c r="F212">
        <v>48741</v>
      </c>
      <c r="G212">
        <v>37367</v>
      </c>
      <c r="H212">
        <v>-121397</v>
      </c>
      <c r="I212">
        <v>69938</v>
      </c>
      <c r="J212">
        <v>50954</v>
      </c>
      <c r="K212">
        <v>-52946</v>
      </c>
      <c r="L212">
        <v>-26159</v>
      </c>
      <c r="M212">
        <v>9.6199999999999992</v>
      </c>
      <c r="N212">
        <f t="shared" si="16"/>
        <v>1109055</v>
      </c>
      <c r="O212">
        <v>26185900</v>
      </c>
      <c r="P212" s="2">
        <f t="shared" si="17"/>
        <v>4.2353136611687967</v>
      </c>
      <c r="Q212" s="3" t="str">
        <f t="shared" si="18"/>
        <v/>
      </c>
      <c r="R212" s="2">
        <f t="shared" si="15"/>
        <v>4.2353136611687967</v>
      </c>
      <c r="S212" s="5">
        <f t="shared" si="19"/>
        <v>25.190835799999999</v>
      </c>
    </row>
    <row r="213" spans="1:19" x14ac:dyDescent="0.4">
      <c r="A213">
        <v>20210805</v>
      </c>
      <c r="B213" s="1">
        <v>0.39583333333333331</v>
      </c>
      <c r="C213">
        <v>175897</v>
      </c>
      <c r="D213">
        <v>498347</v>
      </c>
      <c r="E213">
        <v>243173</v>
      </c>
      <c r="F213">
        <v>-102562</v>
      </c>
      <c r="G213">
        <v>50777</v>
      </c>
      <c r="H213">
        <v>-31808</v>
      </c>
      <c r="I213">
        <v>79898</v>
      </c>
      <c r="J213">
        <v>47211</v>
      </c>
      <c r="K213">
        <v>-23682</v>
      </c>
      <c r="L213">
        <v>-36837</v>
      </c>
      <c r="M213">
        <v>9.69</v>
      </c>
      <c r="N213">
        <f t="shared" si="16"/>
        <v>900414</v>
      </c>
      <c r="O213">
        <v>26628950</v>
      </c>
      <c r="P213" s="2">
        <f t="shared" si="17"/>
        <v>3.3813349756561939</v>
      </c>
      <c r="Q213" s="3" t="str">
        <f t="shared" si="18"/>
        <v/>
      </c>
      <c r="R213" s="2">
        <f t="shared" si="15"/>
        <v>3.3813349756561939</v>
      </c>
      <c r="S213" s="5">
        <f t="shared" si="19"/>
        <v>25.803452549999999</v>
      </c>
    </row>
    <row r="214" spans="1:19" x14ac:dyDescent="0.4">
      <c r="A214">
        <v>20210805</v>
      </c>
      <c r="B214" s="1">
        <v>0.41666666666666669</v>
      </c>
      <c r="C214">
        <v>119162</v>
      </c>
      <c r="D214">
        <v>475496</v>
      </c>
      <c r="E214">
        <v>391285</v>
      </c>
      <c r="F214">
        <v>-75812</v>
      </c>
      <c r="G214">
        <v>26290</v>
      </c>
      <c r="H214">
        <v>8270</v>
      </c>
      <c r="I214">
        <v>132447</v>
      </c>
      <c r="J214">
        <v>31862</v>
      </c>
      <c r="K214">
        <v>-92596</v>
      </c>
      <c r="L214">
        <v>-37634</v>
      </c>
      <c r="M214">
        <v>9.81</v>
      </c>
      <c r="N214">
        <f t="shared" si="16"/>
        <v>978770</v>
      </c>
      <c r="O214">
        <v>26970800</v>
      </c>
      <c r="P214" s="2">
        <f t="shared" si="17"/>
        <v>3.628998769039109</v>
      </c>
      <c r="Q214" s="3" t="str">
        <f t="shared" si="18"/>
        <v/>
      </c>
      <c r="R214" s="2">
        <f t="shared" si="15"/>
        <v>3.628998769039109</v>
      </c>
      <c r="S214" s="5">
        <f t="shared" si="19"/>
        <v>26.458354799999999</v>
      </c>
    </row>
    <row r="215" spans="1:19" x14ac:dyDescent="0.4">
      <c r="A215">
        <v>20210805</v>
      </c>
      <c r="B215" s="1">
        <v>0.4375</v>
      </c>
      <c r="C215">
        <v>93091</v>
      </c>
      <c r="D215">
        <v>437886</v>
      </c>
      <c r="E215">
        <v>289384</v>
      </c>
      <c r="F215">
        <v>-63657</v>
      </c>
      <c r="G215">
        <v>35923</v>
      </c>
      <c r="H215">
        <v>-16875</v>
      </c>
      <c r="I215">
        <v>48914</v>
      </c>
      <c r="J215">
        <v>9749</v>
      </c>
      <c r="K215">
        <v>-83208</v>
      </c>
      <c r="L215">
        <v>-31233</v>
      </c>
      <c r="M215">
        <v>9.8800000000000008</v>
      </c>
      <c r="N215">
        <f t="shared" si="16"/>
        <v>719974</v>
      </c>
      <c r="O215">
        <v>27281900</v>
      </c>
      <c r="P215" s="2">
        <f t="shared" si="17"/>
        <v>2.6390170772563493</v>
      </c>
      <c r="Q215" s="3" t="str">
        <f t="shared" si="18"/>
        <v/>
      </c>
      <c r="R215" s="2">
        <f t="shared" si="15"/>
        <v>2.6390170772563493</v>
      </c>
      <c r="S215" s="5">
        <f t="shared" si="19"/>
        <v>26.954517200000002</v>
      </c>
    </row>
    <row r="216" spans="1:19" x14ac:dyDescent="0.4">
      <c r="A216">
        <v>20210805</v>
      </c>
      <c r="B216" s="1">
        <v>0.45833333333333331</v>
      </c>
      <c r="C216">
        <v>87945</v>
      </c>
      <c r="D216">
        <v>343253</v>
      </c>
      <c r="E216">
        <v>196615</v>
      </c>
      <c r="F216">
        <v>-124079</v>
      </c>
      <c r="G216">
        <v>28740</v>
      </c>
      <c r="H216">
        <v>-149865</v>
      </c>
      <c r="I216">
        <v>35012</v>
      </c>
      <c r="J216">
        <v>-13074</v>
      </c>
      <c r="K216">
        <v>-62041</v>
      </c>
      <c r="L216">
        <v>-20449</v>
      </c>
      <c r="M216">
        <v>9.9600000000000009</v>
      </c>
      <c r="N216">
        <f t="shared" si="16"/>
        <v>322057</v>
      </c>
      <c r="O216">
        <v>27664100</v>
      </c>
      <c r="P216" s="2">
        <f t="shared" si="17"/>
        <v>1.1641694470450874</v>
      </c>
      <c r="Q216" s="3" t="str">
        <f t="shared" si="18"/>
        <v/>
      </c>
      <c r="R216" s="2">
        <f t="shared" si="15"/>
        <v>1.1641694470450874</v>
      </c>
      <c r="S216" s="5">
        <f t="shared" si="19"/>
        <v>27.553443600000001</v>
      </c>
    </row>
    <row r="217" spans="1:19" x14ac:dyDescent="0.4">
      <c r="A217">
        <v>20210805</v>
      </c>
      <c r="B217" s="1">
        <v>0.47916666666666669</v>
      </c>
      <c r="C217">
        <v>25358</v>
      </c>
      <c r="D217">
        <v>273582</v>
      </c>
      <c r="E217">
        <v>293023</v>
      </c>
      <c r="F217">
        <v>-172408</v>
      </c>
      <c r="G217">
        <v>37777</v>
      </c>
      <c r="H217">
        <v>-170000</v>
      </c>
      <c r="I217">
        <v>43005</v>
      </c>
      <c r="J217">
        <v>-13240</v>
      </c>
      <c r="K217">
        <v>25299</v>
      </c>
      <c r="L217">
        <v>-13309</v>
      </c>
      <c r="M217">
        <v>10.27</v>
      </c>
      <c r="N217">
        <f t="shared" si="16"/>
        <v>329087</v>
      </c>
      <c r="O217">
        <v>27701450</v>
      </c>
      <c r="P217" s="2">
        <f t="shared" si="17"/>
        <v>1.187977524642212</v>
      </c>
      <c r="Q217" s="3" t="str">
        <f t="shared" si="18"/>
        <v/>
      </c>
      <c r="R217" s="2">
        <f t="shared" si="15"/>
        <v>1.187977524642212</v>
      </c>
      <c r="S217" s="5">
        <f t="shared" si="19"/>
        <v>28.449389149999998</v>
      </c>
    </row>
    <row r="218" spans="1:19" x14ac:dyDescent="0.4">
      <c r="A218">
        <v>20210805</v>
      </c>
      <c r="B218" s="1">
        <v>0.5</v>
      </c>
      <c r="C218">
        <v>19258</v>
      </c>
      <c r="D218">
        <v>165381</v>
      </c>
      <c r="E218">
        <v>387752</v>
      </c>
      <c r="F218">
        <v>-152033</v>
      </c>
      <c r="G218">
        <v>21510</v>
      </c>
      <c r="H218">
        <v>-306844</v>
      </c>
      <c r="I218">
        <v>-44315</v>
      </c>
      <c r="J218">
        <v>-2157</v>
      </c>
      <c r="K218">
        <v>6573</v>
      </c>
      <c r="L218">
        <v>-1419</v>
      </c>
      <c r="M218">
        <v>9.6999999999999993</v>
      </c>
      <c r="N218">
        <f t="shared" si="16"/>
        <v>93706</v>
      </c>
      <c r="O218">
        <v>27633900</v>
      </c>
      <c r="P218" s="2">
        <f t="shared" si="17"/>
        <v>0.33909799195915163</v>
      </c>
      <c r="Q218" t="str">
        <f t="shared" si="18"/>
        <v/>
      </c>
      <c r="R218" s="2">
        <f t="shared" si="15"/>
        <v>0.33909799195915163</v>
      </c>
      <c r="S218" s="5">
        <f t="shared" si="19"/>
        <v>26.804882999999997</v>
      </c>
    </row>
    <row r="219" spans="1:19" x14ac:dyDescent="0.4">
      <c r="A219">
        <v>20210805</v>
      </c>
      <c r="B219" s="1">
        <v>0.52083333333333337</v>
      </c>
      <c r="C219">
        <v>46059</v>
      </c>
      <c r="D219">
        <v>176050</v>
      </c>
      <c r="E219">
        <v>387840</v>
      </c>
      <c r="F219">
        <v>-190563</v>
      </c>
      <c r="G219">
        <v>30056</v>
      </c>
      <c r="H219">
        <v>-453127</v>
      </c>
      <c r="I219">
        <v>-100843</v>
      </c>
      <c r="J219">
        <v>-11135</v>
      </c>
      <c r="K219">
        <v>-28751</v>
      </c>
      <c r="L219">
        <v>11244</v>
      </c>
      <c r="M219">
        <v>9.67</v>
      </c>
      <c r="N219">
        <f t="shared" si="16"/>
        <v>-133170</v>
      </c>
      <c r="O219">
        <v>27707700</v>
      </c>
      <c r="P219" s="2">
        <f t="shared" si="17"/>
        <v>0.4806245195378902</v>
      </c>
      <c r="Q219" s="3" t="str">
        <f t="shared" si="18"/>
        <v>〇</v>
      </c>
      <c r="R219" s="2">
        <f t="shared" si="15"/>
        <v>-0.4806245195378902</v>
      </c>
      <c r="S219" s="5">
        <f t="shared" si="19"/>
        <v>26.793345899999998</v>
      </c>
    </row>
    <row r="220" spans="1:19" x14ac:dyDescent="0.4">
      <c r="A220">
        <v>20210805</v>
      </c>
      <c r="B220" s="1">
        <v>0.54166666666666663</v>
      </c>
      <c r="C220">
        <v>3384</v>
      </c>
      <c r="D220">
        <v>135078</v>
      </c>
      <c r="E220">
        <v>178435</v>
      </c>
      <c r="F220">
        <v>-1459</v>
      </c>
      <c r="G220">
        <v>62109</v>
      </c>
      <c r="H220">
        <v>-219602</v>
      </c>
      <c r="I220">
        <v>-79672</v>
      </c>
      <c r="J220">
        <v>2033</v>
      </c>
      <c r="K220">
        <v>121056</v>
      </c>
      <c r="L220">
        <v>31719</v>
      </c>
      <c r="M220">
        <v>10.27</v>
      </c>
      <c r="N220">
        <f t="shared" si="16"/>
        <v>233081</v>
      </c>
      <c r="O220">
        <v>27278100</v>
      </c>
      <c r="P220" s="2">
        <f t="shared" si="17"/>
        <v>0.85446200431848263</v>
      </c>
      <c r="Q220" s="3" t="str">
        <f t="shared" si="18"/>
        <v/>
      </c>
      <c r="R220" s="2">
        <f t="shared" si="15"/>
        <v>0.85446200431848263</v>
      </c>
      <c r="S220" s="5">
        <f t="shared" si="19"/>
        <v>28.0146087</v>
      </c>
    </row>
    <row r="221" spans="1:19" x14ac:dyDescent="0.4">
      <c r="A221">
        <v>20210805</v>
      </c>
      <c r="B221" s="1">
        <v>0.5625</v>
      </c>
      <c r="C221">
        <v>29872</v>
      </c>
      <c r="D221">
        <v>93891</v>
      </c>
      <c r="E221">
        <v>285119</v>
      </c>
      <c r="F221">
        <v>5734</v>
      </c>
      <c r="G221">
        <v>41899</v>
      </c>
      <c r="H221">
        <v>21973</v>
      </c>
      <c r="I221">
        <v>-6294</v>
      </c>
      <c r="J221">
        <v>16085</v>
      </c>
      <c r="K221">
        <v>104322</v>
      </c>
      <c r="L221">
        <v>32880</v>
      </c>
      <c r="M221">
        <v>10.4</v>
      </c>
      <c r="N221">
        <f t="shared" si="16"/>
        <v>625481</v>
      </c>
      <c r="O221">
        <v>27486200</v>
      </c>
      <c r="P221" s="2">
        <f t="shared" si="17"/>
        <v>2.2756183102793401</v>
      </c>
      <c r="Q221" s="3" t="str">
        <f t="shared" si="18"/>
        <v/>
      </c>
      <c r="R221" s="2">
        <f t="shared" si="15"/>
        <v>2.2756183102793401</v>
      </c>
      <c r="S221" s="5">
        <f t="shared" si="19"/>
        <v>28.585647999999999</v>
      </c>
    </row>
    <row r="222" spans="1:19" x14ac:dyDescent="0.4">
      <c r="A222">
        <v>20210805</v>
      </c>
      <c r="B222" s="1">
        <v>0.58333333333333337</v>
      </c>
      <c r="C222">
        <v>12029</v>
      </c>
      <c r="D222">
        <v>-4447</v>
      </c>
      <c r="E222">
        <v>403727</v>
      </c>
      <c r="F222">
        <v>-71354</v>
      </c>
      <c r="G222">
        <v>54392</v>
      </c>
      <c r="H222">
        <v>-48917</v>
      </c>
      <c r="I222">
        <v>-4936</v>
      </c>
      <c r="J222">
        <v>20022</v>
      </c>
      <c r="K222">
        <v>153501</v>
      </c>
      <c r="L222">
        <v>33567</v>
      </c>
      <c r="M222">
        <v>10.81</v>
      </c>
      <c r="N222">
        <f t="shared" si="16"/>
        <v>547584</v>
      </c>
      <c r="O222">
        <v>27481350</v>
      </c>
      <c r="P222" s="2">
        <f t="shared" si="17"/>
        <v>1.9925658673973441</v>
      </c>
      <c r="Q222" s="3" t="str">
        <f t="shared" si="18"/>
        <v/>
      </c>
      <c r="R222" s="2">
        <f t="shared" si="15"/>
        <v>1.9925658673973441</v>
      </c>
      <c r="S222" s="5">
        <f t="shared" si="19"/>
        <v>29.707339350000002</v>
      </c>
    </row>
    <row r="223" spans="1:19" x14ac:dyDescent="0.4">
      <c r="A223">
        <v>20210805</v>
      </c>
      <c r="B223" s="1">
        <v>0.60416666666666663</v>
      </c>
      <c r="C223">
        <v>48761</v>
      </c>
      <c r="D223">
        <v>56306</v>
      </c>
      <c r="E223">
        <v>308553</v>
      </c>
      <c r="F223">
        <v>-136226</v>
      </c>
      <c r="G223">
        <v>53525</v>
      </c>
      <c r="H223">
        <v>17320</v>
      </c>
      <c r="I223">
        <v>53959</v>
      </c>
      <c r="J223">
        <v>8379</v>
      </c>
      <c r="K223">
        <v>236816</v>
      </c>
      <c r="L223">
        <v>36828</v>
      </c>
      <c r="M223">
        <v>12.08</v>
      </c>
      <c r="N223">
        <f t="shared" si="16"/>
        <v>684221</v>
      </c>
      <c r="O223">
        <v>26944350</v>
      </c>
      <c r="P223" s="2">
        <f t="shared" si="17"/>
        <v>2.5393858081564411</v>
      </c>
      <c r="Q223" s="3" t="str">
        <f t="shared" si="18"/>
        <v/>
      </c>
      <c r="R223" s="2">
        <f t="shared" si="15"/>
        <v>2.5393858081564411</v>
      </c>
      <c r="S223" s="5">
        <f t="shared" si="19"/>
        <v>32.548774799999997</v>
      </c>
    </row>
    <row r="224" spans="1:19" x14ac:dyDescent="0.4">
      <c r="A224">
        <v>20210805</v>
      </c>
      <c r="B224" s="1">
        <v>0.625</v>
      </c>
      <c r="C224">
        <v>-50290</v>
      </c>
      <c r="D224">
        <v>-89920</v>
      </c>
      <c r="E224">
        <v>193055</v>
      </c>
      <c r="F224">
        <v>407945</v>
      </c>
      <c r="G224">
        <v>77977</v>
      </c>
      <c r="H224">
        <v>92491</v>
      </c>
      <c r="I224">
        <v>62713</v>
      </c>
      <c r="J224">
        <v>-736</v>
      </c>
      <c r="K224">
        <v>222233</v>
      </c>
      <c r="L224">
        <v>42219</v>
      </c>
      <c r="M224">
        <v>14.16</v>
      </c>
      <c r="N224">
        <f t="shared" si="16"/>
        <v>957687</v>
      </c>
      <c r="O224">
        <v>26498200</v>
      </c>
      <c r="P224" s="2">
        <f t="shared" si="17"/>
        <v>3.6141586975719107</v>
      </c>
      <c r="Q224" s="3" t="str">
        <f t="shared" si="18"/>
        <v/>
      </c>
      <c r="R224" s="2">
        <f t="shared" si="15"/>
        <v>3.6141586975719107</v>
      </c>
      <c r="S224" s="5">
        <f t="shared" si="19"/>
        <v>37.521451200000001</v>
      </c>
    </row>
    <row r="225" spans="1:19" x14ac:dyDescent="0.4">
      <c r="A225">
        <v>20210805</v>
      </c>
      <c r="B225" s="1">
        <v>0.64583333333333337</v>
      </c>
      <c r="C225">
        <v>5217</v>
      </c>
      <c r="D225">
        <v>-152940</v>
      </c>
      <c r="E225">
        <v>-216319</v>
      </c>
      <c r="F225">
        <v>68251</v>
      </c>
      <c r="G225">
        <v>47112</v>
      </c>
      <c r="H225">
        <v>50568</v>
      </c>
      <c r="I225">
        <v>71320</v>
      </c>
      <c r="J225">
        <v>-37358</v>
      </c>
      <c r="K225">
        <v>170857</v>
      </c>
      <c r="L225">
        <v>34762</v>
      </c>
      <c r="M225">
        <v>17</v>
      </c>
      <c r="N225">
        <f t="shared" si="16"/>
        <v>41470</v>
      </c>
      <c r="O225">
        <v>25795300</v>
      </c>
      <c r="P225" s="2">
        <f t="shared" si="17"/>
        <v>0.16076572088713836</v>
      </c>
      <c r="Q225" t="str">
        <f t="shared" si="18"/>
        <v/>
      </c>
      <c r="R225" s="2">
        <f t="shared" si="15"/>
        <v>0.16076572088713836</v>
      </c>
      <c r="S225" s="5">
        <f t="shared" si="19"/>
        <v>43.85201</v>
      </c>
    </row>
    <row r="226" spans="1:19" x14ac:dyDescent="0.4">
      <c r="A226">
        <v>20210805</v>
      </c>
      <c r="B226" s="1">
        <v>0.66666666666666663</v>
      </c>
      <c r="C226">
        <v>1010</v>
      </c>
      <c r="D226">
        <v>86849</v>
      </c>
      <c r="E226">
        <v>-422877</v>
      </c>
      <c r="F226">
        <v>90665</v>
      </c>
      <c r="G226">
        <v>23570</v>
      </c>
      <c r="H226">
        <v>-34051</v>
      </c>
      <c r="I226">
        <v>711142</v>
      </c>
      <c r="J226">
        <v>-67985</v>
      </c>
      <c r="K226">
        <v>31645</v>
      </c>
      <c r="L226">
        <v>33981</v>
      </c>
      <c r="M226">
        <v>19.010000000000002</v>
      </c>
      <c r="N226">
        <f t="shared" si="16"/>
        <v>453949</v>
      </c>
      <c r="O226">
        <v>25960050</v>
      </c>
      <c r="P226" s="2">
        <f t="shared" si="17"/>
        <v>1.7486445519172729</v>
      </c>
      <c r="Q226" s="3" t="str">
        <f t="shared" si="18"/>
        <v/>
      </c>
      <c r="R226" s="2">
        <f t="shared" si="15"/>
        <v>1.7486445519172729</v>
      </c>
      <c r="S226" s="5">
        <f t="shared" si="19"/>
        <v>49.350055050000009</v>
      </c>
    </row>
    <row r="227" spans="1:19" x14ac:dyDescent="0.4">
      <c r="A227">
        <v>20210805</v>
      </c>
      <c r="B227" s="1">
        <v>0.6875</v>
      </c>
      <c r="C227">
        <v>-35694</v>
      </c>
      <c r="D227">
        <v>-38088</v>
      </c>
      <c r="E227">
        <v>-615853</v>
      </c>
      <c r="F227">
        <v>104344</v>
      </c>
      <c r="G227">
        <v>32978</v>
      </c>
      <c r="H227">
        <v>-68246</v>
      </c>
      <c r="I227">
        <v>504287</v>
      </c>
      <c r="J227">
        <v>-106508</v>
      </c>
      <c r="K227">
        <v>11146</v>
      </c>
      <c r="L227">
        <v>23653</v>
      </c>
      <c r="M227">
        <v>25</v>
      </c>
      <c r="N227">
        <f t="shared" si="16"/>
        <v>-187981</v>
      </c>
      <c r="O227">
        <v>25273400</v>
      </c>
      <c r="P227" s="2">
        <f t="shared" si="17"/>
        <v>0.74378991350589951</v>
      </c>
      <c r="Q227" s="3" t="str">
        <f t="shared" si="18"/>
        <v>〇</v>
      </c>
      <c r="R227" s="2">
        <f t="shared" si="15"/>
        <v>-0.74378991350589951</v>
      </c>
      <c r="S227" s="5">
        <f t="shared" si="19"/>
        <v>63.183500000000002</v>
      </c>
    </row>
    <row r="228" spans="1:19" x14ac:dyDescent="0.4">
      <c r="A228">
        <v>20210805</v>
      </c>
      <c r="B228" s="1">
        <v>0.70833333333333337</v>
      </c>
      <c r="C228">
        <v>-33151</v>
      </c>
      <c r="D228">
        <v>-111314</v>
      </c>
      <c r="E228">
        <v>-517714</v>
      </c>
      <c r="F228">
        <v>324738</v>
      </c>
      <c r="G228">
        <v>61644</v>
      </c>
      <c r="H228">
        <v>-122797</v>
      </c>
      <c r="I228">
        <v>-40072</v>
      </c>
      <c r="J228">
        <v>-129082</v>
      </c>
      <c r="K228">
        <v>-132848</v>
      </c>
      <c r="L228">
        <v>20135</v>
      </c>
      <c r="M228">
        <v>20.010000000000002</v>
      </c>
      <c r="N228">
        <f t="shared" si="16"/>
        <v>-680461</v>
      </c>
      <c r="O228">
        <v>24638500</v>
      </c>
      <c r="P228" s="2">
        <f t="shared" si="17"/>
        <v>2.761779329098768</v>
      </c>
      <c r="Q228" s="3" t="str">
        <f t="shared" si="18"/>
        <v>〇</v>
      </c>
      <c r="R228" s="2">
        <f t="shared" si="15"/>
        <v>-2.761779329098768</v>
      </c>
      <c r="S228" s="5">
        <f t="shared" si="19"/>
        <v>49.301638500000003</v>
      </c>
    </row>
    <row r="229" spans="1:19" x14ac:dyDescent="0.4">
      <c r="A229">
        <v>20210805</v>
      </c>
      <c r="B229" s="1">
        <v>0.72916666666666663</v>
      </c>
      <c r="C229">
        <v>-29909</v>
      </c>
      <c r="D229">
        <v>-153638</v>
      </c>
      <c r="E229">
        <v>-236237</v>
      </c>
      <c r="F229">
        <v>314637</v>
      </c>
      <c r="G229">
        <v>75517</v>
      </c>
      <c r="H229">
        <v>-256951</v>
      </c>
      <c r="I229">
        <v>-103537</v>
      </c>
      <c r="J229">
        <v>-160732</v>
      </c>
      <c r="K229">
        <v>-309714</v>
      </c>
      <c r="L229">
        <v>19696</v>
      </c>
      <c r="M229">
        <v>20.81</v>
      </c>
      <c r="N229">
        <f t="shared" si="16"/>
        <v>-840868</v>
      </c>
      <c r="O229">
        <v>24009400</v>
      </c>
      <c r="P229" s="2">
        <f t="shared" si="17"/>
        <v>3.5022449540596599</v>
      </c>
      <c r="Q229" s="3" t="str">
        <f t="shared" si="18"/>
        <v>〇</v>
      </c>
      <c r="R229" s="2">
        <f t="shared" si="15"/>
        <v>-3.5022449540596599</v>
      </c>
      <c r="S229" s="5">
        <f t="shared" si="19"/>
        <v>49.963561399999996</v>
      </c>
    </row>
    <row r="230" spans="1:19" x14ac:dyDescent="0.4">
      <c r="A230">
        <v>20210805</v>
      </c>
      <c r="B230" s="1">
        <v>0.75</v>
      </c>
      <c r="C230">
        <v>-67981</v>
      </c>
      <c r="D230">
        <v>-215613</v>
      </c>
      <c r="E230">
        <v>-196833</v>
      </c>
      <c r="F230">
        <v>236955</v>
      </c>
      <c r="G230">
        <v>79513</v>
      </c>
      <c r="H230">
        <v>-222447</v>
      </c>
      <c r="I230">
        <v>-64844</v>
      </c>
      <c r="J230">
        <v>-138428</v>
      </c>
      <c r="K230">
        <v>-280740</v>
      </c>
      <c r="L230">
        <v>17734</v>
      </c>
      <c r="M230">
        <v>30</v>
      </c>
      <c r="N230">
        <f t="shared" si="16"/>
        <v>-852684</v>
      </c>
      <c r="O230">
        <v>23390400</v>
      </c>
      <c r="P230" s="2">
        <f t="shared" si="17"/>
        <v>3.6454442848348041</v>
      </c>
      <c r="Q230" s="3" t="str">
        <f t="shared" si="18"/>
        <v>〇</v>
      </c>
      <c r="R230" s="2">
        <f t="shared" si="15"/>
        <v>-3.6454442848348041</v>
      </c>
      <c r="S230" s="5">
        <f t="shared" si="19"/>
        <v>70.171199999999999</v>
      </c>
    </row>
    <row r="231" spans="1:19" x14ac:dyDescent="0.4">
      <c r="A231">
        <v>20210805</v>
      </c>
      <c r="B231" s="1">
        <v>0.77083333333333337</v>
      </c>
      <c r="C231">
        <v>-75492</v>
      </c>
      <c r="D231">
        <v>-216682</v>
      </c>
      <c r="E231">
        <v>-169712</v>
      </c>
      <c r="F231">
        <v>174374</v>
      </c>
      <c r="G231">
        <v>71143</v>
      </c>
      <c r="H231">
        <v>-242733</v>
      </c>
      <c r="I231">
        <v>-127095</v>
      </c>
      <c r="J231">
        <v>-90043</v>
      </c>
      <c r="K231">
        <v>-177221</v>
      </c>
      <c r="L231">
        <v>11911</v>
      </c>
      <c r="M231">
        <v>30</v>
      </c>
      <c r="N231">
        <f t="shared" si="16"/>
        <v>-841550</v>
      </c>
      <c r="O231">
        <v>23450600</v>
      </c>
      <c r="P231" s="2">
        <f t="shared" si="17"/>
        <v>3.5886075409584404</v>
      </c>
      <c r="Q231" s="3" t="str">
        <f t="shared" si="18"/>
        <v>〇</v>
      </c>
      <c r="R231" s="2">
        <f t="shared" si="15"/>
        <v>-3.5886075409584404</v>
      </c>
      <c r="S231" s="5">
        <f t="shared" si="19"/>
        <v>70.351799999999997</v>
      </c>
    </row>
    <row r="232" spans="1:19" x14ac:dyDescent="0.4">
      <c r="A232">
        <v>20210805</v>
      </c>
      <c r="B232" s="1">
        <v>0.79166666666666663</v>
      </c>
      <c r="C232">
        <v>-47428</v>
      </c>
      <c r="D232">
        <v>-164380</v>
      </c>
      <c r="E232">
        <v>-176285</v>
      </c>
      <c r="F232">
        <v>121394</v>
      </c>
      <c r="G232">
        <v>80568</v>
      </c>
      <c r="H232">
        <v>69830</v>
      </c>
      <c r="I232">
        <v>-170952</v>
      </c>
      <c r="J232">
        <v>-55826</v>
      </c>
      <c r="K232">
        <v>-32156</v>
      </c>
      <c r="L232">
        <v>16665</v>
      </c>
      <c r="M232">
        <v>20.81</v>
      </c>
      <c r="N232">
        <f t="shared" si="16"/>
        <v>-358570</v>
      </c>
      <c r="O232">
        <v>23478900</v>
      </c>
      <c r="P232" s="2">
        <f t="shared" si="17"/>
        <v>1.5272010187870813</v>
      </c>
      <c r="Q232" s="3" t="str">
        <f t="shared" si="18"/>
        <v>〇</v>
      </c>
      <c r="R232" s="2">
        <f t="shared" si="15"/>
        <v>-1.5272010187870813</v>
      </c>
      <c r="S232" s="5">
        <f t="shared" si="19"/>
        <v>48.859590899999993</v>
      </c>
    </row>
    <row r="233" spans="1:19" x14ac:dyDescent="0.4">
      <c r="A233">
        <v>20210805</v>
      </c>
      <c r="B233" s="1">
        <v>0.8125</v>
      </c>
      <c r="C233">
        <v>-19610</v>
      </c>
      <c r="D233">
        <v>-76447</v>
      </c>
      <c r="E233">
        <v>-191646</v>
      </c>
      <c r="F233">
        <v>119234</v>
      </c>
      <c r="G233">
        <v>80321</v>
      </c>
      <c r="H233">
        <v>-9838</v>
      </c>
      <c r="I233">
        <v>-134655</v>
      </c>
      <c r="J233">
        <v>-59332</v>
      </c>
      <c r="K233">
        <v>-19041</v>
      </c>
      <c r="L233">
        <v>19426</v>
      </c>
      <c r="M233">
        <v>16</v>
      </c>
      <c r="N233">
        <f t="shared" si="16"/>
        <v>-291588</v>
      </c>
      <c r="O233">
        <v>23131750</v>
      </c>
      <c r="P233" s="2">
        <f t="shared" si="17"/>
        <v>1.2605531358414301</v>
      </c>
      <c r="Q233" s="3" t="str">
        <f t="shared" si="18"/>
        <v>〇</v>
      </c>
      <c r="R233" s="2">
        <f t="shared" si="15"/>
        <v>-1.2605531358414301</v>
      </c>
      <c r="S233" s="5">
        <f t="shared" si="19"/>
        <v>37.010800000000003</v>
      </c>
    </row>
    <row r="234" spans="1:19" x14ac:dyDescent="0.4">
      <c r="A234">
        <v>20210805</v>
      </c>
      <c r="B234" s="1">
        <v>0.83333333333333337</v>
      </c>
      <c r="C234">
        <v>-35453</v>
      </c>
      <c r="D234">
        <v>16619</v>
      </c>
      <c r="E234">
        <v>-282514</v>
      </c>
      <c r="F234">
        <v>222064</v>
      </c>
      <c r="G234">
        <v>54624</v>
      </c>
      <c r="H234">
        <v>-61806</v>
      </c>
      <c r="I234">
        <v>-120626</v>
      </c>
      <c r="J234">
        <v>-26541</v>
      </c>
      <c r="K234">
        <v>39657</v>
      </c>
      <c r="L234">
        <v>13361</v>
      </c>
      <c r="M234">
        <v>15.01</v>
      </c>
      <c r="N234">
        <f t="shared" si="16"/>
        <v>-180615</v>
      </c>
      <c r="O234">
        <v>22484100</v>
      </c>
      <c r="P234" s="2">
        <f t="shared" si="17"/>
        <v>0.80330099937289012</v>
      </c>
      <c r="Q234" s="3" t="str">
        <f t="shared" si="18"/>
        <v>〇</v>
      </c>
      <c r="R234" s="2">
        <f t="shared" si="15"/>
        <v>-0.80330099937289012</v>
      </c>
      <c r="S234" s="5">
        <f t="shared" si="19"/>
        <v>33.748634099999997</v>
      </c>
    </row>
    <row r="235" spans="1:19" x14ac:dyDescent="0.4">
      <c r="A235">
        <v>20210805</v>
      </c>
      <c r="B235" s="1">
        <v>0.85416666666666663</v>
      </c>
      <c r="C235">
        <v>-87567</v>
      </c>
      <c r="D235">
        <v>-46818</v>
      </c>
      <c r="E235">
        <v>-63071</v>
      </c>
      <c r="F235">
        <v>120378</v>
      </c>
      <c r="G235">
        <v>38213</v>
      </c>
      <c r="H235">
        <v>16237</v>
      </c>
      <c r="I235">
        <v>-166526</v>
      </c>
      <c r="J235">
        <v>-60724</v>
      </c>
      <c r="K235">
        <v>73099</v>
      </c>
      <c r="L235">
        <v>24472</v>
      </c>
      <c r="M235">
        <v>12.71</v>
      </c>
      <c r="N235">
        <f t="shared" si="16"/>
        <v>-152307</v>
      </c>
      <c r="O235">
        <v>22253650</v>
      </c>
      <c r="P235" s="2">
        <f t="shared" si="17"/>
        <v>0.68441356811129861</v>
      </c>
      <c r="Q235" s="3" t="str">
        <f t="shared" si="18"/>
        <v>〇</v>
      </c>
      <c r="R235" s="2">
        <f t="shared" si="15"/>
        <v>-0.68441356811129861</v>
      </c>
      <c r="S235" s="5">
        <f t="shared" si="19"/>
        <v>28.284389149999999</v>
      </c>
    </row>
    <row r="236" spans="1:19" x14ac:dyDescent="0.4">
      <c r="A236">
        <v>20210805</v>
      </c>
      <c r="B236" s="1">
        <v>0.875</v>
      </c>
      <c r="C236">
        <v>-68429</v>
      </c>
      <c r="D236">
        <v>3557</v>
      </c>
      <c r="E236">
        <v>-20233</v>
      </c>
      <c r="F236">
        <v>115213</v>
      </c>
      <c r="G236">
        <v>33882</v>
      </c>
      <c r="H236">
        <v>134757</v>
      </c>
      <c r="I236">
        <v>-106287</v>
      </c>
      <c r="J236">
        <v>-31872</v>
      </c>
      <c r="K236">
        <v>92640</v>
      </c>
      <c r="L236">
        <v>24849</v>
      </c>
      <c r="M236">
        <v>11.79</v>
      </c>
      <c r="N236">
        <f t="shared" si="16"/>
        <v>178077</v>
      </c>
      <c r="O236">
        <v>21657950</v>
      </c>
      <c r="P236" s="2">
        <f t="shared" si="17"/>
        <v>0.82222463344868746</v>
      </c>
      <c r="Q236" s="3" t="str">
        <f t="shared" si="18"/>
        <v/>
      </c>
      <c r="R236" s="2">
        <f t="shared" si="15"/>
        <v>0.82222463344868746</v>
      </c>
      <c r="S236" s="5">
        <f t="shared" si="19"/>
        <v>25.534723049999997</v>
      </c>
    </row>
    <row r="237" spans="1:19" x14ac:dyDescent="0.4">
      <c r="A237">
        <v>20210805</v>
      </c>
      <c r="B237" s="1">
        <v>0.89583333333333337</v>
      </c>
      <c r="C237">
        <v>-93246</v>
      </c>
      <c r="D237">
        <v>-15453</v>
      </c>
      <c r="E237">
        <v>78146</v>
      </c>
      <c r="F237">
        <v>108740</v>
      </c>
      <c r="G237">
        <v>18517</v>
      </c>
      <c r="H237">
        <v>31857</v>
      </c>
      <c r="I237">
        <v>-74455</v>
      </c>
      <c r="J237">
        <v>-40816</v>
      </c>
      <c r="K237">
        <v>71978</v>
      </c>
      <c r="L237">
        <v>32704</v>
      </c>
      <c r="M237">
        <v>10.27</v>
      </c>
      <c r="N237">
        <f t="shared" si="16"/>
        <v>117972</v>
      </c>
      <c r="O237">
        <v>21319850</v>
      </c>
      <c r="P237" s="2">
        <f t="shared" si="17"/>
        <v>0.55334348037157854</v>
      </c>
      <c r="Q237" s="3" t="str">
        <f t="shared" si="18"/>
        <v/>
      </c>
      <c r="R237" s="2">
        <f t="shared" si="15"/>
        <v>0.55334348037157854</v>
      </c>
      <c r="S237" s="5">
        <f t="shared" si="19"/>
        <v>21.895485950000001</v>
      </c>
    </row>
    <row r="238" spans="1:19" x14ac:dyDescent="0.4">
      <c r="A238">
        <v>20210805</v>
      </c>
      <c r="B238" s="1">
        <v>0.91666666666666663</v>
      </c>
      <c r="C238">
        <v>-33358</v>
      </c>
      <c r="D238">
        <v>-7469</v>
      </c>
      <c r="E238">
        <v>-20133</v>
      </c>
      <c r="F238">
        <v>106536</v>
      </c>
      <c r="G238">
        <v>18389</v>
      </c>
      <c r="H238">
        <v>60336</v>
      </c>
      <c r="I238">
        <v>-17588</v>
      </c>
      <c r="J238">
        <v>-29503</v>
      </c>
      <c r="K238">
        <v>164855</v>
      </c>
      <c r="L238">
        <v>24477</v>
      </c>
      <c r="M238">
        <v>9.84</v>
      </c>
      <c r="N238">
        <f t="shared" si="16"/>
        <v>266542</v>
      </c>
      <c r="O238">
        <v>20460600</v>
      </c>
      <c r="P238" s="2">
        <f t="shared" si="17"/>
        <v>1.3027086204705629</v>
      </c>
      <c r="Q238" s="3" t="str">
        <f t="shared" si="18"/>
        <v/>
      </c>
      <c r="R238" s="2">
        <f t="shared" si="15"/>
        <v>1.3027086204705629</v>
      </c>
      <c r="S238" s="5">
        <f t="shared" si="19"/>
        <v>20.133230399999999</v>
      </c>
    </row>
    <row r="239" spans="1:19" x14ac:dyDescent="0.4">
      <c r="A239">
        <v>20210805</v>
      </c>
      <c r="B239" s="1">
        <v>0.9375</v>
      </c>
      <c r="C239">
        <v>-130805</v>
      </c>
      <c r="D239">
        <v>-55939</v>
      </c>
      <c r="E239">
        <v>110085</v>
      </c>
      <c r="F239">
        <v>70018</v>
      </c>
      <c r="G239">
        <v>7765</v>
      </c>
      <c r="H239">
        <v>97906</v>
      </c>
      <c r="I239">
        <v>-111712</v>
      </c>
      <c r="J239">
        <v>-45006</v>
      </c>
      <c r="K239">
        <v>67579</v>
      </c>
      <c r="L239">
        <v>32884</v>
      </c>
      <c r="M239">
        <v>9.61</v>
      </c>
      <c r="N239">
        <f t="shared" si="16"/>
        <v>42775</v>
      </c>
      <c r="O239">
        <v>20313700</v>
      </c>
      <c r="P239" s="2">
        <f t="shared" si="17"/>
        <v>0.21057217542840545</v>
      </c>
      <c r="Q239" t="str">
        <f t="shared" si="18"/>
        <v/>
      </c>
      <c r="R239" s="2">
        <f t="shared" si="15"/>
        <v>0.21057217542840545</v>
      </c>
      <c r="S239" s="5">
        <f t="shared" si="19"/>
        <v>19.5214657</v>
      </c>
    </row>
    <row r="240" spans="1:19" x14ac:dyDescent="0.4">
      <c r="A240">
        <v>20210805</v>
      </c>
      <c r="B240" s="1">
        <v>0.95833333333333337</v>
      </c>
      <c r="C240">
        <v>-84334</v>
      </c>
      <c r="D240">
        <v>-11280</v>
      </c>
      <c r="E240">
        <v>-129521</v>
      </c>
      <c r="F240">
        <v>67541</v>
      </c>
      <c r="G240">
        <v>-14842</v>
      </c>
      <c r="H240">
        <v>152994</v>
      </c>
      <c r="I240">
        <v>-64227</v>
      </c>
      <c r="J240">
        <v>-29378</v>
      </c>
      <c r="K240">
        <v>4336</v>
      </c>
      <c r="L240">
        <v>16739</v>
      </c>
      <c r="M240">
        <v>8.89</v>
      </c>
      <c r="N240">
        <f t="shared" si="16"/>
        <v>-91972</v>
      </c>
      <c r="O240">
        <v>19926950</v>
      </c>
      <c r="P240" s="2">
        <f t="shared" si="17"/>
        <v>0.46154579601996293</v>
      </c>
      <c r="Q240" s="3" t="str">
        <f t="shared" si="18"/>
        <v>〇</v>
      </c>
      <c r="R240" s="2">
        <f t="shared" si="15"/>
        <v>-0.46154579601996293</v>
      </c>
      <c r="S240" s="5">
        <f t="shared" si="19"/>
        <v>17.715058549999998</v>
      </c>
    </row>
    <row r="241" spans="1:19" x14ac:dyDescent="0.4">
      <c r="A241">
        <v>20210805</v>
      </c>
      <c r="B241" s="1">
        <v>0.97916666666666663</v>
      </c>
      <c r="C241">
        <v>-44220</v>
      </c>
      <c r="D241">
        <v>-68815</v>
      </c>
      <c r="E241">
        <v>74393</v>
      </c>
      <c r="F241">
        <v>93769</v>
      </c>
      <c r="G241">
        <v>-17768</v>
      </c>
      <c r="H241">
        <v>230361</v>
      </c>
      <c r="I241">
        <v>-110997</v>
      </c>
      <c r="J241">
        <v>-30774</v>
      </c>
      <c r="K241">
        <v>44060</v>
      </c>
      <c r="L241">
        <v>21228</v>
      </c>
      <c r="M241">
        <v>8.86</v>
      </c>
      <c r="N241">
        <f t="shared" si="16"/>
        <v>191237</v>
      </c>
      <c r="O241">
        <v>19475000</v>
      </c>
      <c r="P241" s="2">
        <f t="shared" si="17"/>
        <v>0.98196148908857506</v>
      </c>
      <c r="Q241" s="3" t="str">
        <f t="shared" si="18"/>
        <v/>
      </c>
      <c r="R241" s="2">
        <f t="shared" si="15"/>
        <v>0.98196148908857506</v>
      </c>
      <c r="S241" s="5">
        <f t="shared" si="19"/>
        <v>17.254850000000001</v>
      </c>
    </row>
    <row r="242" spans="1:19" x14ac:dyDescent="0.4">
      <c r="A242">
        <v>20210806</v>
      </c>
      <c r="B242" s="1">
        <v>0</v>
      </c>
      <c r="C242">
        <v>-92802</v>
      </c>
      <c r="D242">
        <v>42514</v>
      </c>
      <c r="E242">
        <v>75896</v>
      </c>
      <c r="F242">
        <v>-13087</v>
      </c>
      <c r="G242">
        <v>1217</v>
      </c>
      <c r="H242">
        <v>-64598</v>
      </c>
      <c r="I242">
        <v>-36905</v>
      </c>
      <c r="J242">
        <v>37164</v>
      </c>
      <c r="K242">
        <v>-47050</v>
      </c>
      <c r="L242">
        <v>10172</v>
      </c>
      <c r="M242">
        <v>8.86</v>
      </c>
      <c r="N242">
        <f t="shared" si="16"/>
        <v>-87479</v>
      </c>
      <c r="O242">
        <v>19467200</v>
      </c>
      <c r="P242" s="2">
        <f t="shared" si="17"/>
        <v>0.44936611325717102</v>
      </c>
      <c r="Q242" s="3" t="str">
        <f t="shared" si="18"/>
        <v>〇</v>
      </c>
      <c r="R242" s="2">
        <f t="shared" si="15"/>
        <v>-0.44936611325717102</v>
      </c>
      <c r="S242" s="5">
        <f t="shared" si="19"/>
        <v>17.247939200000001</v>
      </c>
    </row>
    <row r="243" spans="1:19" x14ac:dyDescent="0.4">
      <c r="A243">
        <v>20210806</v>
      </c>
      <c r="B243" s="1">
        <v>2.0833333333333332E-2</v>
      </c>
      <c r="C243">
        <v>-39035</v>
      </c>
      <c r="D243">
        <v>-14252</v>
      </c>
      <c r="E243">
        <v>172579</v>
      </c>
      <c r="F243">
        <v>27709</v>
      </c>
      <c r="G243">
        <v>20480</v>
      </c>
      <c r="H243">
        <v>28652</v>
      </c>
      <c r="I243">
        <v>-23012</v>
      </c>
      <c r="J243">
        <v>34801</v>
      </c>
      <c r="K243">
        <v>-49165</v>
      </c>
      <c r="L243">
        <v>15164</v>
      </c>
      <c r="M243">
        <v>7.94</v>
      </c>
      <c r="N243">
        <f t="shared" si="16"/>
        <v>173921</v>
      </c>
      <c r="O243">
        <v>20047700</v>
      </c>
      <c r="P243" s="2">
        <f t="shared" si="17"/>
        <v>0.86753592681454728</v>
      </c>
      <c r="Q243" s="3" t="str">
        <f t="shared" si="18"/>
        <v/>
      </c>
      <c r="R243" s="2">
        <f t="shared" si="15"/>
        <v>0.86753592681454728</v>
      </c>
      <c r="S243" s="5">
        <f t="shared" si="19"/>
        <v>15.917873800000001</v>
      </c>
    </row>
    <row r="244" spans="1:19" x14ac:dyDescent="0.4">
      <c r="A244">
        <v>20210806</v>
      </c>
      <c r="B244" s="1">
        <v>4.1666666666666664E-2</v>
      </c>
      <c r="C244">
        <v>-47430</v>
      </c>
      <c r="D244">
        <v>-66358</v>
      </c>
      <c r="E244">
        <v>128952</v>
      </c>
      <c r="F244">
        <v>48124</v>
      </c>
      <c r="G244">
        <v>18298</v>
      </c>
      <c r="H244">
        <v>-13162</v>
      </c>
      <c r="I244">
        <v>-94419</v>
      </c>
      <c r="J244">
        <v>27643</v>
      </c>
      <c r="K244">
        <v>-22757</v>
      </c>
      <c r="L244">
        <v>10506</v>
      </c>
      <c r="M244">
        <v>7.87</v>
      </c>
      <c r="N244">
        <f t="shared" si="16"/>
        <v>-10603</v>
      </c>
      <c r="O244">
        <v>20080300</v>
      </c>
      <c r="P244" s="2">
        <f t="shared" si="17"/>
        <v>5.2802995971175729E-2</v>
      </c>
      <c r="Q244" s="3" t="str">
        <f t="shared" si="18"/>
        <v>〇</v>
      </c>
      <c r="R244" s="2">
        <f t="shared" si="15"/>
        <v>-5.2802995971175729E-2</v>
      </c>
      <c r="S244" s="5">
        <f t="shared" si="19"/>
        <v>15.803196099999999</v>
      </c>
    </row>
    <row r="245" spans="1:19" x14ac:dyDescent="0.4">
      <c r="A245">
        <v>20210806</v>
      </c>
      <c r="B245" s="1">
        <v>6.25E-2</v>
      </c>
      <c r="C245">
        <v>-77622</v>
      </c>
      <c r="D245">
        <v>-76572</v>
      </c>
      <c r="E245">
        <v>146550</v>
      </c>
      <c r="F245">
        <v>53970</v>
      </c>
      <c r="G245">
        <v>-10335</v>
      </c>
      <c r="H245">
        <v>-51807</v>
      </c>
      <c r="I245">
        <v>-38030</v>
      </c>
      <c r="J245">
        <v>27032</v>
      </c>
      <c r="K245">
        <v>-29508</v>
      </c>
      <c r="L245">
        <v>15146</v>
      </c>
      <c r="M245">
        <v>7.81</v>
      </c>
      <c r="N245">
        <f t="shared" si="16"/>
        <v>-41176</v>
      </c>
      <c r="O245">
        <v>19986950</v>
      </c>
      <c r="P245" s="2">
        <f t="shared" si="17"/>
        <v>0.20601442441192877</v>
      </c>
      <c r="Q245" s="3" t="str">
        <f t="shared" si="18"/>
        <v>〇</v>
      </c>
      <c r="R245" s="2">
        <f t="shared" si="15"/>
        <v>-0.20601442441192877</v>
      </c>
      <c r="S245" s="5">
        <f t="shared" si="19"/>
        <v>15.60980795</v>
      </c>
    </row>
    <row r="246" spans="1:19" x14ac:dyDescent="0.4">
      <c r="A246">
        <v>20210806</v>
      </c>
      <c r="B246" s="1">
        <v>8.3333333333333329E-2</v>
      </c>
      <c r="C246">
        <v>-64552</v>
      </c>
      <c r="D246">
        <v>-123893</v>
      </c>
      <c r="E246">
        <v>206973</v>
      </c>
      <c r="F246">
        <v>88338</v>
      </c>
      <c r="G246">
        <v>-3175</v>
      </c>
      <c r="H246">
        <v>-4636</v>
      </c>
      <c r="I246">
        <v>-3256</v>
      </c>
      <c r="J246">
        <v>31024</v>
      </c>
      <c r="K246">
        <v>-3336</v>
      </c>
      <c r="L246">
        <v>22012</v>
      </c>
      <c r="M246">
        <v>7.79</v>
      </c>
      <c r="N246">
        <f t="shared" si="16"/>
        <v>145499</v>
      </c>
      <c r="O246">
        <v>20156150</v>
      </c>
      <c r="P246" s="2">
        <f t="shared" si="17"/>
        <v>0.72185908519236064</v>
      </c>
      <c r="Q246" t="str">
        <f t="shared" si="18"/>
        <v/>
      </c>
      <c r="R246" s="2">
        <f t="shared" si="15"/>
        <v>0.72185908519236064</v>
      </c>
      <c r="S246" s="5">
        <f t="shared" si="19"/>
        <v>15.70164085</v>
      </c>
    </row>
    <row r="247" spans="1:19" x14ac:dyDescent="0.4">
      <c r="A247">
        <v>20210806</v>
      </c>
      <c r="B247" s="1">
        <v>0.10416666666666667</v>
      </c>
      <c r="C247">
        <v>-28173</v>
      </c>
      <c r="D247">
        <v>-98571</v>
      </c>
      <c r="E247">
        <v>349601</v>
      </c>
      <c r="F247">
        <v>100312</v>
      </c>
      <c r="G247">
        <v>3644</v>
      </c>
      <c r="H247">
        <v>-159711</v>
      </c>
      <c r="I247">
        <v>29778</v>
      </c>
      <c r="J247">
        <v>35028</v>
      </c>
      <c r="K247">
        <v>104145</v>
      </c>
      <c r="L247">
        <v>16262</v>
      </c>
      <c r="M247">
        <v>7.83</v>
      </c>
      <c r="N247">
        <f t="shared" si="16"/>
        <v>352315</v>
      </c>
      <c r="O247">
        <v>20191400</v>
      </c>
      <c r="P247" s="2">
        <f t="shared" si="17"/>
        <v>1.7448765315926582</v>
      </c>
      <c r="Q247" s="3" t="str">
        <f t="shared" si="18"/>
        <v/>
      </c>
      <c r="R247" s="2">
        <f t="shared" si="15"/>
        <v>1.7448765315926582</v>
      </c>
      <c r="S247" s="5">
        <f t="shared" si="19"/>
        <v>15.8098662</v>
      </c>
    </row>
    <row r="248" spans="1:19" x14ac:dyDescent="0.4">
      <c r="A248">
        <v>20210806</v>
      </c>
      <c r="B248" s="1">
        <v>0.125</v>
      </c>
      <c r="C248">
        <v>12077</v>
      </c>
      <c r="D248">
        <v>-44526</v>
      </c>
      <c r="E248">
        <v>163505</v>
      </c>
      <c r="F248">
        <v>90699</v>
      </c>
      <c r="G248">
        <v>10481</v>
      </c>
      <c r="H248">
        <v>-33204</v>
      </c>
      <c r="I248">
        <v>18625</v>
      </c>
      <c r="J248">
        <v>44074</v>
      </c>
      <c r="K248">
        <v>101335</v>
      </c>
      <c r="L248">
        <v>17927</v>
      </c>
      <c r="M248">
        <v>8.19</v>
      </c>
      <c r="N248">
        <f t="shared" si="16"/>
        <v>380993</v>
      </c>
      <c r="O248">
        <v>20236450</v>
      </c>
      <c r="P248" s="2">
        <f t="shared" si="17"/>
        <v>1.8827067000387914</v>
      </c>
      <c r="Q248" s="3" t="str">
        <f t="shared" si="18"/>
        <v/>
      </c>
      <c r="R248" s="2">
        <f t="shared" si="15"/>
        <v>1.8827067000387914</v>
      </c>
      <c r="S248" s="5">
        <f t="shared" si="19"/>
        <v>16.573652549999998</v>
      </c>
    </row>
    <row r="249" spans="1:19" x14ac:dyDescent="0.4">
      <c r="A249">
        <v>20210806</v>
      </c>
      <c r="B249" s="1">
        <v>0.14583333333333334</v>
      </c>
      <c r="C249">
        <v>7631</v>
      </c>
      <c r="D249">
        <v>-62304</v>
      </c>
      <c r="E249">
        <v>189883</v>
      </c>
      <c r="F249">
        <v>117091</v>
      </c>
      <c r="G249">
        <v>-1164</v>
      </c>
      <c r="H249">
        <v>-135888</v>
      </c>
      <c r="I249">
        <v>49896</v>
      </c>
      <c r="J249">
        <v>55215</v>
      </c>
      <c r="K249">
        <v>118094</v>
      </c>
      <c r="L249">
        <v>21190</v>
      </c>
      <c r="M249">
        <v>8.2899999999999991</v>
      </c>
      <c r="N249">
        <f t="shared" si="16"/>
        <v>359644</v>
      </c>
      <c r="O249">
        <v>20264350</v>
      </c>
      <c r="P249" s="2">
        <f t="shared" si="17"/>
        <v>1.7747620821788017</v>
      </c>
      <c r="Q249" s="3" t="str">
        <f t="shared" si="18"/>
        <v/>
      </c>
      <c r="R249" s="2">
        <f t="shared" si="15"/>
        <v>1.7747620821788017</v>
      </c>
      <c r="S249" s="5">
        <f t="shared" si="19"/>
        <v>16.799146149999999</v>
      </c>
    </row>
    <row r="250" spans="1:19" x14ac:dyDescent="0.4">
      <c r="A250">
        <v>20210806</v>
      </c>
      <c r="B250" s="1">
        <v>0.16666666666666666</v>
      </c>
      <c r="C250">
        <v>-4477</v>
      </c>
      <c r="D250">
        <v>-72374</v>
      </c>
      <c r="E250">
        <v>180418</v>
      </c>
      <c r="F250">
        <v>92472</v>
      </c>
      <c r="G250">
        <v>-27484</v>
      </c>
      <c r="H250">
        <v>-75530</v>
      </c>
      <c r="I250">
        <v>55911</v>
      </c>
      <c r="J250">
        <v>60663</v>
      </c>
      <c r="K250">
        <v>171605</v>
      </c>
      <c r="L250">
        <v>22672</v>
      </c>
      <c r="M250">
        <v>8.2899999999999991</v>
      </c>
      <c r="N250">
        <f t="shared" si="16"/>
        <v>403876</v>
      </c>
      <c r="O250">
        <v>20266900</v>
      </c>
      <c r="P250" s="2">
        <f t="shared" si="17"/>
        <v>1.9927862672633703</v>
      </c>
      <c r="Q250" s="3" t="str">
        <f t="shared" si="18"/>
        <v/>
      </c>
      <c r="R250" s="2">
        <f t="shared" si="15"/>
        <v>1.9927862672633703</v>
      </c>
      <c r="S250" s="5">
        <f t="shared" si="19"/>
        <v>16.801260099999997</v>
      </c>
    </row>
    <row r="251" spans="1:19" x14ac:dyDescent="0.4">
      <c r="A251">
        <v>20210806</v>
      </c>
      <c r="B251" s="1">
        <v>0.1875</v>
      </c>
      <c r="C251">
        <v>539</v>
      </c>
      <c r="D251">
        <v>-114432</v>
      </c>
      <c r="E251">
        <v>188973</v>
      </c>
      <c r="F251">
        <v>120664</v>
      </c>
      <c r="G251">
        <v>-19096</v>
      </c>
      <c r="H251">
        <v>-139039</v>
      </c>
      <c r="I251">
        <v>133125</v>
      </c>
      <c r="J251">
        <v>59516</v>
      </c>
      <c r="K251">
        <v>152738</v>
      </c>
      <c r="L251">
        <v>22669</v>
      </c>
      <c r="M251">
        <v>8.2899999999999991</v>
      </c>
      <c r="N251">
        <f t="shared" si="16"/>
        <v>405657</v>
      </c>
      <c r="O251">
        <v>20197800</v>
      </c>
      <c r="P251" s="2">
        <f t="shared" si="17"/>
        <v>2.0084217092950718</v>
      </c>
      <c r="Q251" s="3" t="str">
        <f t="shared" si="18"/>
        <v/>
      </c>
      <c r="R251" s="2">
        <f t="shared" si="15"/>
        <v>2.0084217092950718</v>
      </c>
      <c r="S251" s="5">
        <f t="shared" si="19"/>
        <v>16.743976199999999</v>
      </c>
    </row>
    <row r="252" spans="1:19" x14ac:dyDescent="0.4">
      <c r="A252">
        <v>20210806</v>
      </c>
      <c r="B252" s="1">
        <v>0.20833333333333334</v>
      </c>
      <c r="C252">
        <v>-47592</v>
      </c>
      <c r="D252">
        <v>-97849</v>
      </c>
      <c r="E252">
        <v>301596</v>
      </c>
      <c r="F252">
        <v>121064</v>
      </c>
      <c r="G252">
        <v>3154</v>
      </c>
      <c r="H252">
        <v>-186520</v>
      </c>
      <c r="I252">
        <v>55321</v>
      </c>
      <c r="J252">
        <v>76092</v>
      </c>
      <c r="K252">
        <v>169514</v>
      </c>
      <c r="L252">
        <v>25790</v>
      </c>
      <c r="M252">
        <v>8.18</v>
      </c>
      <c r="N252">
        <f t="shared" si="16"/>
        <v>420570</v>
      </c>
      <c r="O252">
        <v>20165850</v>
      </c>
      <c r="P252" s="2">
        <f t="shared" si="17"/>
        <v>2.0855555307611628</v>
      </c>
      <c r="Q252" s="3" t="str">
        <f t="shared" si="18"/>
        <v/>
      </c>
      <c r="R252" s="2">
        <f t="shared" si="15"/>
        <v>2.0855555307611628</v>
      </c>
      <c r="S252" s="5">
        <f t="shared" si="19"/>
        <v>16.495665299999999</v>
      </c>
    </row>
    <row r="253" spans="1:19" x14ac:dyDescent="0.4">
      <c r="A253">
        <v>20210806</v>
      </c>
      <c r="B253" s="1">
        <v>0.22916666666666666</v>
      </c>
      <c r="C253">
        <v>-7453</v>
      </c>
      <c r="D253">
        <v>-44695</v>
      </c>
      <c r="E253">
        <v>170069</v>
      </c>
      <c r="F253">
        <v>172279</v>
      </c>
      <c r="G253">
        <v>-20858</v>
      </c>
      <c r="H253">
        <v>-183211</v>
      </c>
      <c r="I253">
        <v>176676</v>
      </c>
      <c r="J253">
        <v>84201</v>
      </c>
      <c r="K253">
        <v>128571</v>
      </c>
      <c r="L253">
        <v>28265</v>
      </c>
      <c r="M253">
        <v>7.79</v>
      </c>
      <c r="N253">
        <f t="shared" si="16"/>
        <v>503844</v>
      </c>
      <c r="O253">
        <v>20245350</v>
      </c>
      <c r="P253" s="2">
        <f t="shared" si="17"/>
        <v>2.4886899954804438</v>
      </c>
      <c r="Q253" t="str">
        <f t="shared" si="18"/>
        <v/>
      </c>
      <c r="R253" s="2">
        <f t="shared" si="15"/>
        <v>2.4886899954804438</v>
      </c>
      <c r="S253" s="5">
        <f t="shared" si="19"/>
        <v>15.77112765</v>
      </c>
    </row>
    <row r="254" spans="1:19" x14ac:dyDescent="0.4">
      <c r="A254">
        <v>20210806</v>
      </c>
      <c r="B254" s="1">
        <v>0.25</v>
      </c>
      <c r="C254">
        <v>14128</v>
      </c>
      <c r="D254">
        <v>21429</v>
      </c>
      <c r="E254">
        <v>257339</v>
      </c>
      <c r="F254">
        <v>133969</v>
      </c>
      <c r="G254">
        <v>-20697</v>
      </c>
      <c r="H254">
        <v>-188687</v>
      </c>
      <c r="I254">
        <v>79719</v>
      </c>
      <c r="J254">
        <v>102690</v>
      </c>
      <c r="K254">
        <v>56964</v>
      </c>
      <c r="L254">
        <v>34252</v>
      </c>
      <c r="M254">
        <v>7.7</v>
      </c>
      <c r="N254">
        <f t="shared" si="16"/>
        <v>491106</v>
      </c>
      <c r="O254">
        <v>20841950</v>
      </c>
      <c r="P254" s="2">
        <f t="shared" si="17"/>
        <v>2.3563342201665392</v>
      </c>
      <c r="Q254" s="3" t="str">
        <f t="shared" si="18"/>
        <v/>
      </c>
      <c r="R254" s="2">
        <f t="shared" si="15"/>
        <v>2.3563342201665392</v>
      </c>
      <c r="S254" s="5">
        <f t="shared" si="19"/>
        <v>16.048301500000001</v>
      </c>
    </row>
    <row r="255" spans="1:19" x14ac:dyDescent="0.4">
      <c r="A255">
        <v>20210806</v>
      </c>
      <c r="B255" s="1">
        <v>0.27083333333333331</v>
      </c>
      <c r="C255">
        <v>37785</v>
      </c>
      <c r="D255">
        <v>140859</v>
      </c>
      <c r="E255">
        <v>217098</v>
      </c>
      <c r="F255">
        <v>98143</v>
      </c>
      <c r="G255">
        <v>-23368</v>
      </c>
      <c r="H255">
        <v>-155764</v>
      </c>
      <c r="I255">
        <v>61425</v>
      </c>
      <c r="J255">
        <v>69048</v>
      </c>
      <c r="K255">
        <v>17011</v>
      </c>
      <c r="L255">
        <v>28795</v>
      </c>
      <c r="M255">
        <v>7.76</v>
      </c>
      <c r="N255">
        <f t="shared" si="16"/>
        <v>491032</v>
      </c>
      <c r="O255">
        <v>21303450</v>
      </c>
      <c r="P255" s="2">
        <f t="shared" si="17"/>
        <v>2.3049412184411446</v>
      </c>
      <c r="Q255" s="3" t="str">
        <f t="shared" si="18"/>
        <v/>
      </c>
      <c r="R255" s="2">
        <f t="shared" si="15"/>
        <v>2.3049412184411446</v>
      </c>
      <c r="S255" s="5">
        <f t="shared" si="19"/>
        <v>16.531477200000001</v>
      </c>
    </row>
    <row r="256" spans="1:19" x14ac:dyDescent="0.4">
      <c r="A256">
        <v>20210806</v>
      </c>
      <c r="B256" s="1">
        <v>0.29166666666666669</v>
      </c>
      <c r="C256">
        <v>44971</v>
      </c>
      <c r="D256">
        <v>245040</v>
      </c>
      <c r="E256">
        <v>408497</v>
      </c>
      <c r="F256">
        <v>41561</v>
      </c>
      <c r="G256">
        <v>4148</v>
      </c>
      <c r="H256">
        <v>-137137</v>
      </c>
      <c r="I256">
        <v>-51537</v>
      </c>
      <c r="J256">
        <v>18505</v>
      </c>
      <c r="K256">
        <v>198881</v>
      </c>
      <c r="L256">
        <v>28740</v>
      </c>
      <c r="M256">
        <v>7.65</v>
      </c>
      <c r="N256">
        <f t="shared" si="16"/>
        <v>801669</v>
      </c>
      <c r="O256">
        <v>22263900</v>
      </c>
      <c r="P256" s="2">
        <f t="shared" si="17"/>
        <v>3.6007572797218814</v>
      </c>
      <c r="Q256" s="3" t="str">
        <f t="shared" si="18"/>
        <v/>
      </c>
      <c r="R256" s="2">
        <f t="shared" si="15"/>
        <v>3.6007572797218814</v>
      </c>
      <c r="S256" s="5">
        <f t="shared" si="19"/>
        <v>17.031883499999999</v>
      </c>
    </row>
    <row r="257" spans="1:19" x14ac:dyDescent="0.4">
      <c r="A257">
        <v>20210806</v>
      </c>
      <c r="B257" s="1">
        <v>0.3125</v>
      </c>
      <c r="C257">
        <v>61861</v>
      </c>
      <c r="D257">
        <v>380422</v>
      </c>
      <c r="E257">
        <v>249370</v>
      </c>
      <c r="F257">
        <v>73041</v>
      </c>
      <c r="G257">
        <v>30620</v>
      </c>
      <c r="H257">
        <v>-88565</v>
      </c>
      <c r="I257">
        <v>609232</v>
      </c>
      <c r="J257">
        <v>22521</v>
      </c>
      <c r="K257">
        <v>336293</v>
      </c>
      <c r="L257">
        <v>18602</v>
      </c>
      <c r="M257">
        <v>7.82</v>
      </c>
      <c r="N257">
        <f t="shared" si="16"/>
        <v>1693397</v>
      </c>
      <c r="O257">
        <v>22761200</v>
      </c>
      <c r="P257" s="2">
        <f t="shared" si="17"/>
        <v>7.4398406059434476</v>
      </c>
      <c r="Q257" s="3" t="str">
        <f t="shared" si="18"/>
        <v/>
      </c>
      <c r="R257" s="2">
        <f t="shared" si="15"/>
        <v>7.4398406059434476</v>
      </c>
      <c r="S257" s="5">
        <f t="shared" si="19"/>
        <v>17.799258399999999</v>
      </c>
    </row>
    <row r="258" spans="1:19" x14ac:dyDescent="0.4">
      <c r="A258">
        <v>20210806</v>
      </c>
      <c r="B258" s="1">
        <v>0.33333333333333331</v>
      </c>
      <c r="C258">
        <v>2613</v>
      </c>
      <c r="D258">
        <v>349496</v>
      </c>
      <c r="E258">
        <v>585903</v>
      </c>
      <c r="F258">
        <v>107040</v>
      </c>
      <c r="G258">
        <v>32255</v>
      </c>
      <c r="H258">
        <v>83640</v>
      </c>
      <c r="I258">
        <v>118903</v>
      </c>
      <c r="J258">
        <v>18118</v>
      </c>
      <c r="K258">
        <v>388405</v>
      </c>
      <c r="L258">
        <v>29783</v>
      </c>
      <c r="M258">
        <v>7.79</v>
      </c>
      <c r="N258">
        <f t="shared" si="16"/>
        <v>1716156</v>
      </c>
      <c r="O258">
        <v>24586450</v>
      </c>
      <c r="P258" s="2">
        <f t="shared" si="17"/>
        <v>6.9800886260521544</v>
      </c>
      <c r="Q258" s="3" t="str">
        <f t="shared" si="18"/>
        <v/>
      </c>
      <c r="R258" s="2">
        <f t="shared" ref="R258:R321" si="20">IF(N258&lt;0,-P258,P258)</f>
        <v>6.9800886260521544</v>
      </c>
      <c r="S258" s="5">
        <f t="shared" si="19"/>
        <v>19.152844550000001</v>
      </c>
    </row>
    <row r="259" spans="1:19" x14ac:dyDescent="0.4">
      <c r="A259">
        <v>20210806</v>
      </c>
      <c r="B259" s="1">
        <v>0.35416666666666669</v>
      </c>
      <c r="C259">
        <v>70822</v>
      </c>
      <c r="D259">
        <v>339426</v>
      </c>
      <c r="E259">
        <v>391029</v>
      </c>
      <c r="F259">
        <v>53388</v>
      </c>
      <c r="G259">
        <v>54445</v>
      </c>
      <c r="H259">
        <v>205678</v>
      </c>
      <c r="I259">
        <v>141762</v>
      </c>
      <c r="J259">
        <v>41627</v>
      </c>
      <c r="K259">
        <v>562310</v>
      </c>
      <c r="L259">
        <v>15375</v>
      </c>
      <c r="M259">
        <v>8.86</v>
      </c>
      <c r="N259">
        <f t="shared" ref="N259:N322" si="21">SUM(C259:L259)</f>
        <v>1875862</v>
      </c>
      <c r="O259">
        <v>25807100</v>
      </c>
      <c r="P259" s="2">
        <f t="shared" ref="P259:P322" si="22">((ABS(N259)*100)/O259)</f>
        <v>7.2687826218366265</v>
      </c>
      <c r="Q259" s="3" t="str">
        <f t="shared" ref="Q259:Q322" si="23">IF(N259&lt;0,"〇","")</f>
        <v/>
      </c>
      <c r="R259" s="2">
        <f t="shared" si="20"/>
        <v>7.2687826218366265</v>
      </c>
      <c r="S259" s="5">
        <f t="shared" ref="S259:S322" si="24">(M259*O259)/10^7</f>
        <v>22.865090599999998</v>
      </c>
    </row>
    <row r="260" spans="1:19" x14ac:dyDescent="0.4">
      <c r="A260">
        <v>20210806</v>
      </c>
      <c r="B260" s="1">
        <v>0.375</v>
      </c>
      <c r="C260">
        <v>61992</v>
      </c>
      <c r="D260">
        <v>393995</v>
      </c>
      <c r="E260">
        <v>437649</v>
      </c>
      <c r="F260">
        <v>96167</v>
      </c>
      <c r="G260">
        <v>80738</v>
      </c>
      <c r="H260">
        <v>165192</v>
      </c>
      <c r="I260">
        <v>51726</v>
      </c>
      <c r="J260">
        <v>59760</v>
      </c>
      <c r="K260">
        <v>556185</v>
      </c>
      <c r="L260">
        <v>14425</v>
      </c>
      <c r="M260">
        <v>9.56</v>
      </c>
      <c r="N260">
        <f t="shared" si="21"/>
        <v>1917829</v>
      </c>
      <c r="O260">
        <v>26594300</v>
      </c>
      <c r="P260" s="2">
        <f t="shared" si="22"/>
        <v>7.2114287648105044</v>
      </c>
      <c r="Q260" t="str">
        <f t="shared" si="23"/>
        <v/>
      </c>
      <c r="R260" s="2">
        <f t="shared" si="20"/>
        <v>7.2114287648105044</v>
      </c>
      <c r="S260" s="5">
        <f t="shared" si="24"/>
        <v>25.4241508</v>
      </c>
    </row>
    <row r="261" spans="1:19" x14ac:dyDescent="0.4">
      <c r="A261">
        <v>20210806</v>
      </c>
      <c r="B261" s="1">
        <v>0.39583333333333331</v>
      </c>
      <c r="C261">
        <v>45232</v>
      </c>
      <c r="D261">
        <v>401454</v>
      </c>
      <c r="E261">
        <v>838519</v>
      </c>
      <c r="F261">
        <v>237972</v>
      </c>
      <c r="G261">
        <v>80542</v>
      </c>
      <c r="H261">
        <v>237557</v>
      </c>
      <c r="I261">
        <v>68951</v>
      </c>
      <c r="J261">
        <v>101898</v>
      </c>
      <c r="K261">
        <v>714362</v>
      </c>
      <c r="L261">
        <v>4378</v>
      </c>
      <c r="M261">
        <v>9.57</v>
      </c>
      <c r="N261">
        <f t="shared" si="21"/>
        <v>2730865</v>
      </c>
      <c r="O261">
        <v>27043700</v>
      </c>
      <c r="P261" s="2">
        <f t="shared" si="22"/>
        <v>10.097971061652068</v>
      </c>
      <c r="Q261" s="3" t="str">
        <f t="shared" si="23"/>
        <v/>
      </c>
      <c r="R261" s="2">
        <f t="shared" si="20"/>
        <v>10.097971061652068</v>
      </c>
      <c r="S261" s="5">
        <f t="shared" si="24"/>
        <v>25.8808209</v>
      </c>
    </row>
    <row r="262" spans="1:19" x14ac:dyDescent="0.4">
      <c r="A262">
        <v>20210806</v>
      </c>
      <c r="B262" s="1">
        <v>0.41666666666666669</v>
      </c>
      <c r="C262">
        <v>17601</v>
      </c>
      <c r="D262">
        <v>514744</v>
      </c>
      <c r="E262">
        <v>824096</v>
      </c>
      <c r="F262">
        <v>392743</v>
      </c>
      <c r="G262">
        <v>51973</v>
      </c>
      <c r="H262">
        <v>274230</v>
      </c>
      <c r="I262">
        <v>102164</v>
      </c>
      <c r="J262">
        <v>100906</v>
      </c>
      <c r="K262">
        <v>590738</v>
      </c>
      <c r="L262">
        <v>-13124</v>
      </c>
      <c r="M262">
        <v>9.64</v>
      </c>
      <c r="N262">
        <f t="shared" si="21"/>
        <v>2856071</v>
      </c>
      <c r="O262">
        <v>27082000</v>
      </c>
      <c r="P262" s="2">
        <f t="shared" si="22"/>
        <v>10.546012111365483</v>
      </c>
      <c r="Q262" s="3" t="str">
        <f t="shared" si="23"/>
        <v/>
      </c>
      <c r="R262" s="2">
        <f t="shared" si="20"/>
        <v>10.546012111365483</v>
      </c>
      <c r="S262" s="5">
        <f t="shared" si="24"/>
        <v>26.107048000000002</v>
      </c>
    </row>
    <row r="263" spans="1:19" x14ac:dyDescent="0.4">
      <c r="A263">
        <v>20210806</v>
      </c>
      <c r="B263" s="1">
        <v>0.4375</v>
      </c>
      <c r="C263">
        <v>39322</v>
      </c>
      <c r="D263">
        <v>489855</v>
      </c>
      <c r="E263">
        <v>869041</v>
      </c>
      <c r="F263">
        <v>478418</v>
      </c>
      <c r="G263">
        <v>48253</v>
      </c>
      <c r="H263">
        <v>306726</v>
      </c>
      <c r="I263">
        <v>60327</v>
      </c>
      <c r="J263">
        <v>86268</v>
      </c>
      <c r="K263">
        <v>682812</v>
      </c>
      <c r="L263">
        <v>-17231</v>
      </c>
      <c r="M263">
        <v>9.76</v>
      </c>
      <c r="N263">
        <f t="shared" si="21"/>
        <v>3043791</v>
      </c>
      <c r="O263">
        <v>27312750</v>
      </c>
      <c r="P263" s="2">
        <f t="shared" si="22"/>
        <v>11.144212867616773</v>
      </c>
      <c r="Q263" s="3" t="str">
        <f t="shared" si="23"/>
        <v/>
      </c>
      <c r="R263" s="2">
        <f t="shared" si="20"/>
        <v>11.144212867616773</v>
      </c>
      <c r="S263" s="5">
        <f t="shared" si="24"/>
        <v>26.657243999999999</v>
      </c>
    </row>
    <row r="264" spans="1:19" x14ac:dyDescent="0.4">
      <c r="A264">
        <v>20210806</v>
      </c>
      <c r="B264" s="1">
        <v>0.45833333333333331</v>
      </c>
      <c r="C264">
        <v>946</v>
      </c>
      <c r="D264">
        <v>350534</v>
      </c>
      <c r="E264">
        <v>866302</v>
      </c>
      <c r="F264">
        <v>438308</v>
      </c>
      <c r="G264">
        <v>54750</v>
      </c>
      <c r="H264">
        <v>342875</v>
      </c>
      <c r="I264">
        <v>176859</v>
      </c>
      <c r="J264">
        <v>76196</v>
      </c>
      <c r="K264">
        <v>621486</v>
      </c>
      <c r="L264">
        <v>-2358</v>
      </c>
      <c r="M264">
        <v>10.27</v>
      </c>
      <c r="N264">
        <f t="shared" si="21"/>
        <v>2925898</v>
      </c>
      <c r="O264">
        <v>27681950</v>
      </c>
      <c r="P264" s="2">
        <f t="shared" si="22"/>
        <v>10.569696137735962</v>
      </c>
      <c r="Q264" s="3" t="str">
        <f t="shared" si="23"/>
        <v/>
      </c>
      <c r="R264" s="2">
        <f t="shared" si="20"/>
        <v>10.569696137735962</v>
      </c>
      <c r="S264" s="5">
        <f t="shared" si="24"/>
        <v>28.429362650000002</v>
      </c>
    </row>
    <row r="265" spans="1:19" x14ac:dyDescent="0.4">
      <c r="A265">
        <v>20210806</v>
      </c>
      <c r="B265" s="1">
        <v>0.47916666666666669</v>
      </c>
      <c r="C265">
        <v>-20945</v>
      </c>
      <c r="D265">
        <v>393012</v>
      </c>
      <c r="E265">
        <v>982036</v>
      </c>
      <c r="F265">
        <v>620678</v>
      </c>
      <c r="G265">
        <v>55037</v>
      </c>
      <c r="H265">
        <v>392703</v>
      </c>
      <c r="I265">
        <v>151853</v>
      </c>
      <c r="J265">
        <v>-86886</v>
      </c>
      <c r="K265">
        <v>604721</v>
      </c>
      <c r="L265">
        <v>-5508</v>
      </c>
      <c r="M265">
        <v>10.27</v>
      </c>
      <c r="N265">
        <f t="shared" si="21"/>
        <v>3086701</v>
      </c>
      <c r="O265">
        <v>27610750</v>
      </c>
      <c r="P265" s="2">
        <f t="shared" si="22"/>
        <v>11.179345001493983</v>
      </c>
      <c r="Q265" s="3" t="str">
        <f t="shared" si="23"/>
        <v/>
      </c>
      <c r="R265" s="2">
        <f t="shared" si="20"/>
        <v>11.179345001493983</v>
      </c>
      <c r="S265" s="5">
        <f t="shared" si="24"/>
        <v>28.356240249999999</v>
      </c>
    </row>
    <row r="266" spans="1:19" x14ac:dyDescent="0.4">
      <c r="A266">
        <v>20210806</v>
      </c>
      <c r="B266" s="1">
        <v>0.5</v>
      </c>
      <c r="C266">
        <v>-12992</v>
      </c>
      <c r="D266">
        <v>321556</v>
      </c>
      <c r="E266">
        <v>604538</v>
      </c>
      <c r="F266">
        <v>516570</v>
      </c>
      <c r="G266">
        <v>73271</v>
      </c>
      <c r="H266">
        <v>437258</v>
      </c>
      <c r="I266">
        <v>145473</v>
      </c>
      <c r="J266">
        <v>-123846</v>
      </c>
      <c r="K266">
        <v>561187</v>
      </c>
      <c r="L266">
        <v>-13298</v>
      </c>
      <c r="M266">
        <v>9.9499999999999993</v>
      </c>
      <c r="N266">
        <f t="shared" si="21"/>
        <v>2509717</v>
      </c>
      <c r="O266">
        <v>27484550</v>
      </c>
      <c r="P266" s="2">
        <f t="shared" si="22"/>
        <v>9.1313738081940574</v>
      </c>
      <c r="Q266" s="3" t="str">
        <f t="shared" si="23"/>
        <v/>
      </c>
      <c r="R266" s="2">
        <f t="shared" si="20"/>
        <v>9.1313738081940574</v>
      </c>
      <c r="S266" s="5">
        <f t="shared" si="24"/>
        <v>27.34712725</v>
      </c>
    </row>
    <row r="267" spans="1:19" x14ac:dyDescent="0.4">
      <c r="A267">
        <v>20210806</v>
      </c>
      <c r="B267" s="1">
        <v>0.52083333333333337</v>
      </c>
      <c r="C267">
        <v>19812</v>
      </c>
      <c r="D267">
        <v>317437</v>
      </c>
      <c r="E267">
        <v>596816</v>
      </c>
      <c r="F267">
        <v>305322</v>
      </c>
      <c r="G267">
        <v>71290</v>
      </c>
      <c r="H267">
        <v>360775</v>
      </c>
      <c r="I267">
        <v>202776</v>
      </c>
      <c r="J267">
        <v>-193012</v>
      </c>
      <c r="K267">
        <v>637360</v>
      </c>
      <c r="L267">
        <v>-13134</v>
      </c>
      <c r="M267">
        <v>9.9499999999999993</v>
      </c>
      <c r="N267">
        <f t="shared" si="21"/>
        <v>2305442</v>
      </c>
      <c r="O267">
        <v>27451800</v>
      </c>
      <c r="P267" s="2">
        <f t="shared" si="22"/>
        <v>8.3981451125244977</v>
      </c>
      <c r="Q267" t="str">
        <f t="shared" si="23"/>
        <v/>
      </c>
      <c r="R267" s="2">
        <f t="shared" si="20"/>
        <v>8.3981451125244977</v>
      </c>
      <c r="S267" s="5">
        <f t="shared" si="24"/>
        <v>27.314540999999998</v>
      </c>
    </row>
    <row r="268" spans="1:19" x14ac:dyDescent="0.4">
      <c r="A268">
        <v>20210806</v>
      </c>
      <c r="B268" s="1">
        <v>0.54166666666666663</v>
      </c>
      <c r="C268">
        <v>-76563</v>
      </c>
      <c r="D268">
        <v>413147</v>
      </c>
      <c r="E268">
        <v>828423</v>
      </c>
      <c r="F268">
        <v>473517</v>
      </c>
      <c r="G268">
        <v>41463</v>
      </c>
      <c r="H268">
        <v>234225</v>
      </c>
      <c r="I268">
        <v>189330</v>
      </c>
      <c r="J268">
        <v>-205649</v>
      </c>
      <c r="K268">
        <v>504223</v>
      </c>
      <c r="L268">
        <v>-5335</v>
      </c>
      <c r="M268">
        <v>10.02</v>
      </c>
      <c r="N268">
        <f t="shared" si="21"/>
        <v>2396781</v>
      </c>
      <c r="O268">
        <v>26893400</v>
      </c>
      <c r="P268" s="2">
        <f t="shared" si="22"/>
        <v>8.9121531676917005</v>
      </c>
      <c r="Q268" s="3" t="str">
        <f t="shared" si="23"/>
        <v/>
      </c>
      <c r="R268" s="2">
        <f t="shared" si="20"/>
        <v>8.9121531676917005</v>
      </c>
      <c r="S268" s="5">
        <f t="shared" si="24"/>
        <v>26.947186800000001</v>
      </c>
    </row>
    <row r="269" spans="1:19" x14ac:dyDescent="0.4">
      <c r="A269">
        <v>20210806</v>
      </c>
      <c r="B269" s="1">
        <v>0.5625</v>
      </c>
      <c r="C269">
        <v>-8234</v>
      </c>
      <c r="D269">
        <v>505295</v>
      </c>
      <c r="E269">
        <v>731181</v>
      </c>
      <c r="F269">
        <v>277903</v>
      </c>
      <c r="G269">
        <v>44025</v>
      </c>
      <c r="H269">
        <v>251461</v>
      </c>
      <c r="I269">
        <v>127450</v>
      </c>
      <c r="J269">
        <v>-163275</v>
      </c>
      <c r="K269">
        <v>461474</v>
      </c>
      <c r="L269">
        <v>-3580</v>
      </c>
      <c r="M269">
        <v>10.27</v>
      </c>
      <c r="N269">
        <f t="shared" si="21"/>
        <v>2223700</v>
      </c>
      <c r="O269">
        <v>26818500</v>
      </c>
      <c r="P269" s="2">
        <f t="shared" si="22"/>
        <v>8.2916643361858426</v>
      </c>
      <c r="Q269" s="3" t="str">
        <f t="shared" si="23"/>
        <v/>
      </c>
      <c r="R269" s="2">
        <f t="shared" si="20"/>
        <v>8.2916643361858426</v>
      </c>
      <c r="S269" s="5">
        <f t="shared" si="24"/>
        <v>27.542599500000001</v>
      </c>
    </row>
    <row r="270" spans="1:19" x14ac:dyDescent="0.4">
      <c r="A270">
        <v>20210806</v>
      </c>
      <c r="B270" s="1">
        <v>0.58333333333333337</v>
      </c>
      <c r="C270">
        <v>-49999</v>
      </c>
      <c r="D270">
        <v>448263</v>
      </c>
      <c r="E270">
        <v>733533</v>
      </c>
      <c r="F270">
        <v>304014</v>
      </c>
      <c r="G270">
        <v>48342</v>
      </c>
      <c r="H270">
        <v>35173</v>
      </c>
      <c r="I270">
        <v>128069</v>
      </c>
      <c r="J270">
        <v>-174380</v>
      </c>
      <c r="K270">
        <v>600378</v>
      </c>
      <c r="L270">
        <v>-11475</v>
      </c>
      <c r="M270">
        <v>10.35</v>
      </c>
      <c r="N270">
        <f t="shared" si="21"/>
        <v>2061918</v>
      </c>
      <c r="O270">
        <v>26407800</v>
      </c>
      <c r="P270" s="2">
        <f t="shared" si="22"/>
        <v>7.8079885488378435</v>
      </c>
      <c r="Q270" s="3" t="str">
        <f t="shared" si="23"/>
        <v/>
      </c>
      <c r="R270" s="2">
        <f t="shared" si="20"/>
        <v>7.8079885488378435</v>
      </c>
      <c r="S270" s="5">
        <f t="shared" si="24"/>
        <v>27.332073000000001</v>
      </c>
    </row>
    <row r="271" spans="1:19" x14ac:dyDescent="0.4">
      <c r="A271">
        <v>20210806</v>
      </c>
      <c r="B271" s="1">
        <v>0.60416666666666663</v>
      </c>
      <c r="C271">
        <v>-1385</v>
      </c>
      <c r="D271">
        <v>504899</v>
      </c>
      <c r="E271">
        <v>629556</v>
      </c>
      <c r="F271">
        <v>505278</v>
      </c>
      <c r="G271">
        <v>46289</v>
      </c>
      <c r="H271">
        <v>61028</v>
      </c>
      <c r="I271">
        <v>128784</v>
      </c>
      <c r="J271">
        <v>-141124</v>
      </c>
      <c r="K271">
        <v>650342</v>
      </c>
      <c r="L271">
        <v>-12198</v>
      </c>
      <c r="M271">
        <v>13.41</v>
      </c>
      <c r="N271">
        <f t="shared" si="21"/>
        <v>2371469</v>
      </c>
      <c r="O271">
        <v>26121350</v>
      </c>
      <c r="P271" s="2">
        <f t="shared" si="22"/>
        <v>9.0786617077601264</v>
      </c>
      <c r="Q271" s="3" t="str">
        <f t="shared" si="23"/>
        <v/>
      </c>
      <c r="R271" s="2">
        <f t="shared" si="20"/>
        <v>9.0786617077601264</v>
      </c>
      <c r="S271" s="5">
        <f t="shared" si="24"/>
        <v>35.028730349999996</v>
      </c>
    </row>
    <row r="272" spans="1:19" x14ac:dyDescent="0.4">
      <c r="A272">
        <v>20210806</v>
      </c>
      <c r="B272" s="1">
        <v>0.625</v>
      </c>
      <c r="C272">
        <v>-56636</v>
      </c>
      <c r="D272">
        <v>485879</v>
      </c>
      <c r="E272">
        <v>429013</v>
      </c>
      <c r="F272">
        <v>521180</v>
      </c>
      <c r="G272">
        <v>33845</v>
      </c>
      <c r="H272">
        <v>86585</v>
      </c>
      <c r="I272">
        <v>72175</v>
      </c>
      <c r="J272">
        <v>-132784</v>
      </c>
      <c r="K272">
        <v>600378</v>
      </c>
      <c r="L272">
        <v>-5134</v>
      </c>
      <c r="M272">
        <v>14.81</v>
      </c>
      <c r="N272">
        <f t="shared" si="21"/>
        <v>2034501</v>
      </c>
      <c r="O272">
        <v>25795350</v>
      </c>
      <c r="P272" s="2">
        <f t="shared" si="22"/>
        <v>7.8870843000773396</v>
      </c>
      <c r="Q272" s="3" t="str">
        <f t="shared" si="23"/>
        <v/>
      </c>
      <c r="R272" s="2">
        <f t="shared" si="20"/>
        <v>7.8870843000773396</v>
      </c>
      <c r="S272" s="5">
        <f t="shared" si="24"/>
        <v>38.202913350000003</v>
      </c>
    </row>
    <row r="273" spans="1:19" x14ac:dyDescent="0.4">
      <c r="A273">
        <v>20210806</v>
      </c>
      <c r="B273" s="1">
        <v>0.64583333333333337</v>
      </c>
      <c r="C273">
        <v>7045</v>
      </c>
      <c r="D273">
        <v>367472</v>
      </c>
      <c r="E273">
        <v>273944</v>
      </c>
      <c r="F273">
        <v>227115</v>
      </c>
      <c r="G273">
        <v>48878</v>
      </c>
      <c r="H273">
        <v>70826</v>
      </c>
      <c r="I273">
        <v>68894</v>
      </c>
      <c r="J273">
        <v>-98359</v>
      </c>
      <c r="K273">
        <v>446284</v>
      </c>
      <c r="L273">
        <v>-1561</v>
      </c>
      <c r="M273">
        <v>15.46</v>
      </c>
      <c r="N273">
        <f t="shared" si="21"/>
        <v>1410538</v>
      </c>
      <c r="O273">
        <v>25448300</v>
      </c>
      <c r="P273" s="2">
        <f t="shared" si="22"/>
        <v>5.5427592412852729</v>
      </c>
      <c r="Q273" s="3" t="str">
        <f t="shared" si="23"/>
        <v/>
      </c>
      <c r="R273" s="2">
        <f t="shared" si="20"/>
        <v>5.5427592412852729</v>
      </c>
      <c r="S273" s="5">
        <f t="shared" si="24"/>
        <v>39.343071799999997</v>
      </c>
    </row>
    <row r="274" spans="1:19" x14ac:dyDescent="0.4">
      <c r="A274">
        <v>20210806</v>
      </c>
      <c r="B274" s="1">
        <v>0.66666666666666663</v>
      </c>
      <c r="C274">
        <v>-50685</v>
      </c>
      <c r="D274">
        <v>193660</v>
      </c>
      <c r="E274">
        <v>-163500</v>
      </c>
      <c r="F274">
        <v>125068</v>
      </c>
      <c r="G274">
        <v>53055</v>
      </c>
      <c r="H274">
        <v>-5189</v>
      </c>
      <c r="I274">
        <v>96132</v>
      </c>
      <c r="J274">
        <v>-52176</v>
      </c>
      <c r="K274">
        <v>265436</v>
      </c>
      <c r="L274">
        <v>6283</v>
      </c>
      <c r="M274">
        <v>14.7</v>
      </c>
      <c r="N274">
        <f t="shared" si="21"/>
        <v>468084</v>
      </c>
      <c r="O274">
        <v>25842300</v>
      </c>
      <c r="P274" s="2">
        <f t="shared" si="22"/>
        <v>1.8113093648785132</v>
      </c>
      <c r="Q274" t="str">
        <f t="shared" si="23"/>
        <v/>
      </c>
      <c r="R274" s="2">
        <f t="shared" si="20"/>
        <v>1.8113093648785132</v>
      </c>
      <c r="S274" s="5">
        <f t="shared" si="24"/>
        <v>37.988180999999997</v>
      </c>
    </row>
    <row r="275" spans="1:19" x14ac:dyDescent="0.4">
      <c r="A275">
        <v>20210806</v>
      </c>
      <c r="B275" s="1">
        <v>0.6875</v>
      </c>
      <c r="C275">
        <v>-101126</v>
      </c>
      <c r="D275">
        <v>11505</v>
      </c>
      <c r="E275">
        <v>-507239</v>
      </c>
      <c r="F275">
        <v>52377</v>
      </c>
      <c r="G275">
        <v>29171</v>
      </c>
      <c r="H275">
        <v>143047</v>
      </c>
      <c r="I275">
        <v>108513</v>
      </c>
      <c r="J275">
        <v>-83531</v>
      </c>
      <c r="K275">
        <v>249626</v>
      </c>
      <c r="L275">
        <v>2163</v>
      </c>
      <c r="M275">
        <v>15.46</v>
      </c>
      <c r="N275">
        <f t="shared" si="21"/>
        <v>-95494</v>
      </c>
      <c r="O275">
        <v>25315750</v>
      </c>
      <c r="P275" s="2">
        <f t="shared" si="22"/>
        <v>0.37721181477933696</v>
      </c>
      <c r="Q275" s="3" t="str">
        <f t="shared" si="23"/>
        <v>〇</v>
      </c>
      <c r="R275" s="2">
        <f t="shared" si="20"/>
        <v>-0.37721181477933696</v>
      </c>
      <c r="S275" s="5">
        <f t="shared" si="24"/>
        <v>39.138149499999997</v>
      </c>
    </row>
    <row r="276" spans="1:19" x14ac:dyDescent="0.4">
      <c r="A276">
        <v>20210806</v>
      </c>
      <c r="B276" s="1">
        <v>0.70833333333333337</v>
      </c>
      <c r="C276">
        <v>-56792</v>
      </c>
      <c r="D276">
        <v>-93000</v>
      </c>
      <c r="E276">
        <v>-625347</v>
      </c>
      <c r="F276">
        <v>226780</v>
      </c>
      <c r="G276">
        <v>18979</v>
      </c>
      <c r="H276">
        <v>448489</v>
      </c>
      <c r="I276">
        <v>492314</v>
      </c>
      <c r="J276">
        <v>-25786</v>
      </c>
      <c r="K276">
        <v>146986</v>
      </c>
      <c r="L276">
        <v>682</v>
      </c>
      <c r="M276">
        <v>20</v>
      </c>
      <c r="N276">
        <f t="shared" si="21"/>
        <v>533305</v>
      </c>
      <c r="O276">
        <v>24519600</v>
      </c>
      <c r="P276" s="2">
        <f t="shared" si="22"/>
        <v>2.1750150899688414</v>
      </c>
      <c r="Q276" s="3" t="str">
        <f t="shared" si="23"/>
        <v/>
      </c>
      <c r="R276" s="2">
        <f t="shared" si="20"/>
        <v>2.1750150899688414</v>
      </c>
      <c r="S276" s="5">
        <f t="shared" si="24"/>
        <v>49.039200000000001</v>
      </c>
    </row>
    <row r="277" spans="1:19" x14ac:dyDescent="0.4">
      <c r="A277">
        <v>20210806</v>
      </c>
      <c r="B277" s="1">
        <v>0.72916666666666663</v>
      </c>
      <c r="C277">
        <v>-47941</v>
      </c>
      <c r="D277">
        <v>-84834</v>
      </c>
      <c r="E277">
        <v>-708038</v>
      </c>
      <c r="F277">
        <v>358507</v>
      </c>
      <c r="G277">
        <v>6433</v>
      </c>
      <c r="H277">
        <v>394822</v>
      </c>
      <c r="I277">
        <v>351941</v>
      </c>
      <c r="J277">
        <v>18184</v>
      </c>
      <c r="K277">
        <v>-17425</v>
      </c>
      <c r="L277">
        <v>7264</v>
      </c>
      <c r="M277">
        <v>20.81</v>
      </c>
      <c r="N277">
        <f t="shared" si="21"/>
        <v>278913</v>
      </c>
      <c r="O277">
        <v>24025900</v>
      </c>
      <c r="P277" s="2">
        <f t="shared" si="22"/>
        <v>1.1608847119150583</v>
      </c>
      <c r="Q277" s="3" t="str">
        <f t="shared" si="23"/>
        <v/>
      </c>
      <c r="R277" s="2">
        <f t="shared" si="20"/>
        <v>1.1608847119150583</v>
      </c>
      <c r="S277" s="5">
        <f t="shared" si="24"/>
        <v>49.997897899999991</v>
      </c>
    </row>
    <row r="278" spans="1:19" x14ac:dyDescent="0.4">
      <c r="A278">
        <v>20210806</v>
      </c>
      <c r="B278" s="1">
        <v>0.75</v>
      </c>
      <c r="C278">
        <v>-15285</v>
      </c>
      <c r="D278">
        <v>-30186</v>
      </c>
      <c r="E278">
        <v>-676192</v>
      </c>
      <c r="F278">
        <v>494634</v>
      </c>
      <c r="G278">
        <v>-6539</v>
      </c>
      <c r="H278">
        <v>490081</v>
      </c>
      <c r="I278">
        <v>80553</v>
      </c>
      <c r="J278">
        <v>78582</v>
      </c>
      <c r="K278">
        <v>19829</v>
      </c>
      <c r="L278">
        <v>13825</v>
      </c>
      <c r="M278">
        <v>20.79</v>
      </c>
      <c r="N278">
        <f t="shared" si="21"/>
        <v>449302</v>
      </c>
      <c r="O278">
        <v>23372750</v>
      </c>
      <c r="P278" s="2">
        <f t="shared" si="22"/>
        <v>1.9223326309484334</v>
      </c>
      <c r="Q278" s="3" t="str">
        <f t="shared" si="23"/>
        <v/>
      </c>
      <c r="R278" s="2">
        <f t="shared" si="20"/>
        <v>1.9223326309484334</v>
      </c>
      <c r="S278" s="5">
        <f t="shared" si="24"/>
        <v>48.591947249999997</v>
      </c>
    </row>
    <row r="279" spans="1:19" x14ac:dyDescent="0.4">
      <c r="A279">
        <v>20210806</v>
      </c>
      <c r="B279" s="1">
        <v>0.77083333333333337</v>
      </c>
      <c r="C279">
        <v>-9068</v>
      </c>
      <c r="D279">
        <v>100301</v>
      </c>
      <c r="E279">
        <v>-572718</v>
      </c>
      <c r="F279">
        <v>435254</v>
      </c>
      <c r="G279">
        <v>-3830</v>
      </c>
      <c r="H279">
        <v>399461</v>
      </c>
      <c r="I279">
        <v>68522</v>
      </c>
      <c r="J279">
        <v>123882</v>
      </c>
      <c r="K279">
        <v>-28691</v>
      </c>
      <c r="L279">
        <v>6885</v>
      </c>
      <c r="M279">
        <v>20.81</v>
      </c>
      <c r="N279">
        <f t="shared" si="21"/>
        <v>519998</v>
      </c>
      <c r="O279">
        <v>23475300</v>
      </c>
      <c r="P279" s="2">
        <f t="shared" si="22"/>
        <v>2.2150856432079675</v>
      </c>
      <c r="Q279" s="3" t="str">
        <f t="shared" si="23"/>
        <v/>
      </c>
      <c r="R279" s="2">
        <f t="shared" si="20"/>
        <v>2.2150856432079675</v>
      </c>
      <c r="S279" s="5">
        <f t="shared" si="24"/>
        <v>48.852099299999992</v>
      </c>
    </row>
    <row r="280" spans="1:19" x14ac:dyDescent="0.4">
      <c r="A280">
        <v>20210806</v>
      </c>
      <c r="B280" s="1">
        <v>0.79166666666666663</v>
      </c>
      <c r="C280">
        <v>-53987</v>
      </c>
      <c r="D280">
        <v>22608</v>
      </c>
      <c r="E280">
        <v>-576104</v>
      </c>
      <c r="F280">
        <v>348226</v>
      </c>
      <c r="G280">
        <v>-8111</v>
      </c>
      <c r="H280">
        <v>406148</v>
      </c>
      <c r="I280">
        <v>-21938</v>
      </c>
      <c r="J280">
        <v>160789</v>
      </c>
      <c r="K280">
        <v>33332</v>
      </c>
      <c r="L280">
        <v>7091</v>
      </c>
      <c r="M280">
        <v>16.2</v>
      </c>
      <c r="N280">
        <f t="shared" si="21"/>
        <v>318054</v>
      </c>
      <c r="O280">
        <v>23273400</v>
      </c>
      <c r="P280" s="2">
        <f t="shared" si="22"/>
        <v>1.3665987780040734</v>
      </c>
      <c r="Q280" s="3" t="str">
        <f t="shared" si="23"/>
        <v/>
      </c>
      <c r="R280" s="2">
        <f t="shared" si="20"/>
        <v>1.3665987780040734</v>
      </c>
      <c r="S280" s="5">
        <f t="shared" si="24"/>
        <v>37.702908000000001</v>
      </c>
    </row>
    <row r="281" spans="1:19" x14ac:dyDescent="0.4">
      <c r="A281">
        <v>20210806</v>
      </c>
      <c r="B281" s="1">
        <v>0.8125</v>
      </c>
      <c r="C281">
        <v>32107</v>
      </c>
      <c r="D281">
        <v>7855</v>
      </c>
      <c r="E281">
        <v>-779634</v>
      </c>
      <c r="F281">
        <v>381923</v>
      </c>
      <c r="G281">
        <v>1316</v>
      </c>
      <c r="H281">
        <v>396479</v>
      </c>
      <c r="I281">
        <v>-37942</v>
      </c>
      <c r="J281">
        <v>142652</v>
      </c>
      <c r="K281">
        <v>62135</v>
      </c>
      <c r="L281">
        <v>9202</v>
      </c>
      <c r="M281">
        <v>10.84</v>
      </c>
      <c r="N281">
        <f t="shared" si="21"/>
        <v>216093</v>
      </c>
      <c r="O281">
        <v>23221650</v>
      </c>
      <c r="P281" s="2">
        <f t="shared" si="22"/>
        <v>0.93056694937698226</v>
      </c>
      <c r="Q281" t="str">
        <f t="shared" si="23"/>
        <v/>
      </c>
      <c r="R281" s="2">
        <f t="shared" si="20"/>
        <v>0.93056694937698226</v>
      </c>
      <c r="S281" s="5">
        <f t="shared" si="24"/>
        <v>25.172268599999999</v>
      </c>
    </row>
    <row r="282" spans="1:19" x14ac:dyDescent="0.4">
      <c r="A282">
        <v>20210806</v>
      </c>
      <c r="B282" s="1">
        <v>0.83333333333333337</v>
      </c>
      <c r="C282">
        <v>35122</v>
      </c>
      <c r="D282">
        <v>90559</v>
      </c>
      <c r="E282">
        <v>-773180</v>
      </c>
      <c r="F282">
        <v>356471</v>
      </c>
      <c r="G282">
        <v>10189</v>
      </c>
      <c r="H282">
        <v>500639</v>
      </c>
      <c r="I282">
        <v>51754</v>
      </c>
      <c r="J282">
        <v>139491</v>
      </c>
      <c r="K282">
        <v>1006</v>
      </c>
      <c r="L282">
        <v>272</v>
      </c>
      <c r="M282">
        <v>10.220000000000001</v>
      </c>
      <c r="N282">
        <f t="shared" si="21"/>
        <v>412323</v>
      </c>
      <c r="O282">
        <v>22397050</v>
      </c>
      <c r="P282" s="2">
        <f t="shared" si="22"/>
        <v>1.8409701277623616</v>
      </c>
      <c r="Q282" s="3" t="str">
        <f t="shared" si="23"/>
        <v/>
      </c>
      <c r="R282" s="2">
        <f t="shared" si="20"/>
        <v>1.8409701277623616</v>
      </c>
      <c r="S282" s="5">
        <f t="shared" si="24"/>
        <v>22.889785100000001</v>
      </c>
    </row>
    <row r="283" spans="1:19" x14ac:dyDescent="0.4">
      <c r="A283">
        <v>20210806</v>
      </c>
      <c r="B283" s="1">
        <v>0.85416666666666663</v>
      </c>
      <c r="C283">
        <v>-14111</v>
      </c>
      <c r="D283">
        <v>40934</v>
      </c>
      <c r="E283">
        <v>-453649</v>
      </c>
      <c r="F283">
        <v>113407</v>
      </c>
      <c r="G283">
        <v>-28519</v>
      </c>
      <c r="H283">
        <v>220354</v>
      </c>
      <c r="I283">
        <v>-38614</v>
      </c>
      <c r="J283">
        <v>17190</v>
      </c>
      <c r="K283">
        <v>81243</v>
      </c>
      <c r="L283">
        <v>8974</v>
      </c>
      <c r="M283">
        <v>10.220000000000001</v>
      </c>
      <c r="N283">
        <f t="shared" si="21"/>
        <v>-52791</v>
      </c>
      <c r="O283">
        <v>22241950</v>
      </c>
      <c r="P283" s="2">
        <f t="shared" si="22"/>
        <v>0.23734879360847408</v>
      </c>
      <c r="Q283" s="3" t="str">
        <f t="shared" si="23"/>
        <v>〇</v>
      </c>
      <c r="R283" s="2">
        <f t="shared" si="20"/>
        <v>-0.23734879360847408</v>
      </c>
      <c r="S283" s="5">
        <f t="shared" si="24"/>
        <v>22.7312729</v>
      </c>
    </row>
    <row r="284" spans="1:19" x14ac:dyDescent="0.4">
      <c r="A284">
        <v>20210806</v>
      </c>
      <c r="B284" s="1">
        <v>0.875</v>
      </c>
      <c r="C284">
        <v>62128</v>
      </c>
      <c r="D284">
        <v>107797</v>
      </c>
      <c r="E284">
        <v>-436161</v>
      </c>
      <c r="F284">
        <v>31836</v>
      </c>
      <c r="G284">
        <v>-45896</v>
      </c>
      <c r="H284">
        <v>249882</v>
      </c>
      <c r="I284">
        <v>12120</v>
      </c>
      <c r="J284">
        <v>14574</v>
      </c>
      <c r="K284">
        <v>33772</v>
      </c>
      <c r="L284">
        <v>1767</v>
      </c>
      <c r="M284">
        <v>9.92</v>
      </c>
      <c r="N284">
        <f t="shared" si="21"/>
        <v>31819</v>
      </c>
      <c r="O284">
        <v>21954550</v>
      </c>
      <c r="P284" s="2">
        <f t="shared" si="22"/>
        <v>0.14493123293349214</v>
      </c>
      <c r="Q284" s="3" t="str">
        <f t="shared" si="23"/>
        <v/>
      </c>
      <c r="R284" s="2">
        <f t="shared" si="20"/>
        <v>0.14493123293349214</v>
      </c>
      <c r="S284" s="5">
        <f t="shared" si="24"/>
        <v>21.778913599999999</v>
      </c>
    </row>
    <row r="285" spans="1:19" x14ac:dyDescent="0.4">
      <c r="A285">
        <v>20210806</v>
      </c>
      <c r="B285" s="1">
        <v>0.89583333333333337</v>
      </c>
      <c r="C285">
        <v>57719</v>
      </c>
      <c r="D285">
        <v>60769</v>
      </c>
      <c r="E285">
        <v>-348709</v>
      </c>
      <c r="F285">
        <v>25321</v>
      </c>
      <c r="G285">
        <v>-35719</v>
      </c>
      <c r="H285">
        <v>199863</v>
      </c>
      <c r="I285">
        <v>-59055</v>
      </c>
      <c r="J285">
        <v>15977</v>
      </c>
      <c r="K285">
        <v>42851</v>
      </c>
      <c r="L285">
        <v>6518</v>
      </c>
      <c r="M285">
        <v>9.65</v>
      </c>
      <c r="N285">
        <f t="shared" si="21"/>
        <v>-34465</v>
      </c>
      <c r="O285">
        <v>21706150</v>
      </c>
      <c r="P285" s="2">
        <f t="shared" si="22"/>
        <v>0.15877988496347809</v>
      </c>
      <c r="Q285" s="3" t="str">
        <f t="shared" si="23"/>
        <v>〇</v>
      </c>
      <c r="R285" s="2">
        <f t="shared" si="20"/>
        <v>-0.15877988496347809</v>
      </c>
      <c r="S285" s="5">
        <f t="shared" si="24"/>
        <v>20.946434750000002</v>
      </c>
    </row>
    <row r="286" spans="1:19" x14ac:dyDescent="0.4">
      <c r="A286">
        <v>20210806</v>
      </c>
      <c r="B286" s="1">
        <v>0.91666666666666663</v>
      </c>
      <c r="C286">
        <v>63569</v>
      </c>
      <c r="D286">
        <v>101277</v>
      </c>
      <c r="E286">
        <v>-309760</v>
      </c>
      <c r="F286">
        <v>81355</v>
      </c>
      <c r="G286">
        <v>-59045</v>
      </c>
      <c r="H286">
        <v>88463</v>
      </c>
      <c r="I286">
        <v>-30888</v>
      </c>
      <c r="J286">
        <v>14110</v>
      </c>
      <c r="K286">
        <v>50291</v>
      </c>
      <c r="L286">
        <v>-3251</v>
      </c>
      <c r="M286">
        <v>9.61</v>
      </c>
      <c r="N286">
        <f t="shared" si="21"/>
        <v>-3879</v>
      </c>
      <c r="O286">
        <v>20804850</v>
      </c>
      <c r="P286" s="2">
        <f t="shared" si="22"/>
        <v>1.8644691021564682E-2</v>
      </c>
      <c r="Q286" s="3" t="str">
        <f t="shared" si="23"/>
        <v>〇</v>
      </c>
      <c r="R286" s="2">
        <f t="shared" si="20"/>
        <v>-1.8644691021564682E-2</v>
      </c>
      <c r="S286" s="5">
        <f t="shared" si="24"/>
        <v>19.993460850000002</v>
      </c>
    </row>
    <row r="287" spans="1:19" x14ac:dyDescent="0.4">
      <c r="A287">
        <v>20210806</v>
      </c>
      <c r="B287" s="1">
        <v>0.9375</v>
      </c>
      <c r="C287">
        <v>12592</v>
      </c>
      <c r="D287">
        <v>52131</v>
      </c>
      <c r="E287">
        <v>-328693</v>
      </c>
      <c r="F287">
        <v>27728</v>
      </c>
      <c r="G287">
        <v>-60834</v>
      </c>
      <c r="H287">
        <v>66176</v>
      </c>
      <c r="I287">
        <v>-31292</v>
      </c>
      <c r="J287">
        <v>-281</v>
      </c>
      <c r="K287">
        <v>32278</v>
      </c>
      <c r="L287">
        <v>-992</v>
      </c>
      <c r="M287">
        <v>9.4600000000000009</v>
      </c>
      <c r="N287">
        <f t="shared" si="21"/>
        <v>-231187</v>
      </c>
      <c r="O287">
        <v>20767550</v>
      </c>
      <c r="P287" s="2">
        <f t="shared" si="22"/>
        <v>1.1132126803595033</v>
      </c>
      <c r="Q287" s="3" t="str">
        <f t="shared" si="23"/>
        <v>〇</v>
      </c>
      <c r="R287" s="2">
        <f t="shared" si="20"/>
        <v>-1.1132126803595033</v>
      </c>
      <c r="S287" s="5">
        <f t="shared" si="24"/>
        <v>19.646102300000003</v>
      </c>
    </row>
    <row r="288" spans="1:19" x14ac:dyDescent="0.4">
      <c r="A288">
        <v>20210806</v>
      </c>
      <c r="B288" s="1">
        <v>0.95833333333333337</v>
      </c>
      <c r="C288">
        <v>45679</v>
      </c>
      <c r="D288">
        <v>66674</v>
      </c>
      <c r="E288">
        <v>-445080</v>
      </c>
      <c r="F288">
        <v>13417</v>
      </c>
      <c r="G288">
        <v>-92805</v>
      </c>
      <c r="H288">
        <v>38845</v>
      </c>
      <c r="I288">
        <v>2672</v>
      </c>
      <c r="J288">
        <v>-2998</v>
      </c>
      <c r="K288">
        <v>3133</v>
      </c>
      <c r="L288">
        <v>-1400</v>
      </c>
      <c r="M288">
        <v>8.86</v>
      </c>
      <c r="N288">
        <f t="shared" si="21"/>
        <v>-371863</v>
      </c>
      <c r="O288">
        <v>19983850</v>
      </c>
      <c r="P288" s="2">
        <f t="shared" si="22"/>
        <v>1.8608176102202529</v>
      </c>
      <c r="Q288" s="3" t="str">
        <f t="shared" si="23"/>
        <v>〇</v>
      </c>
      <c r="R288" s="2">
        <f t="shared" si="20"/>
        <v>-1.8608176102202529</v>
      </c>
      <c r="S288" s="5">
        <f t="shared" si="24"/>
        <v>17.705691099999999</v>
      </c>
    </row>
    <row r="289" spans="1:19" x14ac:dyDescent="0.4">
      <c r="A289">
        <v>20210806</v>
      </c>
      <c r="B289" s="1">
        <v>0.97916666666666663</v>
      </c>
      <c r="C289">
        <v>56340</v>
      </c>
      <c r="D289">
        <v>102583</v>
      </c>
      <c r="E289">
        <v>-183603</v>
      </c>
      <c r="F289">
        <v>41049</v>
      </c>
      <c r="G289">
        <v>-62845</v>
      </c>
      <c r="H289">
        <v>21065</v>
      </c>
      <c r="I289">
        <v>-35454</v>
      </c>
      <c r="J289">
        <v>-6455</v>
      </c>
      <c r="K289">
        <v>27554</v>
      </c>
      <c r="L289">
        <v>4469</v>
      </c>
      <c r="M289">
        <v>8.66</v>
      </c>
      <c r="N289">
        <f t="shared" si="21"/>
        <v>-35297</v>
      </c>
      <c r="O289">
        <v>19589100</v>
      </c>
      <c r="P289" s="2">
        <f t="shared" si="22"/>
        <v>0.1801869406966119</v>
      </c>
      <c r="Q289" s="3" t="str">
        <f t="shared" si="23"/>
        <v>〇</v>
      </c>
      <c r="R289" s="2">
        <f t="shared" si="20"/>
        <v>-0.1801869406966119</v>
      </c>
      <c r="S289" s="5">
        <f t="shared" si="24"/>
        <v>16.9641606</v>
      </c>
    </row>
    <row r="290" spans="1:19" x14ac:dyDescent="0.4">
      <c r="A290">
        <v>20210807</v>
      </c>
      <c r="B290" s="1">
        <v>0</v>
      </c>
      <c r="C290">
        <v>31636</v>
      </c>
      <c r="D290">
        <v>-45990</v>
      </c>
      <c r="E290">
        <v>-437153</v>
      </c>
      <c r="F290">
        <v>-77310</v>
      </c>
      <c r="G290">
        <v>-29777</v>
      </c>
      <c r="H290">
        <v>90936</v>
      </c>
      <c r="I290">
        <v>34817</v>
      </c>
      <c r="J290">
        <v>-756</v>
      </c>
      <c r="K290">
        <v>15290</v>
      </c>
      <c r="L290">
        <v>3534</v>
      </c>
      <c r="M290">
        <v>8.86</v>
      </c>
      <c r="N290">
        <f t="shared" si="21"/>
        <v>-414773</v>
      </c>
      <c r="O290">
        <v>17648550</v>
      </c>
      <c r="P290" s="2">
        <f t="shared" si="22"/>
        <v>2.3501817429760519</v>
      </c>
      <c r="Q290" s="3" t="str">
        <f t="shared" si="23"/>
        <v>〇</v>
      </c>
      <c r="R290" s="2">
        <f t="shared" si="20"/>
        <v>-2.3501817429760519</v>
      </c>
      <c r="S290" s="5">
        <f t="shared" si="24"/>
        <v>15.636615300000001</v>
      </c>
    </row>
    <row r="291" spans="1:19" x14ac:dyDescent="0.4">
      <c r="A291">
        <v>20210807</v>
      </c>
      <c r="B291" s="1">
        <v>2.0833333333333332E-2</v>
      </c>
      <c r="C291">
        <v>23984</v>
      </c>
      <c r="D291">
        <v>-13672</v>
      </c>
      <c r="E291">
        <v>-298124</v>
      </c>
      <c r="F291">
        <v>-35657</v>
      </c>
      <c r="G291">
        <v>-35424</v>
      </c>
      <c r="H291">
        <v>69225</v>
      </c>
      <c r="I291">
        <v>42639</v>
      </c>
      <c r="J291">
        <v>-4439</v>
      </c>
      <c r="K291">
        <v>-5821</v>
      </c>
      <c r="L291">
        <v>4348</v>
      </c>
      <c r="M291">
        <v>9.06</v>
      </c>
      <c r="N291">
        <f t="shared" si="21"/>
        <v>-252941</v>
      </c>
      <c r="O291">
        <v>18288450</v>
      </c>
      <c r="P291" s="2">
        <f t="shared" si="22"/>
        <v>1.3830641743832857</v>
      </c>
      <c r="Q291" s="3" t="str">
        <f t="shared" si="23"/>
        <v>〇</v>
      </c>
      <c r="R291" s="2">
        <f t="shared" si="20"/>
        <v>-1.3830641743832857</v>
      </c>
      <c r="S291" s="5">
        <f t="shared" si="24"/>
        <v>16.5693357</v>
      </c>
    </row>
    <row r="292" spans="1:19" x14ac:dyDescent="0.4">
      <c r="A292">
        <v>20210807</v>
      </c>
      <c r="B292" s="1">
        <v>4.1666666666666664E-2</v>
      </c>
      <c r="C292">
        <v>54922</v>
      </c>
      <c r="D292">
        <v>-36826</v>
      </c>
      <c r="E292">
        <v>-442033</v>
      </c>
      <c r="F292">
        <v>-105155</v>
      </c>
      <c r="G292">
        <v>-32400</v>
      </c>
      <c r="H292">
        <v>7260</v>
      </c>
      <c r="I292">
        <v>32690</v>
      </c>
      <c r="J292">
        <v>28971</v>
      </c>
      <c r="K292">
        <v>-6150</v>
      </c>
      <c r="L292">
        <v>-2894</v>
      </c>
      <c r="M292">
        <v>8.86</v>
      </c>
      <c r="N292">
        <f t="shared" si="21"/>
        <v>-501615</v>
      </c>
      <c r="O292">
        <v>18651050</v>
      </c>
      <c r="P292" s="2">
        <f t="shared" si="22"/>
        <v>2.6894732468145226</v>
      </c>
      <c r="Q292" s="3" t="str">
        <f t="shared" si="23"/>
        <v>〇</v>
      </c>
      <c r="R292" s="2">
        <f t="shared" si="20"/>
        <v>-2.6894732468145226</v>
      </c>
      <c r="S292" s="5">
        <f t="shared" si="24"/>
        <v>16.524830300000001</v>
      </c>
    </row>
    <row r="293" spans="1:19" x14ac:dyDescent="0.4">
      <c r="A293">
        <v>20210807</v>
      </c>
      <c r="B293" s="1">
        <v>6.25E-2</v>
      </c>
      <c r="C293">
        <v>62669</v>
      </c>
      <c r="D293">
        <v>-51465</v>
      </c>
      <c r="E293">
        <v>-296417</v>
      </c>
      <c r="F293">
        <v>-27873</v>
      </c>
      <c r="G293">
        <v>-25985</v>
      </c>
      <c r="H293">
        <v>-38842</v>
      </c>
      <c r="I293">
        <v>47127</v>
      </c>
      <c r="J293">
        <v>30074</v>
      </c>
      <c r="K293">
        <v>40962</v>
      </c>
      <c r="L293">
        <v>194</v>
      </c>
      <c r="M293">
        <v>8.11</v>
      </c>
      <c r="N293">
        <f t="shared" si="21"/>
        <v>-259556</v>
      </c>
      <c r="O293">
        <v>18668450</v>
      </c>
      <c r="P293" s="2">
        <f t="shared" si="22"/>
        <v>1.3903457437548377</v>
      </c>
      <c r="Q293" s="3" t="str">
        <f t="shared" si="23"/>
        <v>〇</v>
      </c>
      <c r="R293" s="2">
        <f t="shared" si="20"/>
        <v>-1.3903457437548377</v>
      </c>
      <c r="S293" s="5">
        <f t="shared" si="24"/>
        <v>15.140112950000001</v>
      </c>
    </row>
    <row r="294" spans="1:19" x14ac:dyDescent="0.4">
      <c r="A294">
        <v>20210807</v>
      </c>
      <c r="B294" s="1">
        <v>8.3333333333333329E-2</v>
      </c>
      <c r="C294">
        <v>45717</v>
      </c>
      <c r="D294">
        <v>-5648</v>
      </c>
      <c r="E294">
        <v>-382188</v>
      </c>
      <c r="F294">
        <v>-10501</v>
      </c>
      <c r="G294">
        <v>-29677</v>
      </c>
      <c r="H294">
        <v>-65271</v>
      </c>
      <c r="I294">
        <v>91375</v>
      </c>
      <c r="J294">
        <v>22697</v>
      </c>
      <c r="K294">
        <v>42356</v>
      </c>
      <c r="L294">
        <v>8761</v>
      </c>
      <c r="M294">
        <v>7.89</v>
      </c>
      <c r="N294">
        <f t="shared" si="21"/>
        <v>-282379</v>
      </c>
      <c r="O294">
        <v>18686600</v>
      </c>
      <c r="P294" s="2">
        <f t="shared" si="22"/>
        <v>1.5111309708561216</v>
      </c>
      <c r="Q294" s="3" t="str">
        <f t="shared" si="23"/>
        <v>〇</v>
      </c>
      <c r="R294" s="2">
        <f t="shared" si="20"/>
        <v>-1.5111309708561216</v>
      </c>
      <c r="S294" s="5">
        <f t="shared" si="24"/>
        <v>14.743727399999999</v>
      </c>
    </row>
    <row r="295" spans="1:19" x14ac:dyDescent="0.4">
      <c r="A295">
        <v>20210807</v>
      </c>
      <c r="B295" s="1">
        <v>0.10416666666666667</v>
      </c>
      <c r="C295">
        <v>72988</v>
      </c>
      <c r="D295">
        <v>9331</v>
      </c>
      <c r="E295">
        <v>-295633</v>
      </c>
      <c r="F295">
        <v>-58004</v>
      </c>
      <c r="G295">
        <v>-31641</v>
      </c>
      <c r="H295">
        <v>-124862</v>
      </c>
      <c r="I295">
        <v>77484</v>
      </c>
      <c r="J295">
        <v>26952</v>
      </c>
      <c r="K295">
        <v>41846</v>
      </c>
      <c r="L295">
        <v>-1897</v>
      </c>
      <c r="M295">
        <v>7.89</v>
      </c>
      <c r="N295">
        <f t="shared" si="21"/>
        <v>-283436</v>
      </c>
      <c r="O295">
        <v>18683550</v>
      </c>
      <c r="P295" s="2">
        <f t="shared" si="22"/>
        <v>1.517035038844331</v>
      </c>
      <c r="Q295" s="3" t="str">
        <f t="shared" si="23"/>
        <v>〇</v>
      </c>
      <c r="R295" s="2">
        <f t="shared" si="20"/>
        <v>-1.517035038844331</v>
      </c>
      <c r="S295" s="5">
        <f t="shared" si="24"/>
        <v>14.74132095</v>
      </c>
    </row>
    <row r="296" spans="1:19" x14ac:dyDescent="0.4">
      <c r="A296">
        <v>20210807</v>
      </c>
      <c r="B296" s="1">
        <v>0.125</v>
      </c>
      <c r="C296">
        <v>99801</v>
      </c>
      <c r="D296">
        <v>-7181</v>
      </c>
      <c r="E296">
        <v>-375943</v>
      </c>
      <c r="F296">
        <v>-126801</v>
      </c>
      <c r="G296">
        <v>-13819</v>
      </c>
      <c r="H296">
        <v>28287</v>
      </c>
      <c r="I296">
        <v>78541</v>
      </c>
      <c r="J296">
        <v>31271</v>
      </c>
      <c r="K296">
        <v>57537</v>
      </c>
      <c r="L296">
        <v>646</v>
      </c>
      <c r="M296">
        <v>8.11</v>
      </c>
      <c r="N296">
        <f t="shared" si="21"/>
        <v>-227661</v>
      </c>
      <c r="O296">
        <v>18667800</v>
      </c>
      <c r="P296" s="2">
        <f t="shared" si="22"/>
        <v>1.2195384565937069</v>
      </c>
      <c r="Q296" s="3" t="str">
        <f t="shared" si="23"/>
        <v>〇</v>
      </c>
      <c r="R296" s="2">
        <f t="shared" si="20"/>
        <v>-1.2195384565937069</v>
      </c>
      <c r="S296" s="5">
        <f t="shared" si="24"/>
        <v>15.139585800000001</v>
      </c>
    </row>
    <row r="297" spans="1:19" x14ac:dyDescent="0.4">
      <c r="A297">
        <v>20210807</v>
      </c>
      <c r="B297" s="1">
        <v>0.14583333333333334</v>
      </c>
      <c r="C297">
        <v>31324</v>
      </c>
      <c r="D297">
        <v>17095</v>
      </c>
      <c r="E297">
        <v>-311444</v>
      </c>
      <c r="F297">
        <v>-65746</v>
      </c>
      <c r="G297">
        <v>4136</v>
      </c>
      <c r="H297">
        <v>-14064</v>
      </c>
      <c r="I297">
        <v>50188</v>
      </c>
      <c r="J297">
        <v>32301</v>
      </c>
      <c r="K297">
        <v>56508</v>
      </c>
      <c r="L297">
        <v>-1463</v>
      </c>
      <c r="M297">
        <v>7.9</v>
      </c>
      <c r="N297">
        <f t="shared" si="21"/>
        <v>-201165</v>
      </c>
      <c r="O297">
        <v>18784800</v>
      </c>
      <c r="P297" s="2">
        <f t="shared" si="22"/>
        <v>1.0708924236616839</v>
      </c>
      <c r="Q297" s="3" t="str">
        <f t="shared" si="23"/>
        <v>〇</v>
      </c>
      <c r="R297" s="2">
        <f t="shared" si="20"/>
        <v>-1.0708924236616839</v>
      </c>
      <c r="S297" s="5">
        <f t="shared" si="24"/>
        <v>14.839992000000001</v>
      </c>
    </row>
    <row r="298" spans="1:19" x14ac:dyDescent="0.4">
      <c r="A298">
        <v>20210807</v>
      </c>
      <c r="B298" s="1">
        <v>0.16666666666666666</v>
      </c>
      <c r="C298">
        <v>28160</v>
      </c>
      <c r="D298">
        <v>11949</v>
      </c>
      <c r="E298">
        <v>-282957</v>
      </c>
      <c r="F298">
        <v>-41188</v>
      </c>
      <c r="G298">
        <v>-11941</v>
      </c>
      <c r="H298">
        <v>1112</v>
      </c>
      <c r="I298">
        <v>121752</v>
      </c>
      <c r="J298">
        <v>47052</v>
      </c>
      <c r="K298">
        <v>61136</v>
      </c>
      <c r="L298">
        <v>-4101</v>
      </c>
      <c r="M298">
        <v>8.66</v>
      </c>
      <c r="N298">
        <f t="shared" si="21"/>
        <v>-69026</v>
      </c>
      <c r="O298">
        <v>18928500</v>
      </c>
      <c r="P298" s="2">
        <f t="shared" si="22"/>
        <v>0.36466703647938292</v>
      </c>
      <c r="Q298" s="3" t="str">
        <f t="shared" si="23"/>
        <v>〇</v>
      </c>
      <c r="R298" s="2">
        <f t="shared" si="20"/>
        <v>-0.36466703647938292</v>
      </c>
      <c r="S298" s="5">
        <f t="shared" si="24"/>
        <v>16.392081000000001</v>
      </c>
    </row>
    <row r="299" spans="1:19" x14ac:dyDescent="0.4">
      <c r="A299">
        <v>20210807</v>
      </c>
      <c r="B299" s="1">
        <v>0.1875</v>
      </c>
      <c r="C299">
        <v>112580</v>
      </c>
      <c r="D299">
        <v>33806</v>
      </c>
      <c r="E299">
        <v>-320800</v>
      </c>
      <c r="F299">
        <v>25561</v>
      </c>
      <c r="G299">
        <v>-11810</v>
      </c>
      <c r="H299">
        <v>-38753</v>
      </c>
      <c r="I299">
        <v>27288</v>
      </c>
      <c r="J299">
        <v>35571</v>
      </c>
      <c r="K299">
        <v>42693</v>
      </c>
      <c r="L299">
        <v>-8847</v>
      </c>
      <c r="M299">
        <v>8.4</v>
      </c>
      <c r="N299">
        <f t="shared" si="21"/>
        <v>-102711</v>
      </c>
      <c r="O299">
        <v>19008200</v>
      </c>
      <c r="P299" s="2">
        <f t="shared" si="22"/>
        <v>0.5403510064077609</v>
      </c>
      <c r="Q299" s="3" t="str">
        <f t="shared" si="23"/>
        <v>〇</v>
      </c>
      <c r="R299" s="2">
        <f t="shared" si="20"/>
        <v>-0.5403510064077609</v>
      </c>
      <c r="S299" s="5">
        <f t="shared" si="24"/>
        <v>15.966888000000001</v>
      </c>
    </row>
    <row r="300" spans="1:19" x14ac:dyDescent="0.4">
      <c r="A300">
        <v>20210807</v>
      </c>
      <c r="B300" s="1">
        <v>0.20833333333333334</v>
      </c>
      <c r="C300">
        <v>22347</v>
      </c>
      <c r="D300">
        <v>91657</v>
      </c>
      <c r="E300">
        <v>-299450</v>
      </c>
      <c r="F300">
        <v>-42685</v>
      </c>
      <c r="G300">
        <v>-20124</v>
      </c>
      <c r="H300">
        <v>-25554</v>
      </c>
      <c r="I300">
        <v>-21029</v>
      </c>
      <c r="J300">
        <v>22206</v>
      </c>
      <c r="K300">
        <v>43355</v>
      </c>
      <c r="L300">
        <v>-6361</v>
      </c>
      <c r="M300">
        <v>7.89</v>
      </c>
      <c r="N300">
        <f t="shared" si="21"/>
        <v>-235638</v>
      </c>
      <c r="O300">
        <v>18948400</v>
      </c>
      <c r="P300" s="2">
        <f t="shared" si="22"/>
        <v>1.2435772941250975</v>
      </c>
      <c r="Q300" s="3" t="str">
        <f t="shared" si="23"/>
        <v>〇</v>
      </c>
      <c r="R300" s="2">
        <f t="shared" si="20"/>
        <v>-1.2435772941250975</v>
      </c>
      <c r="S300" s="5">
        <f t="shared" si="24"/>
        <v>14.950287599999999</v>
      </c>
    </row>
    <row r="301" spans="1:19" x14ac:dyDescent="0.4">
      <c r="A301">
        <v>20210807</v>
      </c>
      <c r="B301" s="1">
        <v>0.22916666666666666</v>
      </c>
      <c r="C301">
        <v>8544</v>
      </c>
      <c r="D301">
        <v>116963</v>
      </c>
      <c r="E301">
        <v>-287450</v>
      </c>
      <c r="F301">
        <v>18939</v>
      </c>
      <c r="G301">
        <v>3628</v>
      </c>
      <c r="H301">
        <v>75607</v>
      </c>
      <c r="I301">
        <v>15359</v>
      </c>
      <c r="J301">
        <v>10744</v>
      </c>
      <c r="K301">
        <v>-4713</v>
      </c>
      <c r="L301">
        <v>-5107</v>
      </c>
      <c r="M301">
        <v>7.89</v>
      </c>
      <c r="N301">
        <f t="shared" si="21"/>
        <v>-47486</v>
      </c>
      <c r="O301">
        <v>19029750</v>
      </c>
      <c r="P301" s="2">
        <f t="shared" si="22"/>
        <v>0.24953559558060406</v>
      </c>
      <c r="Q301" s="3" t="str">
        <f t="shared" si="23"/>
        <v>〇</v>
      </c>
      <c r="R301" s="2">
        <f t="shared" si="20"/>
        <v>-0.24953559558060406</v>
      </c>
      <c r="S301" s="5">
        <f t="shared" si="24"/>
        <v>15.014472749999999</v>
      </c>
    </row>
    <row r="302" spans="1:19" x14ac:dyDescent="0.4">
      <c r="A302">
        <v>20210807</v>
      </c>
      <c r="B302" s="1">
        <v>0.25</v>
      </c>
      <c r="C302">
        <v>-8291</v>
      </c>
      <c r="D302">
        <v>135480</v>
      </c>
      <c r="E302">
        <v>-160268</v>
      </c>
      <c r="F302">
        <v>-42599</v>
      </c>
      <c r="G302">
        <v>9969</v>
      </c>
      <c r="H302">
        <v>57496</v>
      </c>
      <c r="I302">
        <v>-12106</v>
      </c>
      <c r="J302">
        <v>49858</v>
      </c>
      <c r="K302">
        <v>-119930</v>
      </c>
      <c r="L302">
        <v>-2220</v>
      </c>
      <c r="M302">
        <v>7.75</v>
      </c>
      <c r="N302">
        <f t="shared" si="21"/>
        <v>-92611</v>
      </c>
      <c r="O302">
        <v>19465250</v>
      </c>
      <c r="P302" s="2">
        <f t="shared" si="22"/>
        <v>0.47577606247029963</v>
      </c>
      <c r="Q302" s="3" t="str">
        <f t="shared" si="23"/>
        <v>〇</v>
      </c>
      <c r="R302" s="2">
        <f t="shared" si="20"/>
        <v>-0.47577606247029963</v>
      </c>
      <c r="S302" s="5">
        <f t="shared" si="24"/>
        <v>15.08556875</v>
      </c>
    </row>
    <row r="303" spans="1:19" x14ac:dyDescent="0.4">
      <c r="A303">
        <v>20210807</v>
      </c>
      <c r="B303" s="1">
        <v>0.27083333333333331</v>
      </c>
      <c r="C303">
        <v>-52836</v>
      </c>
      <c r="D303">
        <v>143325</v>
      </c>
      <c r="E303">
        <v>-87830</v>
      </c>
      <c r="F303">
        <v>81574</v>
      </c>
      <c r="G303">
        <v>7382</v>
      </c>
      <c r="H303">
        <v>-54237</v>
      </c>
      <c r="I303">
        <v>-126630</v>
      </c>
      <c r="J303">
        <v>52703</v>
      </c>
      <c r="K303">
        <v>-201431</v>
      </c>
      <c r="L303">
        <v>-8280</v>
      </c>
      <c r="M303">
        <v>7.75</v>
      </c>
      <c r="N303">
        <f t="shared" si="21"/>
        <v>-246260</v>
      </c>
      <c r="O303">
        <v>19865800</v>
      </c>
      <c r="P303" s="2">
        <f t="shared" si="22"/>
        <v>1.2396178356773953</v>
      </c>
      <c r="Q303" s="3" t="str">
        <f t="shared" si="23"/>
        <v>〇</v>
      </c>
      <c r="R303" s="2">
        <f t="shared" si="20"/>
        <v>-1.2396178356773953</v>
      </c>
      <c r="S303" s="5">
        <f t="shared" si="24"/>
        <v>15.395994999999999</v>
      </c>
    </row>
    <row r="304" spans="1:19" x14ac:dyDescent="0.4">
      <c r="A304">
        <v>20210807</v>
      </c>
      <c r="B304" s="1">
        <v>0.29166666666666669</v>
      </c>
      <c r="C304">
        <v>28928</v>
      </c>
      <c r="D304">
        <v>220242</v>
      </c>
      <c r="E304">
        <v>109236</v>
      </c>
      <c r="F304">
        <v>85689</v>
      </c>
      <c r="G304">
        <v>-17641</v>
      </c>
      <c r="H304">
        <v>-110090</v>
      </c>
      <c r="I304">
        <v>-22353</v>
      </c>
      <c r="J304">
        <v>60166</v>
      </c>
      <c r="K304">
        <v>-270845</v>
      </c>
      <c r="L304">
        <v>2315</v>
      </c>
      <c r="M304">
        <v>7.85</v>
      </c>
      <c r="N304">
        <f t="shared" si="21"/>
        <v>85647</v>
      </c>
      <c r="O304">
        <v>20286950</v>
      </c>
      <c r="P304" s="2">
        <f t="shared" si="22"/>
        <v>0.42217780395771665</v>
      </c>
      <c r="Q304" s="3" t="str">
        <f t="shared" si="23"/>
        <v/>
      </c>
      <c r="R304" s="2">
        <f t="shared" si="20"/>
        <v>0.42217780395771665</v>
      </c>
      <c r="S304" s="5">
        <f t="shared" si="24"/>
        <v>15.92525575</v>
      </c>
    </row>
    <row r="305" spans="1:19" x14ac:dyDescent="0.4">
      <c r="A305">
        <v>20210807</v>
      </c>
      <c r="B305" s="1">
        <v>0.3125</v>
      </c>
      <c r="C305">
        <v>-12877</v>
      </c>
      <c r="D305">
        <v>218114</v>
      </c>
      <c r="E305">
        <v>30356</v>
      </c>
      <c r="F305">
        <v>392713</v>
      </c>
      <c r="G305">
        <v>-27335</v>
      </c>
      <c r="H305">
        <v>50280</v>
      </c>
      <c r="I305">
        <v>96786</v>
      </c>
      <c r="J305">
        <v>120730</v>
      </c>
      <c r="K305">
        <v>-269910</v>
      </c>
      <c r="L305">
        <v>-1355</v>
      </c>
      <c r="M305">
        <v>8.11</v>
      </c>
      <c r="N305">
        <f t="shared" si="21"/>
        <v>597502</v>
      </c>
      <c r="O305">
        <v>20669650</v>
      </c>
      <c r="P305" s="2">
        <f t="shared" si="22"/>
        <v>2.8907214200530729</v>
      </c>
      <c r="Q305" s="3" t="str">
        <f t="shared" si="23"/>
        <v/>
      </c>
      <c r="R305" s="2">
        <f t="shared" si="20"/>
        <v>2.8907214200530729</v>
      </c>
      <c r="S305" s="5">
        <f t="shared" si="24"/>
        <v>16.763086149999999</v>
      </c>
    </row>
    <row r="306" spans="1:19" x14ac:dyDescent="0.4">
      <c r="A306">
        <v>20210807</v>
      </c>
      <c r="B306" s="1">
        <v>0.33333333333333331</v>
      </c>
      <c r="C306">
        <v>15142</v>
      </c>
      <c r="D306">
        <v>226791</v>
      </c>
      <c r="E306">
        <v>546060</v>
      </c>
      <c r="F306">
        <v>527985</v>
      </c>
      <c r="G306">
        <v>-12435</v>
      </c>
      <c r="H306">
        <v>84301</v>
      </c>
      <c r="I306">
        <v>177756</v>
      </c>
      <c r="J306">
        <v>153146</v>
      </c>
      <c r="K306">
        <v>-319538</v>
      </c>
      <c r="L306">
        <v>5017</v>
      </c>
      <c r="M306">
        <v>8.86</v>
      </c>
      <c r="N306">
        <f t="shared" si="21"/>
        <v>1404225</v>
      </c>
      <c r="O306">
        <v>21446150</v>
      </c>
      <c r="P306" s="2">
        <f t="shared" si="22"/>
        <v>6.547678720889297</v>
      </c>
      <c r="Q306" s="3" t="str">
        <f t="shared" si="23"/>
        <v/>
      </c>
      <c r="R306" s="2">
        <f t="shared" si="20"/>
        <v>6.547678720889297</v>
      </c>
      <c r="S306" s="5">
        <f t="shared" si="24"/>
        <v>19.001288899999999</v>
      </c>
    </row>
    <row r="307" spans="1:19" x14ac:dyDescent="0.4">
      <c r="A307">
        <v>20210807</v>
      </c>
      <c r="B307" s="1">
        <v>0.35416666666666669</v>
      </c>
      <c r="C307">
        <v>-20057</v>
      </c>
      <c r="D307">
        <v>85962</v>
      </c>
      <c r="E307">
        <v>456024</v>
      </c>
      <c r="F307">
        <v>588131</v>
      </c>
      <c r="G307">
        <v>88</v>
      </c>
      <c r="H307">
        <v>162681</v>
      </c>
      <c r="I307">
        <v>197360</v>
      </c>
      <c r="J307">
        <v>173052</v>
      </c>
      <c r="K307">
        <v>-401275</v>
      </c>
      <c r="L307">
        <v>-22036</v>
      </c>
      <c r="M307">
        <v>8.86</v>
      </c>
      <c r="N307">
        <f t="shared" si="21"/>
        <v>1219930</v>
      </c>
      <c r="O307">
        <v>21805050</v>
      </c>
      <c r="P307" s="2">
        <f t="shared" si="22"/>
        <v>5.5947131513112787</v>
      </c>
      <c r="Q307" s="3" t="str">
        <f t="shared" si="23"/>
        <v/>
      </c>
      <c r="R307" s="2">
        <f t="shared" si="20"/>
        <v>5.5947131513112787</v>
      </c>
      <c r="S307" s="5">
        <f t="shared" si="24"/>
        <v>19.3192743</v>
      </c>
    </row>
    <row r="308" spans="1:19" x14ac:dyDescent="0.4">
      <c r="A308">
        <v>20210807</v>
      </c>
      <c r="B308" s="1">
        <v>0.375</v>
      </c>
      <c r="C308">
        <v>24545</v>
      </c>
      <c r="D308">
        <v>97714</v>
      </c>
      <c r="E308">
        <v>598700</v>
      </c>
      <c r="F308">
        <v>669000</v>
      </c>
      <c r="G308">
        <v>9310</v>
      </c>
      <c r="H308">
        <v>99999</v>
      </c>
      <c r="I308">
        <v>242623</v>
      </c>
      <c r="J308">
        <v>227749</v>
      </c>
      <c r="K308">
        <v>-512492</v>
      </c>
      <c r="L308">
        <v>-35654</v>
      </c>
      <c r="M308">
        <v>9.56</v>
      </c>
      <c r="N308">
        <f t="shared" si="21"/>
        <v>1421494</v>
      </c>
      <c r="O308">
        <v>22233350</v>
      </c>
      <c r="P308" s="2">
        <f t="shared" si="22"/>
        <v>6.3935214441368489</v>
      </c>
      <c r="Q308" s="3" t="str">
        <f t="shared" si="23"/>
        <v/>
      </c>
      <c r="R308" s="2">
        <f t="shared" si="20"/>
        <v>6.3935214441368489</v>
      </c>
      <c r="S308" s="5">
        <f t="shared" si="24"/>
        <v>21.255082600000001</v>
      </c>
    </row>
    <row r="309" spans="1:19" x14ac:dyDescent="0.4">
      <c r="A309">
        <v>20210807</v>
      </c>
      <c r="B309" s="1">
        <v>0.39583333333333331</v>
      </c>
      <c r="C309">
        <v>44818</v>
      </c>
      <c r="D309">
        <v>-10006</v>
      </c>
      <c r="E309">
        <v>673241</v>
      </c>
      <c r="F309">
        <v>632284</v>
      </c>
      <c r="G309">
        <v>-9971</v>
      </c>
      <c r="H309">
        <v>202478</v>
      </c>
      <c r="I309">
        <v>251003</v>
      </c>
      <c r="J309">
        <v>218168</v>
      </c>
      <c r="K309">
        <v>-557596</v>
      </c>
      <c r="L309">
        <v>-26145</v>
      </c>
      <c r="M309">
        <v>9.49</v>
      </c>
      <c r="N309">
        <f t="shared" si="21"/>
        <v>1418274</v>
      </c>
      <c r="O309">
        <v>22476300</v>
      </c>
      <c r="P309" s="2">
        <f t="shared" si="22"/>
        <v>6.310086624577889</v>
      </c>
      <c r="Q309" t="str">
        <f t="shared" si="23"/>
        <v/>
      </c>
      <c r="R309" s="2">
        <f t="shared" si="20"/>
        <v>6.310086624577889</v>
      </c>
      <c r="S309" s="5">
        <f t="shared" si="24"/>
        <v>21.3300087</v>
      </c>
    </row>
    <row r="310" spans="1:19" x14ac:dyDescent="0.4">
      <c r="A310">
        <v>20210807</v>
      </c>
      <c r="B310" s="1">
        <v>0.41666666666666669</v>
      </c>
      <c r="C310">
        <v>107124</v>
      </c>
      <c r="D310">
        <v>58281</v>
      </c>
      <c r="E310">
        <v>654342</v>
      </c>
      <c r="F310">
        <v>623445</v>
      </c>
      <c r="G310">
        <v>6010</v>
      </c>
      <c r="H310">
        <v>186834</v>
      </c>
      <c r="I310">
        <v>349298</v>
      </c>
      <c r="J310">
        <v>201865</v>
      </c>
      <c r="K310">
        <v>-481815</v>
      </c>
      <c r="L310">
        <v>-21559</v>
      </c>
      <c r="M310">
        <v>9.57</v>
      </c>
      <c r="N310">
        <f t="shared" si="21"/>
        <v>1683825</v>
      </c>
      <c r="O310">
        <v>22756950</v>
      </c>
      <c r="P310" s="2">
        <f t="shared" si="22"/>
        <v>7.3991681662085647</v>
      </c>
      <c r="Q310" s="3" t="str">
        <f t="shared" si="23"/>
        <v/>
      </c>
      <c r="R310" s="2">
        <f t="shared" si="20"/>
        <v>7.3991681662085647</v>
      </c>
      <c r="S310" s="5">
        <f t="shared" si="24"/>
        <v>21.778401150000001</v>
      </c>
    </row>
    <row r="311" spans="1:19" x14ac:dyDescent="0.4">
      <c r="A311">
        <v>20210807</v>
      </c>
      <c r="B311" s="1">
        <v>0.4375</v>
      </c>
      <c r="C311">
        <v>101142</v>
      </c>
      <c r="D311">
        <v>6239</v>
      </c>
      <c r="E311">
        <v>686884</v>
      </c>
      <c r="F311">
        <v>850068</v>
      </c>
      <c r="G311">
        <v>52110</v>
      </c>
      <c r="H311">
        <v>267489</v>
      </c>
      <c r="I311">
        <v>370033</v>
      </c>
      <c r="J311">
        <v>192209</v>
      </c>
      <c r="K311">
        <v>-314605</v>
      </c>
      <c r="L311">
        <v>-29529</v>
      </c>
      <c r="M311">
        <v>9.4600000000000009</v>
      </c>
      <c r="N311">
        <f t="shared" si="21"/>
        <v>2182040</v>
      </c>
      <c r="O311">
        <v>22965550</v>
      </c>
      <c r="P311" s="2">
        <f t="shared" si="22"/>
        <v>9.5013618223817851</v>
      </c>
      <c r="Q311" s="3" t="str">
        <f t="shared" si="23"/>
        <v/>
      </c>
      <c r="R311" s="2">
        <f t="shared" si="20"/>
        <v>9.5013618223817851</v>
      </c>
      <c r="S311" s="5">
        <f t="shared" si="24"/>
        <v>21.725410300000004</v>
      </c>
    </row>
    <row r="312" spans="1:19" x14ac:dyDescent="0.4">
      <c r="A312">
        <v>20210807</v>
      </c>
      <c r="B312" s="1">
        <v>0.45833333333333331</v>
      </c>
      <c r="C312">
        <v>152496</v>
      </c>
      <c r="D312">
        <v>110780</v>
      </c>
      <c r="E312">
        <v>1260104</v>
      </c>
      <c r="F312">
        <v>764117</v>
      </c>
      <c r="G312">
        <v>86389</v>
      </c>
      <c r="H312">
        <v>231971</v>
      </c>
      <c r="I312">
        <v>330759</v>
      </c>
      <c r="J312">
        <v>187362</v>
      </c>
      <c r="K312">
        <v>-223185</v>
      </c>
      <c r="L312">
        <v>-25672</v>
      </c>
      <c r="M312">
        <v>9.5500000000000007</v>
      </c>
      <c r="N312">
        <f t="shared" si="21"/>
        <v>2875121</v>
      </c>
      <c r="O312">
        <v>23149000</v>
      </c>
      <c r="P312" s="2">
        <f t="shared" si="22"/>
        <v>12.420065661583653</v>
      </c>
      <c r="Q312" s="3" t="str">
        <f t="shared" si="23"/>
        <v/>
      </c>
      <c r="R312" s="2">
        <f t="shared" si="20"/>
        <v>12.420065661583653</v>
      </c>
      <c r="S312" s="5">
        <f t="shared" si="24"/>
        <v>22.107295000000004</v>
      </c>
    </row>
    <row r="313" spans="1:19" x14ac:dyDescent="0.4">
      <c r="A313">
        <v>20210807</v>
      </c>
      <c r="B313" s="1">
        <v>0.47916666666666669</v>
      </c>
      <c r="C313">
        <v>107395</v>
      </c>
      <c r="D313">
        <v>206162</v>
      </c>
      <c r="E313">
        <v>955309</v>
      </c>
      <c r="F313">
        <v>749780</v>
      </c>
      <c r="G313">
        <v>41701</v>
      </c>
      <c r="H313">
        <v>339540</v>
      </c>
      <c r="I313">
        <v>317782</v>
      </c>
      <c r="J313">
        <v>172752</v>
      </c>
      <c r="K313">
        <v>-149349</v>
      </c>
      <c r="L313">
        <v>-11119</v>
      </c>
      <c r="M313">
        <v>9.25</v>
      </c>
      <c r="N313">
        <f t="shared" si="21"/>
        <v>2729953</v>
      </c>
      <c r="O313">
        <v>23888550</v>
      </c>
      <c r="P313" s="2">
        <f t="shared" si="22"/>
        <v>11.42787234888681</v>
      </c>
      <c r="Q313" s="3" t="str">
        <f t="shared" si="23"/>
        <v/>
      </c>
      <c r="R313" s="2">
        <f t="shared" si="20"/>
        <v>11.42787234888681</v>
      </c>
      <c r="S313" s="5">
        <f t="shared" si="24"/>
        <v>22.096908750000001</v>
      </c>
    </row>
    <row r="314" spans="1:19" x14ac:dyDescent="0.4">
      <c r="A314">
        <v>20210807</v>
      </c>
      <c r="B314" s="1">
        <v>0.5</v>
      </c>
      <c r="C314">
        <v>153887</v>
      </c>
      <c r="D314">
        <v>296138</v>
      </c>
      <c r="E314">
        <v>1286283</v>
      </c>
      <c r="F314">
        <v>795997</v>
      </c>
      <c r="G314">
        <v>26993</v>
      </c>
      <c r="H314">
        <v>259086</v>
      </c>
      <c r="I314">
        <v>162156</v>
      </c>
      <c r="J314">
        <v>180281</v>
      </c>
      <c r="K314">
        <v>-151294</v>
      </c>
      <c r="L314">
        <v>-354</v>
      </c>
      <c r="M314">
        <v>9.32</v>
      </c>
      <c r="N314">
        <f t="shared" si="21"/>
        <v>3009173</v>
      </c>
      <c r="O314">
        <v>23593550</v>
      </c>
      <c r="P314" s="2">
        <f t="shared" si="22"/>
        <v>12.754218843709404</v>
      </c>
      <c r="Q314" s="3" t="str">
        <f t="shared" si="23"/>
        <v/>
      </c>
      <c r="R314" s="2">
        <f t="shared" si="20"/>
        <v>12.754218843709404</v>
      </c>
      <c r="S314" s="5">
        <f t="shared" si="24"/>
        <v>21.989188599999999</v>
      </c>
    </row>
    <row r="315" spans="1:19" x14ac:dyDescent="0.4">
      <c r="A315">
        <v>20210807</v>
      </c>
      <c r="B315" s="1">
        <v>0.52083333333333337</v>
      </c>
      <c r="C315">
        <v>169732</v>
      </c>
      <c r="D315">
        <v>540619</v>
      </c>
      <c r="E315">
        <v>1107198</v>
      </c>
      <c r="F315">
        <v>740256</v>
      </c>
      <c r="G315">
        <v>39204</v>
      </c>
      <c r="H315">
        <v>364016</v>
      </c>
      <c r="I315">
        <v>161471</v>
      </c>
      <c r="J315">
        <v>210872</v>
      </c>
      <c r="K315">
        <v>33489</v>
      </c>
      <c r="L315">
        <v>-7788</v>
      </c>
      <c r="M315">
        <v>9.42</v>
      </c>
      <c r="N315">
        <f t="shared" si="21"/>
        <v>3359069</v>
      </c>
      <c r="O315">
        <v>23547850</v>
      </c>
      <c r="P315" s="2">
        <f t="shared" si="22"/>
        <v>14.264864945207313</v>
      </c>
      <c r="Q315" s="3" t="str">
        <f t="shared" si="23"/>
        <v/>
      </c>
      <c r="R315" s="2">
        <f t="shared" si="20"/>
        <v>14.264864945207313</v>
      </c>
      <c r="S315" s="5">
        <f t="shared" si="24"/>
        <v>22.182074700000001</v>
      </c>
    </row>
    <row r="316" spans="1:19" x14ac:dyDescent="0.4">
      <c r="A316">
        <v>20210807</v>
      </c>
      <c r="B316" s="1">
        <v>0.54166666666666663</v>
      </c>
      <c r="C316">
        <v>121235</v>
      </c>
      <c r="D316">
        <v>487416</v>
      </c>
      <c r="E316">
        <v>897129</v>
      </c>
      <c r="F316">
        <v>859504</v>
      </c>
      <c r="G316">
        <v>-5102</v>
      </c>
      <c r="H316">
        <v>356221</v>
      </c>
      <c r="I316">
        <v>195835</v>
      </c>
      <c r="J316">
        <v>190543</v>
      </c>
      <c r="K316">
        <v>-126332</v>
      </c>
      <c r="L316">
        <v>-26402</v>
      </c>
      <c r="M316">
        <v>9.56</v>
      </c>
      <c r="N316">
        <f t="shared" si="21"/>
        <v>2950047</v>
      </c>
      <c r="O316">
        <v>22868450</v>
      </c>
      <c r="P316" s="2">
        <f t="shared" si="22"/>
        <v>12.900074119583968</v>
      </c>
      <c r="Q316" t="str">
        <f t="shared" si="23"/>
        <v/>
      </c>
      <c r="R316" s="2">
        <f t="shared" si="20"/>
        <v>12.900074119583968</v>
      </c>
      <c r="S316" s="5">
        <f t="shared" si="24"/>
        <v>21.8622382</v>
      </c>
    </row>
    <row r="317" spans="1:19" x14ac:dyDescent="0.4">
      <c r="A317">
        <v>20210807</v>
      </c>
      <c r="B317" s="1">
        <v>0.5625</v>
      </c>
      <c r="C317">
        <v>106187</v>
      </c>
      <c r="D317">
        <v>552626</v>
      </c>
      <c r="E317">
        <v>953036</v>
      </c>
      <c r="F317">
        <v>867873</v>
      </c>
      <c r="G317">
        <v>-45552</v>
      </c>
      <c r="H317">
        <v>389384</v>
      </c>
      <c r="I317">
        <v>232701</v>
      </c>
      <c r="J317">
        <v>181869</v>
      </c>
      <c r="K317">
        <v>-206366</v>
      </c>
      <c r="L317">
        <v>-28272</v>
      </c>
      <c r="M317">
        <v>9.6199999999999992</v>
      </c>
      <c r="N317">
        <f t="shared" si="21"/>
        <v>3003486</v>
      </c>
      <c r="O317">
        <v>22697850</v>
      </c>
      <c r="P317" s="2">
        <f t="shared" si="22"/>
        <v>13.232469154567504</v>
      </c>
      <c r="Q317" s="3" t="str">
        <f t="shared" si="23"/>
        <v/>
      </c>
      <c r="R317" s="2">
        <f t="shared" si="20"/>
        <v>13.232469154567504</v>
      </c>
      <c r="S317" s="5">
        <f t="shared" si="24"/>
        <v>21.835331699999998</v>
      </c>
    </row>
    <row r="318" spans="1:19" x14ac:dyDescent="0.4">
      <c r="A318">
        <v>20210807</v>
      </c>
      <c r="B318" s="1">
        <v>0.58333333333333337</v>
      </c>
      <c r="C318">
        <v>105939</v>
      </c>
      <c r="D318">
        <v>615751</v>
      </c>
      <c r="E318">
        <v>1255458</v>
      </c>
      <c r="F318">
        <v>672212</v>
      </c>
      <c r="G318">
        <v>-28862</v>
      </c>
      <c r="H318">
        <v>276433</v>
      </c>
      <c r="I318">
        <v>272826</v>
      </c>
      <c r="J318">
        <v>174107</v>
      </c>
      <c r="K318">
        <v>-181808</v>
      </c>
      <c r="L318">
        <v>-21018</v>
      </c>
      <c r="M318">
        <v>9.83</v>
      </c>
      <c r="N318">
        <f t="shared" si="21"/>
        <v>3141038</v>
      </c>
      <c r="O318">
        <v>22439400</v>
      </c>
      <c r="P318" s="2">
        <f t="shared" si="22"/>
        <v>13.997869818266086</v>
      </c>
      <c r="Q318" s="3" t="str">
        <f t="shared" si="23"/>
        <v/>
      </c>
      <c r="R318" s="2">
        <f t="shared" si="20"/>
        <v>13.997869818266086</v>
      </c>
      <c r="S318" s="5">
        <f t="shared" si="24"/>
        <v>22.057930200000001</v>
      </c>
    </row>
    <row r="319" spans="1:19" x14ac:dyDescent="0.4">
      <c r="A319">
        <v>20210807</v>
      </c>
      <c r="B319" s="1">
        <v>0.60416666666666663</v>
      </c>
      <c r="C319">
        <v>146264</v>
      </c>
      <c r="D319">
        <v>533668</v>
      </c>
      <c r="E319">
        <v>1179444</v>
      </c>
      <c r="F319">
        <v>493087</v>
      </c>
      <c r="G319">
        <v>44654</v>
      </c>
      <c r="H319">
        <v>253708</v>
      </c>
      <c r="I319">
        <v>319284</v>
      </c>
      <c r="J319">
        <v>106066</v>
      </c>
      <c r="K319">
        <v>-170125</v>
      </c>
      <c r="L319">
        <v>-26730</v>
      </c>
      <c r="M319">
        <v>9.91</v>
      </c>
      <c r="N319">
        <f t="shared" si="21"/>
        <v>2879320</v>
      </c>
      <c r="O319">
        <v>22251050</v>
      </c>
      <c r="P319" s="2">
        <f t="shared" si="22"/>
        <v>12.940153386019986</v>
      </c>
      <c r="Q319" s="3" t="str">
        <f t="shared" si="23"/>
        <v/>
      </c>
      <c r="R319" s="2">
        <f t="shared" si="20"/>
        <v>12.940153386019986</v>
      </c>
      <c r="S319" s="5">
        <f t="shared" si="24"/>
        <v>22.050790549999999</v>
      </c>
    </row>
    <row r="320" spans="1:19" x14ac:dyDescent="0.4">
      <c r="A320">
        <v>20210807</v>
      </c>
      <c r="B320" s="1">
        <v>0.625</v>
      </c>
      <c r="C320">
        <v>107681</v>
      </c>
      <c r="D320">
        <v>472919</v>
      </c>
      <c r="E320">
        <v>1131797</v>
      </c>
      <c r="F320">
        <v>418803</v>
      </c>
      <c r="G320">
        <v>135466</v>
      </c>
      <c r="H320">
        <v>101155</v>
      </c>
      <c r="I320">
        <v>353784</v>
      </c>
      <c r="J320">
        <v>43736</v>
      </c>
      <c r="K320">
        <v>-208370</v>
      </c>
      <c r="L320">
        <v>-18837</v>
      </c>
      <c r="M320">
        <v>10.19</v>
      </c>
      <c r="N320">
        <f t="shared" si="21"/>
        <v>2538134</v>
      </c>
      <c r="O320">
        <v>22065600</v>
      </c>
      <c r="P320" s="2">
        <f t="shared" si="22"/>
        <v>11.502673845261402</v>
      </c>
      <c r="Q320" s="3" t="str">
        <f t="shared" si="23"/>
        <v/>
      </c>
      <c r="R320" s="2">
        <f t="shared" si="20"/>
        <v>11.502673845261402</v>
      </c>
      <c r="S320" s="5">
        <f t="shared" si="24"/>
        <v>22.484846399999999</v>
      </c>
    </row>
    <row r="321" spans="1:19" x14ac:dyDescent="0.4">
      <c r="A321">
        <v>20210807</v>
      </c>
      <c r="B321" s="1">
        <v>0.64583333333333337</v>
      </c>
      <c r="C321">
        <v>117018</v>
      </c>
      <c r="D321">
        <v>449767</v>
      </c>
      <c r="E321">
        <v>973377</v>
      </c>
      <c r="F321">
        <v>240844</v>
      </c>
      <c r="G321">
        <v>167868</v>
      </c>
      <c r="H321">
        <v>92365</v>
      </c>
      <c r="I321">
        <v>228705</v>
      </c>
      <c r="J321">
        <v>14078</v>
      </c>
      <c r="K321">
        <v>-445328</v>
      </c>
      <c r="L321">
        <v>-17565</v>
      </c>
      <c r="M321">
        <v>10.28</v>
      </c>
      <c r="N321">
        <f t="shared" si="21"/>
        <v>1821129</v>
      </c>
      <c r="O321">
        <v>21668050</v>
      </c>
      <c r="P321" s="2">
        <f t="shared" si="22"/>
        <v>8.4046741631111246</v>
      </c>
      <c r="Q321" s="3" t="str">
        <f t="shared" si="23"/>
        <v/>
      </c>
      <c r="R321" s="2">
        <f t="shared" si="20"/>
        <v>8.4046741631111246</v>
      </c>
      <c r="S321" s="5">
        <f t="shared" si="24"/>
        <v>22.2747554</v>
      </c>
    </row>
    <row r="322" spans="1:19" x14ac:dyDescent="0.4">
      <c r="A322">
        <v>20210807</v>
      </c>
      <c r="B322" s="1">
        <v>0.66666666666666663</v>
      </c>
      <c r="C322">
        <v>138502</v>
      </c>
      <c r="D322">
        <v>336513</v>
      </c>
      <c r="E322">
        <v>828600</v>
      </c>
      <c r="F322">
        <v>188325</v>
      </c>
      <c r="G322">
        <v>92867</v>
      </c>
      <c r="H322">
        <v>124939</v>
      </c>
      <c r="I322">
        <v>145244</v>
      </c>
      <c r="J322">
        <v>-8448</v>
      </c>
      <c r="K322">
        <v>-429715</v>
      </c>
      <c r="L322">
        <v>2171</v>
      </c>
      <c r="M322">
        <v>10.27</v>
      </c>
      <c r="N322">
        <f t="shared" si="21"/>
        <v>1418998</v>
      </c>
      <c r="O322">
        <v>22251050</v>
      </c>
      <c r="P322" s="2">
        <f t="shared" si="22"/>
        <v>6.3772181537500474</v>
      </c>
      <c r="Q322" s="3" t="str">
        <f t="shared" si="23"/>
        <v/>
      </c>
      <c r="R322" s="2">
        <f t="shared" ref="R322:R385" si="25">IF(N322&lt;0,-P322,P322)</f>
        <v>6.3772181537500474</v>
      </c>
      <c r="S322" s="5">
        <f t="shared" si="24"/>
        <v>22.851828350000002</v>
      </c>
    </row>
    <row r="323" spans="1:19" x14ac:dyDescent="0.4">
      <c r="A323">
        <v>20210807</v>
      </c>
      <c r="B323" s="1">
        <v>0.6875</v>
      </c>
      <c r="C323">
        <v>122348</v>
      </c>
      <c r="D323">
        <v>373630</v>
      </c>
      <c r="E323">
        <v>764511</v>
      </c>
      <c r="F323">
        <v>153288</v>
      </c>
      <c r="G323">
        <v>49400</v>
      </c>
      <c r="H323">
        <v>-49717</v>
      </c>
      <c r="I323">
        <v>464803</v>
      </c>
      <c r="J323">
        <v>-69057</v>
      </c>
      <c r="K323">
        <v>-329422</v>
      </c>
      <c r="L323">
        <v>3248</v>
      </c>
      <c r="M323">
        <v>10.28</v>
      </c>
      <c r="N323">
        <f t="shared" ref="N323:N386" si="26">SUM(C323:L323)</f>
        <v>1483032</v>
      </c>
      <c r="O323">
        <v>22028100</v>
      </c>
      <c r="P323" s="2">
        <f t="shared" ref="P323:P386" si="27">((ABS(N323)*100)/O323)</f>
        <v>6.7324553638307432</v>
      </c>
      <c r="Q323" t="str">
        <f t="shared" ref="Q323:Q386" si="28">IF(N323&lt;0,"〇","")</f>
        <v/>
      </c>
      <c r="R323" s="2">
        <f t="shared" si="25"/>
        <v>6.7324553638307432</v>
      </c>
      <c r="S323" s="5">
        <f t="shared" ref="S323:S386" si="29">(M323*O323)/10^7</f>
        <v>22.644886799999998</v>
      </c>
    </row>
    <row r="324" spans="1:19" x14ac:dyDescent="0.4">
      <c r="A324">
        <v>20210807</v>
      </c>
      <c r="B324" s="1">
        <v>0.70833333333333337</v>
      </c>
      <c r="C324">
        <v>153272</v>
      </c>
      <c r="D324">
        <v>303472</v>
      </c>
      <c r="E324">
        <v>752602</v>
      </c>
      <c r="F324">
        <v>131333</v>
      </c>
      <c r="G324">
        <v>45586</v>
      </c>
      <c r="H324">
        <v>-123184</v>
      </c>
      <c r="I324">
        <v>292010</v>
      </c>
      <c r="J324">
        <v>-105055</v>
      </c>
      <c r="K324">
        <v>-223363</v>
      </c>
      <c r="L324">
        <v>2807</v>
      </c>
      <c r="M324">
        <v>10.28</v>
      </c>
      <c r="N324">
        <f t="shared" si="26"/>
        <v>1229480</v>
      </c>
      <c r="O324">
        <v>21960450</v>
      </c>
      <c r="P324" s="2">
        <f t="shared" si="27"/>
        <v>5.5986102288432162</v>
      </c>
      <c r="Q324" s="3" t="str">
        <f t="shared" si="28"/>
        <v/>
      </c>
      <c r="R324" s="2">
        <f t="shared" si="25"/>
        <v>5.5986102288432162</v>
      </c>
      <c r="S324" s="5">
        <f t="shared" si="29"/>
        <v>22.575342599999999</v>
      </c>
    </row>
    <row r="325" spans="1:19" x14ac:dyDescent="0.4">
      <c r="A325">
        <v>20210807</v>
      </c>
      <c r="B325" s="1">
        <v>0.72916666666666663</v>
      </c>
      <c r="C325">
        <v>125273</v>
      </c>
      <c r="D325">
        <v>187063</v>
      </c>
      <c r="E325">
        <v>180462</v>
      </c>
      <c r="F325">
        <v>70886</v>
      </c>
      <c r="G325">
        <v>21053</v>
      </c>
      <c r="H325">
        <v>-201215</v>
      </c>
      <c r="I325">
        <v>182961</v>
      </c>
      <c r="J325">
        <v>-127144</v>
      </c>
      <c r="K325">
        <v>-151545</v>
      </c>
      <c r="L325">
        <v>2299</v>
      </c>
      <c r="M325">
        <v>10.28</v>
      </c>
      <c r="N325">
        <f t="shared" si="26"/>
        <v>290093</v>
      </c>
      <c r="O325">
        <v>21725050</v>
      </c>
      <c r="P325" s="2">
        <f t="shared" si="27"/>
        <v>1.3352926690617513</v>
      </c>
      <c r="Q325" s="3" t="str">
        <f t="shared" si="28"/>
        <v/>
      </c>
      <c r="R325" s="2">
        <f t="shared" si="25"/>
        <v>1.3352926690617513</v>
      </c>
      <c r="S325" s="5">
        <f t="shared" si="29"/>
        <v>22.333351400000002</v>
      </c>
    </row>
    <row r="326" spans="1:19" x14ac:dyDescent="0.4">
      <c r="A326">
        <v>20210807</v>
      </c>
      <c r="B326" s="1">
        <v>0.75</v>
      </c>
      <c r="C326">
        <v>121113</v>
      </c>
      <c r="D326">
        <v>55760</v>
      </c>
      <c r="E326">
        <v>77560</v>
      </c>
      <c r="F326">
        <v>-116872</v>
      </c>
      <c r="G326">
        <v>21824</v>
      </c>
      <c r="H326">
        <v>-206563</v>
      </c>
      <c r="I326">
        <v>85885</v>
      </c>
      <c r="J326">
        <v>-124716</v>
      </c>
      <c r="K326">
        <v>-43455</v>
      </c>
      <c r="L326">
        <v>-493</v>
      </c>
      <c r="M326">
        <v>10.28</v>
      </c>
      <c r="N326">
        <f t="shared" si="26"/>
        <v>-129957</v>
      </c>
      <c r="O326">
        <v>21534900</v>
      </c>
      <c r="P326" s="2">
        <f t="shared" si="27"/>
        <v>0.60347157404956608</v>
      </c>
      <c r="Q326" s="3" t="str">
        <f t="shared" si="28"/>
        <v>〇</v>
      </c>
      <c r="R326" s="2">
        <f t="shared" si="25"/>
        <v>-0.60347157404956608</v>
      </c>
      <c r="S326" s="5">
        <f t="shared" si="29"/>
        <v>22.137877199999998</v>
      </c>
    </row>
    <row r="327" spans="1:19" x14ac:dyDescent="0.4">
      <c r="A327">
        <v>20210807</v>
      </c>
      <c r="B327" s="1">
        <v>0.77083333333333337</v>
      </c>
      <c r="C327">
        <v>92585</v>
      </c>
      <c r="D327">
        <v>-17807</v>
      </c>
      <c r="E327">
        <v>-182750</v>
      </c>
      <c r="F327">
        <v>-225325</v>
      </c>
      <c r="G327">
        <v>-4467</v>
      </c>
      <c r="H327">
        <v>-255740</v>
      </c>
      <c r="I327">
        <v>-15958</v>
      </c>
      <c r="J327">
        <v>-94018</v>
      </c>
      <c r="K327">
        <v>177698</v>
      </c>
      <c r="L327">
        <v>-8424</v>
      </c>
      <c r="M327">
        <v>10.28</v>
      </c>
      <c r="N327">
        <f t="shared" si="26"/>
        <v>-534206</v>
      </c>
      <c r="O327">
        <v>21419800</v>
      </c>
      <c r="P327" s="2">
        <f t="shared" si="27"/>
        <v>2.4939822033819175</v>
      </c>
      <c r="Q327" s="3" t="str">
        <f t="shared" si="28"/>
        <v>〇</v>
      </c>
      <c r="R327" s="2">
        <f t="shared" si="25"/>
        <v>-2.4939822033819175</v>
      </c>
      <c r="S327" s="5">
        <f t="shared" si="29"/>
        <v>22.019554400000001</v>
      </c>
    </row>
    <row r="328" spans="1:19" x14ac:dyDescent="0.4">
      <c r="A328">
        <v>20210807</v>
      </c>
      <c r="B328" s="1">
        <v>0.79166666666666663</v>
      </c>
      <c r="C328">
        <v>56264</v>
      </c>
      <c r="D328">
        <v>7197</v>
      </c>
      <c r="E328">
        <v>-295440</v>
      </c>
      <c r="F328">
        <v>-234126</v>
      </c>
      <c r="G328">
        <v>21639</v>
      </c>
      <c r="H328">
        <v>-207378</v>
      </c>
      <c r="I328">
        <v>38271</v>
      </c>
      <c r="J328">
        <v>-43767</v>
      </c>
      <c r="K328">
        <v>265721</v>
      </c>
      <c r="L328">
        <v>-5925</v>
      </c>
      <c r="M328">
        <v>10.4</v>
      </c>
      <c r="N328">
        <f t="shared" si="26"/>
        <v>-397544</v>
      </c>
      <c r="O328">
        <v>21302800</v>
      </c>
      <c r="P328" s="2">
        <f t="shared" si="27"/>
        <v>1.8661584392661998</v>
      </c>
      <c r="Q328" s="3" t="str">
        <f t="shared" si="28"/>
        <v>〇</v>
      </c>
      <c r="R328" s="2">
        <f t="shared" si="25"/>
        <v>-1.8661584392661998</v>
      </c>
      <c r="S328" s="5">
        <f t="shared" si="29"/>
        <v>22.154911999999999</v>
      </c>
    </row>
    <row r="329" spans="1:19" x14ac:dyDescent="0.4">
      <c r="A329">
        <v>20210807</v>
      </c>
      <c r="B329" s="1">
        <v>0.8125</v>
      </c>
      <c r="C329">
        <v>137859</v>
      </c>
      <c r="D329">
        <v>-41883</v>
      </c>
      <c r="E329">
        <v>-208139</v>
      </c>
      <c r="F329">
        <v>-166282</v>
      </c>
      <c r="G329">
        <v>41698</v>
      </c>
      <c r="H329">
        <v>-161664</v>
      </c>
      <c r="I329">
        <v>76692</v>
      </c>
      <c r="J329">
        <v>-11665</v>
      </c>
      <c r="K329">
        <v>280816</v>
      </c>
      <c r="L329">
        <v>-2434</v>
      </c>
      <c r="M329">
        <v>10.28</v>
      </c>
      <c r="N329">
        <f t="shared" si="26"/>
        <v>-55002</v>
      </c>
      <c r="O329">
        <v>20989250</v>
      </c>
      <c r="P329" s="2">
        <f t="shared" si="27"/>
        <v>0.26204842955322366</v>
      </c>
      <c r="Q329" s="3" t="str">
        <f t="shared" si="28"/>
        <v>〇</v>
      </c>
      <c r="R329" s="2">
        <f t="shared" si="25"/>
        <v>-0.26204842955322366</v>
      </c>
      <c r="S329" s="5">
        <f t="shared" si="29"/>
        <v>21.576948999999999</v>
      </c>
    </row>
    <row r="330" spans="1:19" x14ac:dyDescent="0.4">
      <c r="A330">
        <v>20210807</v>
      </c>
      <c r="B330" s="1">
        <v>0.83333333333333337</v>
      </c>
      <c r="C330">
        <v>124494</v>
      </c>
      <c r="D330">
        <v>-22927</v>
      </c>
      <c r="E330">
        <v>-250575</v>
      </c>
      <c r="F330">
        <v>-185878</v>
      </c>
      <c r="G330">
        <v>38908</v>
      </c>
      <c r="H330">
        <v>34345</v>
      </c>
      <c r="I330">
        <v>172839</v>
      </c>
      <c r="J330">
        <v>-7229</v>
      </c>
      <c r="K330">
        <v>319686</v>
      </c>
      <c r="L330">
        <v>-7011</v>
      </c>
      <c r="M330">
        <v>10.25</v>
      </c>
      <c r="N330">
        <f t="shared" si="26"/>
        <v>216652</v>
      </c>
      <c r="O330">
        <v>20781100</v>
      </c>
      <c r="P330" s="2">
        <f t="shared" si="27"/>
        <v>1.0425434649753862</v>
      </c>
      <c r="Q330" t="str">
        <f t="shared" si="28"/>
        <v/>
      </c>
      <c r="R330" s="2">
        <f t="shared" si="25"/>
        <v>1.0425434649753862</v>
      </c>
      <c r="S330" s="5">
        <f t="shared" si="29"/>
        <v>21.300627500000001</v>
      </c>
    </row>
    <row r="331" spans="1:19" x14ac:dyDescent="0.4">
      <c r="A331">
        <v>20210807</v>
      </c>
      <c r="B331" s="1">
        <v>0.85416666666666663</v>
      </c>
      <c r="C331">
        <v>49865</v>
      </c>
      <c r="D331">
        <v>-71774</v>
      </c>
      <c r="E331">
        <v>-212649</v>
      </c>
      <c r="F331">
        <v>-167039</v>
      </c>
      <c r="G331">
        <v>23147</v>
      </c>
      <c r="H331">
        <v>103071</v>
      </c>
      <c r="I331">
        <v>177987</v>
      </c>
      <c r="J331">
        <v>-24176</v>
      </c>
      <c r="K331">
        <v>331696</v>
      </c>
      <c r="L331">
        <v>-2388</v>
      </c>
      <c r="M331">
        <v>9.92</v>
      </c>
      <c r="N331">
        <f t="shared" si="26"/>
        <v>207740</v>
      </c>
      <c r="O331">
        <v>20830750</v>
      </c>
      <c r="P331" s="2">
        <f t="shared" si="27"/>
        <v>0.99727566218211061</v>
      </c>
      <c r="Q331" s="3" t="str">
        <f t="shared" si="28"/>
        <v/>
      </c>
      <c r="R331" s="2">
        <f t="shared" si="25"/>
        <v>0.99727566218211061</v>
      </c>
      <c r="S331" s="5">
        <f t="shared" si="29"/>
        <v>20.664103999999998</v>
      </c>
    </row>
    <row r="332" spans="1:19" x14ac:dyDescent="0.4">
      <c r="A332">
        <v>20210807</v>
      </c>
      <c r="B332" s="1">
        <v>0.875</v>
      </c>
      <c r="C332">
        <v>96737</v>
      </c>
      <c r="D332">
        <v>-102137</v>
      </c>
      <c r="E332">
        <v>-278505</v>
      </c>
      <c r="F332">
        <v>-214867</v>
      </c>
      <c r="G332">
        <v>40282</v>
      </c>
      <c r="H332">
        <v>69688</v>
      </c>
      <c r="I332">
        <v>162067</v>
      </c>
      <c r="J332">
        <v>-19948</v>
      </c>
      <c r="K332">
        <v>337342</v>
      </c>
      <c r="L332">
        <v>-5826</v>
      </c>
      <c r="M332">
        <v>9.56</v>
      </c>
      <c r="N332">
        <f t="shared" si="26"/>
        <v>84833</v>
      </c>
      <c r="O332">
        <v>20839700</v>
      </c>
      <c r="P332" s="2">
        <f t="shared" si="27"/>
        <v>0.40707399818615431</v>
      </c>
      <c r="Q332" s="3" t="str">
        <f t="shared" si="28"/>
        <v/>
      </c>
      <c r="R332" s="2">
        <f t="shared" si="25"/>
        <v>0.40707399818615431</v>
      </c>
      <c r="S332" s="5">
        <f t="shared" si="29"/>
        <v>19.922753199999999</v>
      </c>
    </row>
    <row r="333" spans="1:19" x14ac:dyDescent="0.4">
      <c r="A333">
        <v>20210807</v>
      </c>
      <c r="B333" s="1">
        <v>0.89583333333333337</v>
      </c>
      <c r="C333">
        <v>63072</v>
      </c>
      <c r="D333">
        <v>-14616</v>
      </c>
      <c r="E333">
        <v>-200330</v>
      </c>
      <c r="F333">
        <v>-213595</v>
      </c>
      <c r="G333">
        <v>19709</v>
      </c>
      <c r="H333">
        <v>-98645</v>
      </c>
      <c r="I333">
        <v>142911</v>
      </c>
      <c r="J333">
        <v>-15807</v>
      </c>
      <c r="K333">
        <v>266519</v>
      </c>
      <c r="L333">
        <v>1001</v>
      </c>
      <c r="M333">
        <v>9.49</v>
      </c>
      <c r="N333">
        <f t="shared" si="26"/>
        <v>-49781</v>
      </c>
      <c r="O333">
        <v>20705700</v>
      </c>
      <c r="P333" s="2">
        <f t="shared" si="27"/>
        <v>0.24042171962309897</v>
      </c>
      <c r="Q333" s="3" t="str">
        <f t="shared" si="28"/>
        <v>〇</v>
      </c>
      <c r="R333" s="2">
        <f t="shared" si="25"/>
        <v>-0.24042171962309897</v>
      </c>
      <c r="S333" s="5">
        <f t="shared" si="29"/>
        <v>19.649709300000001</v>
      </c>
    </row>
    <row r="334" spans="1:19" x14ac:dyDescent="0.4">
      <c r="A334">
        <v>20210807</v>
      </c>
      <c r="B334" s="1">
        <v>0.91666666666666663</v>
      </c>
      <c r="C334">
        <v>118384</v>
      </c>
      <c r="D334">
        <v>-84114</v>
      </c>
      <c r="E334">
        <v>-229199</v>
      </c>
      <c r="F334">
        <v>-218089</v>
      </c>
      <c r="G334">
        <v>34795</v>
      </c>
      <c r="H334">
        <v>-93982</v>
      </c>
      <c r="I334">
        <v>53700</v>
      </c>
      <c r="J334">
        <v>12104</v>
      </c>
      <c r="K334">
        <v>274132</v>
      </c>
      <c r="L334">
        <v>1040</v>
      </c>
      <c r="M334">
        <v>8.9499999999999993</v>
      </c>
      <c r="N334">
        <f t="shared" si="26"/>
        <v>-131229</v>
      </c>
      <c r="O334">
        <v>20225950</v>
      </c>
      <c r="P334" s="2">
        <f t="shared" si="27"/>
        <v>0.64881501239743988</v>
      </c>
      <c r="Q334" s="3" t="str">
        <f t="shared" si="28"/>
        <v>〇</v>
      </c>
      <c r="R334" s="2">
        <f t="shared" si="25"/>
        <v>-0.64881501239743988</v>
      </c>
      <c r="S334" s="5">
        <f t="shared" si="29"/>
        <v>18.10222525</v>
      </c>
    </row>
    <row r="335" spans="1:19" x14ac:dyDescent="0.4">
      <c r="A335">
        <v>20210807</v>
      </c>
      <c r="B335" s="1">
        <v>0.9375</v>
      </c>
      <c r="C335">
        <v>44796</v>
      </c>
      <c r="D335">
        <v>-92528</v>
      </c>
      <c r="E335">
        <v>-274194</v>
      </c>
      <c r="F335">
        <v>-276069</v>
      </c>
      <c r="G335">
        <v>-937</v>
      </c>
      <c r="H335">
        <v>-187624</v>
      </c>
      <c r="I335">
        <v>44247</v>
      </c>
      <c r="J335">
        <v>979</v>
      </c>
      <c r="K335">
        <v>228023</v>
      </c>
      <c r="L335">
        <v>-681</v>
      </c>
      <c r="M335">
        <v>8.14</v>
      </c>
      <c r="N335">
        <f t="shared" si="26"/>
        <v>-513988</v>
      </c>
      <c r="O335">
        <v>19896100</v>
      </c>
      <c r="P335" s="2">
        <f t="shared" si="27"/>
        <v>2.5833605580993262</v>
      </c>
      <c r="Q335" s="3" t="str">
        <f t="shared" si="28"/>
        <v>〇</v>
      </c>
      <c r="R335" s="2">
        <f t="shared" si="25"/>
        <v>-2.5833605580993262</v>
      </c>
      <c r="S335" s="5">
        <f t="shared" si="29"/>
        <v>16.195425400000001</v>
      </c>
    </row>
    <row r="336" spans="1:19" x14ac:dyDescent="0.4">
      <c r="A336">
        <v>20210807</v>
      </c>
      <c r="B336" s="1">
        <v>0.95833333333333337</v>
      </c>
      <c r="C336">
        <v>80925</v>
      </c>
      <c r="D336">
        <v>-47728</v>
      </c>
      <c r="E336">
        <v>-413480</v>
      </c>
      <c r="F336">
        <v>-175344</v>
      </c>
      <c r="G336">
        <v>46392</v>
      </c>
      <c r="H336">
        <v>-147860</v>
      </c>
      <c r="I336">
        <v>83385</v>
      </c>
      <c r="J336">
        <v>-1747</v>
      </c>
      <c r="K336">
        <v>101466</v>
      </c>
      <c r="L336">
        <v>3645</v>
      </c>
      <c r="M336">
        <v>7.89</v>
      </c>
      <c r="N336">
        <f t="shared" si="26"/>
        <v>-470346</v>
      </c>
      <c r="O336">
        <v>19445150</v>
      </c>
      <c r="P336" s="2">
        <f t="shared" si="27"/>
        <v>2.4188345165761129</v>
      </c>
      <c r="Q336" s="3" t="str">
        <f t="shared" si="28"/>
        <v>〇</v>
      </c>
      <c r="R336" s="2">
        <f t="shared" si="25"/>
        <v>-2.4188345165761129</v>
      </c>
      <c r="S336" s="5">
        <f t="shared" si="29"/>
        <v>15.342223349999999</v>
      </c>
    </row>
    <row r="337" spans="1:19" x14ac:dyDescent="0.4">
      <c r="A337">
        <v>20210807</v>
      </c>
      <c r="B337" s="1">
        <v>0.97916666666666663</v>
      </c>
      <c r="C337">
        <v>120005</v>
      </c>
      <c r="D337">
        <v>-13602</v>
      </c>
      <c r="E337">
        <v>-424428</v>
      </c>
      <c r="F337">
        <v>-183658</v>
      </c>
      <c r="G337">
        <v>49849</v>
      </c>
      <c r="H337">
        <v>-115286</v>
      </c>
      <c r="I337">
        <v>40855</v>
      </c>
      <c r="J337">
        <v>11099</v>
      </c>
      <c r="K337">
        <v>108789</v>
      </c>
      <c r="L337">
        <v>9585</v>
      </c>
      <c r="M337">
        <v>7.6</v>
      </c>
      <c r="N337">
        <f t="shared" si="26"/>
        <v>-396792</v>
      </c>
      <c r="O337">
        <v>18489400</v>
      </c>
      <c r="P337" s="2">
        <f t="shared" si="27"/>
        <v>2.146051250987052</v>
      </c>
      <c r="Q337" s="3" t="str">
        <f t="shared" si="28"/>
        <v>〇</v>
      </c>
      <c r="R337" s="2">
        <f t="shared" si="25"/>
        <v>-2.146051250987052</v>
      </c>
      <c r="S337" s="5">
        <f t="shared" si="29"/>
        <v>14.051944000000001</v>
      </c>
    </row>
    <row r="338" spans="1:19" x14ac:dyDescent="0.4">
      <c r="A338">
        <v>20210808</v>
      </c>
      <c r="B338" s="1">
        <v>0</v>
      </c>
      <c r="C338">
        <v>54229</v>
      </c>
      <c r="D338">
        <v>58903</v>
      </c>
      <c r="E338">
        <v>-236534</v>
      </c>
      <c r="F338">
        <v>-20506</v>
      </c>
      <c r="G338">
        <v>66138</v>
      </c>
      <c r="H338">
        <v>55083</v>
      </c>
      <c r="I338">
        <v>-8437</v>
      </c>
      <c r="J338">
        <v>33329</v>
      </c>
      <c r="K338">
        <v>136491</v>
      </c>
      <c r="L338">
        <v>-4634</v>
      </c>
      <c r="M338">
        <v>7.06</v>
      </c>
      <c r="N338">
        <f t="shared" si="26"/>
        <v>134062</v>
      </c>
      <c r="O338">
        <v>17645000</v>
      </c>
      <c r="P338" s="2">
        <f t="shared" si="27"/>
        <v>0.75977330688580336</v>
      </c>
      <c r="Q338" s="3" t="str">
        <f t="shared" si="28"/>
        <v/>
      </c>
      <c r="R338" s="2">
        <f t="shared" si="25"/>
        <v>0.75977330688580336</v>
      </c>
      <c r="S338" s="5">
        <f t="shared" si="29"/>
        <v>12.457369999999999</v>
      </c>
    </row>
    <row r="339" spans="1:19" x14ac:dyDescent="0.4">
      <c r="A339">
        <v>20210808</v>
      </c>
      <c r="B339" s="1">
        <v>2.0833333333333332E-2</v>
      </c>
      <c r="C339">
        <v>84659</v>
      </c>
      <c r="D339">
        <v>46883</v>
      </c>
      <c r="E339">
        <v>-226089</v>
      </c>
      <c r="F339">
        <v>-9188</v>
      </c>
      <c r="G339">
        <v>53155</v>
      </c>
      <c r="H339">
        <v>82302</v>
      </c>
      <c r="I339">
        <v>-5950</v>
      </c>
      <c r="J339">
        <v>24092</v>
      </c>
      <c r="K339">
        <v>149281</v>
      </c>
      <c r="L339">
        <v>1990</v>
      </c>
      <c r="M339">
        <v>6.96</v>
      </c>
      <c r="N339">
        <f t="shared" si="26"/>
        <v>201135</v>
      </c>
      <c r="O339">
        <v>18889950</v>
      </c>
      <c r="P339" s="2">
        <f t="shared" si="27"/>
        <v>1.0647725377780248</v>
      </c>
      <c r="Q339" s="3" t="str">
        <f t="shared" si="28"/>
        <v/>
      </c>
      <c r="R339" s="2">
        <f t="shared" si="25"/>
        <v>1.0647725377780248</v>
      </c>
      <c r="S339" s="5">
        <f t="shared" si="29"/>
        <v>13.1474052</v>
      </c>
    </row>
    <row r="340" spans="1:19" x14ac:dyDescent="0.4">
      <c r="A340">
        <v>20210808</v>
      </c>
      <c r="B340" s="1">
        <v>4.1666666666666664E-2</v>
      </c>
      <c r="C340">
        <v>77848</v>
      </c>
      <c r="D340">
        <v>60925</v>
      </c>
      <c r="E340">
        <v>-176887</v>
      </c>
      <c r="F340">
        <v>-1388</v>
      </c>
      <c r="G340">
        <v>31848</v>
      </c>
      <c r="H340">
        <v>120489</v>
      </c>
      <c r="I340">
        <v>-5469</v>
      </c>
      <c r="J340">
        <v>38755</v>
      </c>
      <c r="K340">
        <v>114785</v>
      </c>
      <c r="L340">
        <v>-2137</v>
      </c>
      <c r="M340">
        <v>7</v>
      </c>
      <c r="N340">
        <f t="shared" si="26"/>
        <v>258769</v>
      </c>
      <c r="O340">
        <v>19375700</v>
      </c>
      <c r="P340" s="2">
        <f t="shared" si="27"/>
        <v>1.3355336839443219</v>
      </c>
      <c r="Q340" s="3" t="str">
        <f t="shared" si="28"/>
        <v/>
      </c>
      <c r="R340" s="2">
        <f t="shared" si="25"/>
        <v>1.3355336839443219</v>
      </c>
      <c r="S340" s="5">
        <f t="shared" si="29"/>
        <v>13.562989999999999</v>
      </c>
    </row>
    <row r="341" spans="1:19" x14ac:dyDescent="0.4">
      <c r="A341">
        <v>20210808</v>
      </c>
      <c r="B341" s="1">
        <v>6.25E-2</v>
      </c>
      <c r="C341">
        <v>68455</v>
      </c>
      <c r="D341">
        <v>55356</v>
      </c>
      <c r="E341">
        <v>-150461</v>
      </c>
      <c r="F341">
        <v>82619</v>
      </c>
      <c r="G341">
        <v>56234</v>
      </c>
      <c r="H341">
        <v>42936</v>
      </c>
      <c r="I341">
        <v>-57658</v>
      </c>
      <c r="J341">
        <v>51307</v>
      </c>
      <c r="K341">
        <v>119910</v>
      </c>
      <c r="L341">
        <v>-1293</v>
      </c>
      <c r="M341">
        <v>7</v>
      </c>
      <c r="N341">
        <f t="shared" si="26"/>
        <v>267405</v>
      </c>
      <c r="O341">
        <v>19447250</v>
      </c>
      <c r="P341" s="2">
        <f t="shared" si="27"/>
        <v>1.3750273174870482</v>
      </c>
      <c r="Q341" s="3" t="str">
        <f t="shared" si="28"/>
        <v/>
      </c>
      <c r="R341" s="2">
        <f t="shared" si="25"/>
        <v>1.3750273174870482</v>
      </c>
      <c r="S341" s="5">
        <f t="shared" si="29"/>
        <v>13.613075</v>
      </c>
    </row>
    <row r="342" spans="1:19" x14ac:dyDescent="0.4">
      <c r="A342">
        <v>20210808</v>
      </c>
      <c r="B342" s="1">
        <v>8.3333333333333329E-2</v>
      </c>
      <c r="C342">
        <v>65264</v>
      </c>
      <c r="D342">
        <v>42781</v>
      </c>
      <c r="E342">
        <v>-118994</v>
      </c>
      <c r="F342">
        <v>45084</v>
      </c>
      <c r="G342">
        <v>28851</v>
      </c>
      <c r="H342">
        <v>93911</v>
      </c>
      <c r="I342">
        <v>52069</v>
      </c>
      <c r="J342">
        <v>67278</v>
      </c>
      <c r="K342">
        <v>88207</v>
      </c>
      <c r="L342">
        <v>977</v>
      </c>
      <c r="M342">
        <v>7.84</v>
      </c>
      <c r="N342">
        <f t="shared" si="26"/>
        <v>365428</v>
      </c>
      <c r="O342">
        <v>19513850</v>
      </c>
      <c r="P342" s="2">
        <f t="shared" si="27"/>
        <v>1.8726596750513098</v>
      </c>
      <c r="Q342" s="3" t="str">
        <f t="shared" si="28"/>
        <v/>
      </c>
      <c r="R342" s="2">
        <f t="shared" si="25"/>
        <v>1.8726596750513098</v>
      </c>
      <c r="S342" s="5">
        <f t="shared" si="29"/>
        <v>15.2988584</v>
      </c>
    </row>
    <row r="343" spans="1:19" x14ac:dyDescent="0.4">
      <c r="A343">
        <v>20210808</v>
      </c>
      <c r="B343" s="1">
        <v>0.10416666666666667</v>
      </c>
      <c r="C343">
        <v>118444</v>
      </c>
      <c r="D343">
        <v>59166</v>
      </c>
      <c r="E343">
        <v>-159251</v>
      </c>
      <c r="F343">
        <v>129963</v>
      </c>
      <c r="G343">
        <v>57464</v>
      </c>
      <c r="H343">
        <v>-19659</v>
      </c>
      <c r="I343">
        <v>-775</v>
      </c>
      <c r="J343">
        <v>56352</v>
      </c>
      <c r="K343">
        <v>88148</v>
      </c>
      <c r="L343">
        <v>-6497</v>
      </c>
      <c r="M343">
        <v>7.44</v>
      </c>
      <c r="N343">
        <f t="shared" si="26"/>
        <v>323355</v>
      </c>
      <c r="O343">
        <v>19505550</v>
      </c>
      <c r="P343" s="2">
        <f t="shared" si="27"/>
        <v>1.6577589455308874</v>
      </c>
      <c r="Q343" s="3" t="str">
        <f t="shared" si="28"/>
        <v/>
      </c>
      <c r="R343" s="2">
        <f t="shared" si="25"/>
        <v>1.6577589455308874</v>
      </c>
      <c r="S343" s="5">
        <f t="shared" si="29"/>
        <v>14.5121292</v>
      </c>
    </row>
    <row r="344" spans="1:19" x14ac:dyDescent="0.4">
      <c r="A344">
        <v>20210808</v>
      </c>
      <c r="B344" s="1">
        <v>0.125</v>
      </c>
      <c r="C344">
        <v>80868</v>
      </c>
      <c r="D344">
        <v>30329</v>
      </c>
      <c r="E344">
        <v>-148779</v>
      </c>
      <c r="F344">
        <v>116943</v>
      </c>
      <c r="G344">
        <v>23366</v>
      </c>
      <c r="H344">
        <v>107966</v>
      </c>
      <c r="I344">
        <v>-21903</v>
      </c>
      <c r="J344">
        <v>38836</v>
      </c>
      <c r="K344">
        <v>98759</v>
      </c>
      <c r="L344">
        <v>-3623</v>
      </c>
      <c r="M344">
        <v>6.94</v>
      </c>
      <c r="N344">
        <f t="shared" si="26"/>
        <v>322762</v>
      </c>
      <c r="O344">
        <v>19702200</v>
      </c>
      <c r="P344" s="2">
        <f t="shared" si="27"/>
        <v>1.6382028402919471</v>
      </c>
      <c r="Q344" t="str">
        <f t="shared" si="28"/>
        <v/>
      </c>
      <c r="R344" s="2">
        <f t="shared" si="25"/>
        <v>1.6382028402919471</v>
      </c>
      <c r="S344" s="5">
        <f t="shared" si="29"/>
        <v>13.6733268</v>
      </c>
    </row>
    <row r="345" spans="1:19" x14ac:dyDescent="0.4">
      <c r="A345">
        <v>20210808</v>
      </c>
      <c r="B345" s="1">
        <v>0.14583333333333334</v>
      </c>
      <c r="C345">
        <v>79820</v>
      </c>
      <c r="D345">
        <v>38839</v>
      </c>
      <c r="E345">
        <v>-119780</v>
      </c>
      <c r="F345">
        <v>195959</v>
      </c>
      <c r="G345">
        <v>29073</v>
      </c>
      <c r="H345">
        <v>81449</v>
      </c>
      <c r="I345">
        <v>12722</v>
      </c>
      <c r="J345">
        <v>39126</v>
      </c>
      <c r="K345">
        <v>78746</v>
      </c>
      <c r="L345">
        <v>5926</v>
      </c>
      <c r="M345">
        <v>6.94</v>
      </c>
      <c r="N345">
        <f t="shared" si="26"/>
        <v>441880</v>
      </c>
      <c r="O345">
        <v>19815100</v>
      </c>
      <c r="P345" s="2">
        <f t="shared" si="27"/>
        <v>2.2300165025662246</v>
      </c>
      <c r="Q345" s="3" t="str">
        <f t="shared" si="28"/>
        <v/>
      </c>
      <c r="R345" s="2">
        <f t="shared" si="25"/>
        <v>2.2300165025662246</v>
      </c>
      <c r="S345" s="5">
        <f t="shared" si="29"/>
        <v>13.7516794</v>
      </c>
    </row>
    <row r="346" spans="1:19" x14ac:dyDescent="0.4">
      <c r="A346">
        <v>20210808</v>
      </c>
      <c r="B346" s="1">
        <v>0.16666666666666666</v>
      </c>
      <c r="C346">
        <v>60289</v>
      </c>
      <c r="D346">
        <v>46403</v>
      </c>
      <c r="E346">
        <v>-64142</v>
      </c>
      <c r="F346">
        <v>125069</v>
      </c>
      <c r="G346">
        <v>18652</v>
      </c>
      <c r="H346">
        <v>194410</v>
      </c>
      <c r="I346">
        <v>33761</v>
      </c>
      <c r="J346">
        <v>56829</v>
      </c>
      <c r="K346">
        <v>41107</v>
      </c>
      <c r="L346">
        <v>15743</v>
      </c>
      <c r="M346">
        <v>6.87</v>
      </c>
      <c r="N346">
        <f t="shared" si="26"/>
        <v>528121</v>
      </c>
      <c r="O346">
        <v>19990900</v>
      </c>
      <c r="P346" s="2">
        <f t="shared" si="27"/>
        <v>2.6418070221950987</v>
      </c>
      <c r="Q346" s="3" t="str">
        <f t="shared" si="28"/>
        <v/>
      </c>
      <c r="R346" s="2">
        <f t="shared" si="25"/>
        <v>2.6418070221950987</v>
      </c>
      <c r="S346" s="5">
        <f t="shared" si="29"/>
        <v>13.7337483</v>
      </c>
    </row>
    <row r="347" spans="1:19" x14ac:dyDescent="0.4">
      <c r="A347">
        <v>20210808</v>
      </c>
      <c r="B347" s="1">
        <v>0.1875</v>
      </c>
      <c r="C347">
        <v>70110</v>
      </c>
      <c r="D347">
        <v>4034</v>
      </c>
      <c r="E347">
        <v>-17158</v>
      </c>
      <c r="F347">
        <v>140873</v>
      </c>
      <c r="G347">
        <v>37605</v>
      </c>
      <c r="H347">
        <v>101959</v>
      </c>
      <c r="I347">
        <v>75851</v>
      </c>
      <c r="J347">
        <v>59783</v>
      </c>
      <c r="K347">
        <v>-4830</v>
      </c>
      <c r="L347">
        <v>8171</v>
      </c>
      <c r="M347">
        <v>6.95</v>
      </c>
      <c r="N347">
        <f t="shared" si="26"/>
        <v>476398</v>
      </c>
      <c r="O347">
        <v>20039850</v>
      </c>
      <c r="P347" s="2">
        <f t="shared" si="27"/>
        <v>2.3772533227544117</v>
      </c>
      <c r="Q347" s="3" t="str">
        <f t="shared" si="28"/>
        <v/>
      </c>
      <c r="R347" s="2">
        <f t="shared" si="25"/>
        <v>2.3772533227544117</v>
      </c>
      <c r="S347" s="5">
        <f t="shared" si="29"/>
        <v>13.92769575</v>
      </c>
    </row>
    <row r="348" spans="1:19" x14ac:dyDescent="0.4">
      <c r="A348">
        <v>20210808</v>
      </c>
      <c r="B348" s="1">
        <v>0.20833333333333334</v>
      </c>
      <c r="C348">
        <v>64763</v>
      </c>
      <c r="D348">
        <v>-20967</v>
      </c>
      <c r="E348">
        <v>-21767</v>
      </c>
      <c r="F348">
        <v>130625</v>
      </c>
      <c r="G348">
        <v>42758</v>
      </c>
      <c r="H348">
        <v>108774</v>
      </c>
      <c r="I348">
        <v>48735</v>
      </c>
      <c r="J348">
        <v>63091</v>
      </c>
      <c r="K348">
        <v>-28884</v>
      </c>
      <c r="L348">
        <v>4469</v>
      </c>
      <c r="M348">
        <v>6.92</v>
      </c>
      <c r="N348">
        <f t="shared" si="26"/>
        <v>391597</v>
      </c>
      <c r="O348">
        <v>20022400</v>
      </c>
      <c r="P348" s="2">
        <f t="shared" si="27"/>
        <v>1.9557945101486336</v>
      </c>
      <c r="Q348" s="3" t="str">
        <f t="shared" si="28"/>
        <v/>
      </c>
      <c r="R348" s="2">
        <f t="shared" si="25"/>
        <v>1.9557945101486336</v>
      </c>
      <c r="S348" s="5">
        <f t="shared" si="29"/>
        <v>13.8555008</v>
      </c>
    </row>
    <row r="349" spans="1:19" x14ac:dyDescent="0.4">
      <c r="A349">
        <v>20210808</v>
      </c>
      <c r="B349" s="1">
        <v>0.22916666666666666</v>
      </c>
      <c r="C349">
        <v>8974</v>
      </c>
      <c r="D349">
        <v>78641</v>
      </c>
      <c r="E349">
        <v>113699</v>
      </c>
      <c r="F349">
        <v>173730</v>
      </c>
      <c r="G349">
        <v>22712</v>
      </c>
      <c r="H349">
        <v>103703</v>
      </c>
      <c r="I349">
        <v>61111</v>
      </c>
      <c r="J349">
        <v>56794</v>
      </c>
      <c r="K349">
        <v>-45323</v>
      </c>
      <c r="L349">
        <v>7937</v>
      </c>
      <c r="M349">
        <v>6.85</v>
      </c>
      <c r="N349">
        <f t="shared" si="26"/>
        <v>581978</v>
      </c>
      <c r="O349">
        <v>20139150</v>
      </c>
      <c r="P349" s="2">
        <f t="shared" si="27"/>
        <v>2.8897843255549516</v>
      </c>
      <c r="Q349" s="3" t="str">
        <f t="shared" si="28"/>
        <v/>
      </c>
      <c r="R349" s="2">
        <f t="shared" si="25"/>
        <v>2.8897843255549516</v>
      </c>
      <c r="S349" s="5">
        <f t="shared" si="29"/>
        <v>13.795317750000001</v>
      </c>
    </row>
    <row r="350" spans="1:19" x14ac:dyDescent="0.4">
      <c r="A350">
        <v>20210808</v>
      </c>
      <c r="B350" s="1">
        <v>0.25</v>
      </c>
      <c r="C350">
        <v>70948</v>
      </c>
      <c r="D350">
        <v>59556</v>
      </c>
      <c r="E350">
        <v>215590</v>
      </c>
      <c r="F350">
        <v>-6013</v>
      </c>
      <c r="G350">
        <v>53088</v>
      </c>
      <c r="H350">
        <v>78955</v>
      </c>
      <c r="I350">
        <v>-44398</v>
      </c>
      <c r="J350">
        <v>67996</v>
      </c>
      <c r="K350">
        <v>-112991</v>
      </c>
      <c r="L350">
        <v>-6272</v>
      </c>
      <c r="M350">
        <v>6.95</v>
      </c>
      <c r="N350">
        <f t="shared" si="26"/>
        <v>376459</v>
      </c>
      <c r="O350">
        <v>20612950</v>
      </c>
      <c r="P350" s="2">
        <f t="shared" si="27"/>
        <v>1.8263227728199991</v>
      </c>
      <c r="Q350" s="3" t="str">
        <f t="shared" si="28"/>
        <v/>
      </c>
      <c r="R350" s="2">
        <f t="shared" si="25"/>
        <v>1.8263227728199991</v>
      </c>
      <c r="S350" s="5">
        <f t="shared" si="29"/>
        <v>14.32600025</v>
      </c>
    </row>
    <row r="351" spans="1:19" x14ac:dyDescent="0.4">
      <c r="A351">
        <v>20210808</v>
      </c>
      <c r="B351" s="1">
        <v>0.27083333333333331</v>
      </c>
      <c r="C351">
        <v>47851</v>
      </c>
      <c r="D351">
        <v>49214</v>
      </c>
      <c r="E351">
        <v>383016</v>
      </c>
      <c r="F351">
        <v>-181582</v>
      </c>
      <c r="G351">
        <v>55762</v>
      </c>
      <c r="H351">
        <v>67314</v>
      </c>
      <c r="I351">
        <v>193975</v>
      </c>
      <c r="J351">
        <v>82426</v>
      </c>
      <c r="K351">
        <v>-93035</v>
      </c>
      <c r="L351">
        <v>-10225</v>
      </c>
      <c r="M351">
        <v>6.95</v>
      </c>
      <c r="N351">
        <f t="shared" si="26"/>
        <v>594716</v>
      </c>
      <c r="O351">
        <v>20923700</v>
      </c>
      <c r="P351" s="2">
        <f t="shared" si="27"/>
        <v>2.8423080047983866</v>
      </c>
      <c r="Q351" t="str">
        <f t="shared" si="28"/>
        <v/>
      </c>
      <c r="R351" s="2">
        <f t="shared" si="25"/>
        <v>2.8423080047983866</v>
      </c>
      <c r="S351" s="5">
        <f t="shared" si="29"/>
        <v>14.541971500000001</v>
      </c>
    </row>
    <row r="352" spans="1:19" x14ac:dyDescent="0.4">
      <c r="A352">
        <v>20210808</v>
      </c>
      <c r="B352" s="1">
        <v>0.29166666666666669</v>
      </c>
      <c r="C352">
        <v>125240</v>
      </c>
      <c r="D352">
        <v>121973</v>
      </c>
      <c r="E352">
        <v>655072</v>
      </c>
      <c r="F352">
        <v>-108237</v>
      </c>
      <c r="G352">
        <v>67013</v>
      </c>
      <c r="H352">
        <v>-160527</v>
      </c>
      <c r="I352">
        <v>310097</v>
      </c>
      <c r="J352">
        <v>74451</v>
      </c>
      <c r="K352">
        <v>-33750</v>
      </c>
      <c r="L352">
        <v>-14164</v>
      </c>
      <c r="M352">
        <v>6.92</v>
      </c>
      <c r="N352">
        <f t="shared" si="26"/>
        <v>1037168</v>
      </c>
      <c r="O352">
        <v>21295200</v>
      </c>
      <c r="P352" s="2">
        <f t="shared" si="27"/>
        <v>4.8704308952252147</v>
      </c>
      <c r="Q352" s="3" t="str">
        <f t="shared" si="28"/>
        <v/>
      </c>
      <c r="R352" s="2">
        <f t="shared" si="25"/>
        <v>4.8704308952252147</v>
      </c>
      <c r="S352" s="5">
        <f t="shared" si="29"/>
        <v>14.7362784</v>
      </c>
    </row>
    <row r="353" spans="1:19" x14ac:dyDescent="0.4">
      <c r="A353">
        <v>20210808</v>
      </c>
      <c r="B353" s="1">
        <v>0.3125</v>
      </c>
      <c r="C353">
        <v>152469</v>
      </c>
      <c r="D353">
        <v>100504</v>
      </c>
      <c r="E353">
        <v>798295</v>
      </c>
      <c r="F353">
        <v>-181684</v>
      </c>
      <c r="G353">
        <v>54331</v>
      </c>
      <c r="H353">
        <v>-14964</v>
      </c>
      <c r="I353">
        <v>497572</v>
      </c>
      <c r="J353">
        <v>151026</v>
      </c>
      <c r="K353">
        <v>113074</v>
      </c>
      <c r="L353">
        <v>-25051</v>
      </c>
      <c r="M353">
        <v>6.92</v>
      </c>
      <c r="N353">
        <f t="shared" si="26"/>
        <v>1645572</v>
      </c>
      <c r="O353">
        <v>21662850</v>
      </c>
      <c r="P353" s="2">
        <f t="shared" si="27"/>
        <v>7.5962858072691271</v>
      </c>
      <c r="Q353" s="3" t="str">
        <f t="shared" si="28"/>
        <v/>
      </c>
      <c r="R353" s="2">
        <f t="shared" si="25"/>
        <v>7.5962858072691271</v>
      </c>
      <c r="S353" s="5">
        <f t="shared" si="29"/>
        <v>14.9906922</v>
      </c>
    </row>
    <row r="354" spans="1:19" x14ac:dyDescent="0.4">
      <c r="A354">
        <v>20210808</v>
      </c>
      <c r="B354" s="1">
        <v>0.33333333333333331</v>
      </c>
      <c r="C354">
        <v>159078</v>
      </c>
      <c r="D354">
        <v>176340</v>
      </c>
      <c r="E354">
        <v>1144746</v>
      </c>
      <c r="F354">
        <v>-208706</v>
      </c>
      <c r="G354">
        <v>64206</v>
      </c>
      <c r="H354">
        <v>7097</v>
      </c>
      <c r="I354">
        <v>152561</v>
      </c>
      <c r="J354">
        <v>188064</v>
      </c>
      <c r="K354">
        <v>189589</v>
      </c>
      <c r="L354">
        <v>-30705</v>
      </c>
      <c r="M354">
        <v>7.14</v>
      </c>
      <c r="N354">
        <f t="shared" si="26"/>
        <v>1842270</v>
      </c>
      <c r="O354">
        <v>22330900</v>
      </c>
      <c r="P354" s="2">
        <f t="shared" si="27"/>
        <v>8.2498690155793089</v>
      </c>
      <c r="Q354" s="3" t="str">
        <f t="shared" si="28"/>
        <v/>
      </c>
      <c r="R354" s="2">
        <f t="shared" si="25"/>
        <v>8.2498690155793089</v>
      </c>
      <c r="S354" s="5">
        <f t="shared" si="29"/>
        <v>15.9442626</v>
      </c>
    </row>
    <row r="355" spans="1:19" x14ac:dyDescent="0.4">
      <c r="A355">
        <v>20210808</v>
      </c>
      <c r="B355" s="1">
        <v>0.35416666666666669</v>
      </c>
      <c r="C355">
        <v>216058</v>
      </c>
      <c r="D355">
        <v>253266</v>
      </c>
      <c r="E355">
        <v>1287225</v>
      </c>
      <c r="F355">
        <v>-165340</v>
      </c>
      <c r="G355">
        <v>116439</v>
      </c>
      <c r="H355">
        <v>31190</v>
      </c>
      <c r="I355">
        <v>99778</v>
      </c>
      <c r="J355">
        <v>206980</v>
      </c>
      <c r="K355">
        <v>309592</v>
      </c>
      <c r="L355">
        <v>-41067</v>
      </c>
      <c r="M355">
        <v>7.17</v>
      </c>
      <c r="N355">
        <f t="shared" si="26"/>
        <v>2314121</v>
      </c>
      <c r="O355">
        <v>22274050</v>
      </c>
      <c r="P355" s="2">
        <f t="shared" si="27"/>
        <v>10.389314022371325</v>
      </c>
      <c r="Q355" s="3" t="str">
        <f t="shared" si="28"/>
        <v/>
      </c>
      <c r="R355" s="2">
        <f t="shared" si="25"/>
        <v>10.389314022371325</v>
      </c>
      <c r="S355" s="5">
        <f t="shared" si="29"/>
        <v>15.97049385</v>
      </c>
    </row>
    <row r="356" spans="1:19" x14ac:dyDescent="0.4">
      <c r="A356">
        <v>20210808</v>
      </c>
      <c r="B356" s="1">
        <v>0.375</v>
      </c>
      <c r="C356">
        <v>227502</v>
      </c>
      <c r="D356">
        <v>388893</v>
      </c>
      <c r="E356">
        <v>1540519</v>
      </c>
      <c r="F356">
        <v>42312</v>
      </c>
      <c r="G356">
        <v>177878</v>
      </c>
      <c r="H356">
        <v>62281</v>
      </c>
      <c r="I356">
        <v>347</v>
      </c>
      <c r="J356">
        <v>214518</v>
      </c>
      <c r="K356">
        <v>327216</v>
      </c>
      <c r="L356">
        <v>-24275</v>
      </c>
      <c r="M356">
        <v>7.89</v>
      </c>
      <c r="N356">
        <f t="shared" si="26"/>
        <v>2957191</v>
      </c>
      <c r="O356">
        <v>22277300</v>
      </c>
      <c r="P356" s="2">
        <f t="shared" si="27"/>
        <v>13.274458753978266</v>
      </c>
      <c r="Q356" s="3" t="str">
        <f t="shared" si="28"/>
        <v/>
      </c>
      <c r="R356" s="2">
        <f t="shared" si="25"/>
        <v>13.274458753978266</v>
      </c>
      <c r="S356" s="5">
        <f t="shared" si="29"/>
        <v>17.576789699999999</v>
      </c>
    </row>
    <row r="357" spans="1:19" x14ac:dyDescent="0.4">
      <c r="A357">
        <v>20210808</v>
      </c>
      <c r="B357" s="1">
        <v>0.39583333333333331</v>
      </c>
      <c r="C357">
        <v>278391</v>
      </c>
      <c r="D357">
        <v>438295</v>
      </c>
      <c r="E357">
        <v>1332432</v>
      </c>
      <c r="F357">
        <v>54662</v>
      </c>
      <c r="G357">
        <v>191678</v>
      </c>
      <c r="H357">
        <v>116951</v>
      </c>
      <c r="I357">
        <v>-1948</v>
      </c>
      <c r="J357">
        <v>196931</v>
      </c>
      <c r="K357">
        <v>196014</v>
      </c>
      <c r="L357">
        <v>-13176</v>
      </c>
      <c r="M357">
        <v>7.88</v>
      </c>
      <c r="N357">
        <f t="shared" si="26"/>
        <v>2790230</v>
      </c>
      <c r="O357">
        <v>22331300</v>
      </c>
      <c r="P357" s="2">
        <f t="shared" si="27"/>
        <v>12.494704741774997</v>
      </c>
      <c r="Q357" s="3" t="str">
        <f t="shared" si="28"/>
        <v/>
      </c>
      <c r="R357" s="2">
        <f t="shared" si="25"/>
        <v>12.494704741774997</v>
      </c>
      <c r="S357" s="5">
        <f t="shared" si="29"/>
        <v>17.597064400000001</v>
      </c>
    </row>
    <row r="358" spans="1:19" x14ac:dyDescent="0.4">
      <c r="A358">
        <v>20210808</v>
      </c>
      <c r="B358" s="1">
        <v>0.41666666666666669</v>
      </c>
      <c r="C358">
        <v>281746</v>
      </c>
      <c r="D358">
        <v>466429</v>
      </c>
      <c r="E358">
        <v>1448572</v>
      </c>
      <c r="F358">
        <v>193578</v>
      </c>
      <c r="G358">
        <v>224651</v>
      </c>
      <c r="H358">
        <v>338633</v>
      </c>
      <c r="I358">
        <v>137108</v>
      </c>
      <c r="J358">
        <v>210449</v>
      </c>
      <c r="K358">
        <v>87777</v>
      </c>
      <c r="L358">
        <v>-20152</v>
      </c>
      <c r="M358">
        <v>7.89</v>
      </c>
      <c r="N358">
        <f t="shared" si="26"/>
        <v>3368791</v>
      </c>
      <c r="O358">
        <v>22522350</v>
      </c>
      <c r="P358" s="2">
        <f t="shared" si="27"/>
        <v>14.95754661480707</v>
      </c>
      <c r="Q358" t="str">
        <f t="shared" si="28"/>
        <v/>
      </c>
      <c r="R358" s="2">
        <f t="shared" si="25"/>
        <v>14.95754661480707</v>
      </c>
      <c r="S358" s="5">
        <f t="shared" si="29"/>
        <v>17.770134150000001</v>
      </c>
    </row>
    <row r="359" spans="1:19" x14ac:dyDescent="0.4">
      <c r="A359">
        <v>20210808</v>
      </c>
      <c r="B359" s="1">
        <v>0.4375</v>
      </c>
      <c r="C359">
        <v>357409</v>
      </c>
      <c r="D359">
        <v>492776</v>
      </c>
      <c r="E359">
        <v>1432045</v>
      </c>
      <c r="F359">
        <v>206774</v>
      </c>
      <c r="G359">
        <v>158242</v>
      </c>
      <c r="H359">
        <v>462544</v>
      </c>
      <c r="I359">
        <v>200273</v>
      </c>
      <c r="J359">
        <v>206911</v>
      </c>
      <c r="K359">
        <v>52203</v>
      </c>
      <c r="L359">
        <v>1330</v>
      </c>
      <c r="M359">
        <v>7.89</v>
      </c>
      <c r="N359">
        <f t="shared" si="26"/>
        <v>3570507</v>
      </c>
      <c r="O359">
        <v>22593700</v>
      </c>
      <c r="P359" s="2">
        <f t="shared" si="27"/>
        <v>15.803108831222863</v>
      </c>
      <c r="Q359" s="3" t="str">
        <f t="shared" si="28"/>
        <v/>
      </c>
      <c r="R359" s="2">
        <f t="shared" si="25"/>
        <v>15.803108831222863</v>
      </c>
      <c r="S359" s="5">
        <f t="shared" si="29"/>
        <v>17.826429300000001</v>
      </c>
    </row>
    <row r="360" spans="1:19" x14ac:dyDescent="0.4">
      <c r="A360">
        <v>20210808</v>
      </c>
      <c r="B360" s="1">
        <v>0.45833333333333331</v>
      </c>
      <c r="C360">
        <v>325839</v>
      </c>
      <c r="D360">
        <v>546336</v>
      </c>
      <c r="E360">
        <v>1033379</v>
      </c>
      <c r="F360">
        <v>234636</v>
      </c>
      <c r="G360">
        <v>135649</v>
      </c>
      <c r="H360">
        <v>542100</v>
      </c>
      <c r="I360">
        <v>278475</v>
      </c>
      <c r="J360">
        <v>204809</v>
      </c>
      <c r="K360">
        <v>98699</v>
      </c>
      <c r="L360">
        <v>-18993</v>
      </c>
      <c r="M360">
        <v>8.86</v>
      </c>
      <c r="N360">
        <f t="shared" si="26"/>
        <v>3380929</v>
      </c>
      <c r="O360">
        <v>22791500</v>
      </c>
      <c r="P360" s="2">
        <f t="shared" si="27"/>
        <v>14.834166246188271</v>
      </c>
      <c r="Q360" s="3" t="str">
        <f t="shared" si="28"/>
        <v/>
      </c>
      <c r="R360" s="2">
        <f t="shared" si="25"/>
        <v>14.834166246188271</v>
      </c>
      <c r="S360" s="5">
        <f t="shared" si="29"/>
        <v>20.193269000000001</v>
      </c>
    </row>
    <row r="361" spans="1:19" x14ac:dyDescent="0.4">
      <c r="A361">
        <v>20210808</v>
      </c>
      <c r="B361" s="1">
        <v>0.47916666666666669</v>
      </c>
      <c r="C361">
        <v>366487</v>
      </c>
      <c r="D361">
        <v>596466</v>
      </c>
      <c r="E361">
        <v>599381</v>
      </c>
      <c r="F361">
        <v>89554</v>
      </c>
      <c r="G361">
        <v>128792</v>
      </c>
      <c r="H361">
        <v>386752</v>
      </c>
      <c r="I361">
        <v>270104</v>
      </c>
      <c r="J361">
        <v>196728</v>
      </c>
      <c r="K361">
        <v>-257067</v>
      </c>
      <c r="L361">
        <v>-15946</v>
      </c>
      <c r="M361">
        <v>8.86</v>
      </c>
      <c r="N361">
        <f t="shared" si="26"/>
        <v>2361251</v>
      </c>
      <c r="O361">
        <v>23309600</v>
      </c>
      <c r="P361" s="2">
        <f t="shared" si="27"/>
        <v>10.129950749905618</v>
      </c>
      <c r="Q361" s="3" t="str">
        <f t="shared" si="28"/>
        <v/>
      </c>
      <c r="R361" s="2">
        <f t="shared" si="25"/>
        <v>10.129950749905618</v>
      </c>
      <c r="S361" s="5">
        <f t="shared" si="29"/>
        <v>20.652305599999998</v>
      </c>
    </row>
    <row r="362" spans="1:19" x14ac:dyDescent="0.4">
      <c r="A362">
        <v>20210808</v>
      </c>
      <c r="B362" s="1">
        <v>0.5</v>
      </c>
      <c r="C362">
        <v>308479</v>
      </c>
      <c r="D362">
        <v>563289</v>
      </c>
      <c r="E362">
        <v>336776</v>
      </c>
      <c r="F362">
        <v>112074</v>
      </c>
      <c r="G362">
        <v>97869</v>
      </c>
      <c r="H362">
        <v>362947</v>
      </c>
      <c r="I362">
        <v>282545</v>
      </c>
      <c r="J362">
        <v>147050</v>
      </c>
      <c r="K362">
        <v>-409302</v>
      </c>
      <c r="L362">
        <v>-3482</v>
      </c>
      <c r="M362">
        <v>8.86</v>
      </c>
      <c r="N362">
        <f t="shared" si="26"/>
        <v>1798245</v>
      </c>
      <c r="O362">
        <v>23480600</v>
      </c>
      <c r="P362" s="2">
        <f t="shared" si="27"/>
        <v>7.6584286602557006</v>
      </c>
      <c r="Q362" s="3" t="str">
        <f t="shared" si="28"/>
        <v/>
      </c>
      <c r="R362" s="2">
        <f t="shared" si="25"/>
        <v>7.6584286602557006</v>
      </c>
      <c r="S362" s="5">
        <f t="shared" si="29"/>
        <v>20.8038116</v>
      </c>
    </row>
    <row r="363" spans="1:19" x14ac:dyDescent="0.4">
      <c r="A363">
        <v>20210808</v>
      </c>
      <c r="B363" s="1">
        <v>0.52083333333333337</v>
      </c>
      <c r="C363">
        <v>306680</v>
      </c>
      <c r="D363">
        <v>625405</v>
      </c>
      <c r="E363">
        <v>473338</v>
      </c>
      <c r="F363">
        <v>220175</v>
      </c>
      <c r="G363">
        <v>93914</v>
      </c>
      <c r="H363">
        <v>427838</v>
      </c>
      <c r="I363">
        <v>231938</v>
      </c>
      <c r="J363">
        <v>174276</v>
      </c>
      <c r="K363">
        <v>-618892</v>
      </c>
      <c r="L363">
        <v>-3180</v>
      </c>
      <c r="M363">
        <v>8.86</v>
      </c>
      <c r="N363">
        <f t="shared" si="26"/>
        <v>1931492</v>
      </c>
      <c r="O363">
        <v>23530750</v>
      </c>
      <c r="P363" s="2">
        <f t="shared" si="27"/>
        <v>8.2083741487202921</v>
      </c>
      <c r="Q363" s="3" t="str">
        <f t="shared" si="28"/>
        <v/>
      </c>
      <c r="R363" s="2">
        <f t="shared" si="25"/>
        <v>8.2083741487202921</v>
      </c>
      <c r="S363" s="5">
        <f t="shared" si="29"/>
        <v>20.8482445</v>
      </c>
    </row>
    <row r="364" spans="1:19" x14ac:dyDescent="0.4">
      <c r="A364">
        <v>20210808</v>
      </c>
      <c r="B364" s="1">
        <v>0.54166666666666663</v>
      </c>
      <c r="C364">
        <v>225062</v>
      </c>
      <c r="D364">
        <v>674503</v>
      </c>
      <c r="E364">
        <v>247097</v>
      </c>
      <c r="F364">
        <v>293671</v>
      </c>
      <c r="G364">
        <v>65645</v>
      </c>
      <c r="H364">
        <v>347780</v>
      </c>
      <c r="I364">
        <v>349224</v>
      </c>
      <c r="J364">
        <v>105314</v>
      </c>
      <c r="K364">
        <v>-767606</v>
      </c>
      <c r="L364">
        <v>-13621</v>
      </c>
      <c r="M364">
        <v>8.86</v>
      </c>
      <c r="N364">
        <f t="shared" si="26"/>
        <v>1527069</v>
      </c>
      <c r="O364">
        <v>23363100</v>
      </c>
      <c r="P364" s="2">
        <f t="shared" si="27"/>
        <v>6.5362430499377222</v>
      </c>
      <c r="Q364" s="3" t="str">
        <f t="shared" si="28"/>
        <v/>
      </c>
      <c r="R364" s="2">
        <f t="shared" si="25"/>
        <v>6.5362430499377222</v>
      </c>
      <c r="S364" s="5">
        <f t="shared" si="29"/>
        <v>20.699706599999999</v>
      </c>
    </row>
    <row r="365" spans="1:19" x14ac:dyDescent="0.4">
      <c r="A365">
        <v>20210808</v>
      </c>
      <c r="B365" s="1">
        <v>0.5625</v>
      </c>
      <c r="C365">
        <v>193529</v>
      </c>
      <c r="D365">
        <v>586200</v>
      </c>
      <c r="E365">
        <v>97321</v>
      </c>
      <c r="F365">
        <v>270610</v>
      </c>
      <c r="G365">
        <v>63273</v>
      </c>
      <c r="H365">
        <v>418154</v>
      </c>
      <c r="I365">
        <v>220009</v>
      </c>
      <c r="J365">
        <v>86049</v>
      </c>
      <c r="K365">
        <v>-726248</v>
      </c>
      <c r="L365">
        <v>-13071</v>
      </c>
      <c r="M365">
        <v>8.86</v>
      </c>
      <c r="N365">
        <f t="shared" si="26"/>
        <v>1195826</v>
      </c>
      <c r="O365">
        <v>23289000</v>
      </c>
      <c r="P365" s="2">
        <f t="shared" si="27"/>
        <v>5.1347245480699044</v>
      </c>
      <c r="Q365" t="str">
        <f t="shared" si="28"/>
        <v/>
      </c>
      <c r="R365" s="2">
        <f t="shared" si="25"/>
        <v>5.1347245480699044</v>
      </c>
      <c r="S365" s="5">
        <f t="shared" si="29"/>
        <v>20.634053999999999</v>
      </c>
    </row>
    <row r="366" spans="1:19" x14ac:dyDescent="0.4">
      <c r="A366">
        <v>20210808</v>
      </c>
      <c r="B366" s="1">
        <v>0.58333333333333337</v>
      </c>
      <c r="C366">
        <v>187012</v>
      </c>
      <c r="D366">
        <v>669353</v>
      </c>
      <c r="E366">
        <v>-236671</v>
      </c>
      <c r="F366">
        <v>331770</v>
      </c>
      <c r="G366">
        <v>24152</v>
      </c>
      <c r="H366">
        <v>407907</v>
      </c>
      <c r="I366">
        <v>37672</v>
      </c>
      <c r="J366">
        <v>37852</v>
      </c>
      <c r="K366">
        <v>-584020</v>
      </c>
      <c r="L366">
        <v>-28418</v>
      </c>
      <c r="M366">
        <v>9.5500000000000007</v>
      </c>
      <c r="N366">
        <f t="shared" si="26"/>
        <v>846609</v>
      </c>
      <c r="O366">
        <v>22951050</v>
      </c>
      <c r="P366" s="2">
        <f t="shared" si="27"/>
        <v>3.6887593378080741</v>
      </c>
      <c r="Q366" s="3" t="str">
        <f t="shared" si="28"/>
        <v/>
      </c>
      <c r="R366" s="2">
        <f t="shared" si="25"/>
        <v>3.6887593378080741</v>
      </c>
      <c r="S366" s="5">
        <f t="shared" si="29"/>
        <v>21.918252750000004</v>
      </c>
    </row>
    <row r="367" spans="1:19" x14ac:dyDescent="0.4">
      <c r="A367">
        <v>20210808</v>
      </c>
      <c r="B367" s="1">
        <v>0.60416666666666663</v>
      </c>
      <c r="C367">
        <v>192541</v>
      </c>
      <c r="D367">
        <v>506222</v>
      </c>
      <c r="E367">
        <v>-152568</v>
      </c>
      <c r="F367">
        <v>276070</v>
      </c>
      <c r="G367">
        <v>73489</v>
      </c>
      <c r="H367">
        <v>315091</v>
      </c>
      <c r="I367">
        <v>33751</v>
      </c>
      <c r="J367">
        <v>14318</v>
      </c>
      <c r="K367">
        <v>-397928</v>
      </c>
      <c r="L367">
        <v>-27222</v>
      </c>
      <c r="M367">
        <v>9.56</v>
      </c>
      <c r="N367">
        <f t="shared" si="26"/>
        <v>833764</v>
      </c>
      <c r="O367">
        <v>22702550</v>
      </c>
      <c r="P367" s="2">
        <f t="shared" si="27"/>
        <v>3.6725566070771785</v>
      </c>
      <c r="Q367" s="3" t="str">
        <f t="shared" si="28"/>
        <v/>
      </c>
      <c r="R367" s="2">
        <f t="shared" si="25"/>
        <v>3.6725566070771785</v>
      </c>
      <c r="S367" s="5">
        <f t="shared" si="29"/>
        <v>21.703637799999999</v>
      </c>
    </row>
    <row r="368" spans="1:19" x14ac:dyDescent="0.4">
      <c r="A368">
        <v>20210808</v>
      </c>
      <c r="B368" s="1">
        <v>0.625</v>
      </c>
      <c r="C368">
        <v>148125</v>
      </c>
      <c r="D368">
        <v>398289</v>
      </c>
      <c r="E368">
        <v>94817</v>
      </c>
      <c r="F368">
        <v>279765</v>
      </c>
      <c r="G368">
        <v>46058</v>
      </c>
      <c r="H368">
        <v>228514</v>
      </c>
      <c r="I368">
        <v>-128077</v>
      </c>
      <c r="J368">
        <v>-6434</v>
      </c>
      <c r="K368">
        <v>-132840</v>
      </c>
      <c r="L368">
        <v>-21044</v>
      </c>
      <c r="M368">
        <v>10.01</v>
      </c>
      <c r="N368">
        <f t="shared" si="26"/>
        <v>907173</v>
      </c>
      <c r="O368">
        <v>22316000</v>
      </c>
      <c r="P368" s="2">
        <f t="shared" si="27"/>
        <v>4.0651236780785087</v>
      </c>
      <c r="Q368" s="3" t="str">
        <f t="shared" si="28"/>
        <v/>
      </c>
      <c r="R368" s="2">
        <f t="shared" si="25"/>
        <v>4.0651236780785087</v>
      </c>
      <c r="S368" s="5">
        <f t="shared" si="29"/>
        <v>22.338315999999999</v>
      </c>
    </row>
    <row r="369" spans="1:19" x14ac:dyDescent="0.4">
      <c r="A369">
        <v>20210808</v>
      </c>
      <c r="B369" s="1">
        <v>0.64583333333333337</v>
      </c>
      <c r="C369">
        <v>186740</v>
      </c>
      <c r="D369">
        <v>364665</v>
      </c>
      <c r="E369">
        <v>562811</v>
      </c>
      <c r="F369">
        <v>57765</v>
      </c>
      <c r="G369">
        <v>47238</v>
      </c>
      <c r="H369">
        <v>15723</v>
      </c>
      <c r="I369">
        <v>-158680</v>
      </c>
      <c r="J369">
        <v>4669</v>
      </c>
      <c r="K369">
        <v>5831</v>
      </c>
      <c r="L369">
        <v>-25151</v>
      </c>
      <c r="M369">
        <v>10.01</v>
      </c>
      <c r="N369">
        <f t="shared" si="26"/>
        <v>1061611</v>
      </c>
      <c r="O369">
        <v>21905600</v>
      </c>
      <c r="P369" s="2">
        <f t="shared" si="27"/>
        <v>4.8462995763640349</v>
      </c>
      <c r="Q369" s="3" t="str">
        <f t="shared" si="28"/>
        <v/>
      </c>
      <c r="R369" s="2">
        <f t="shared" si="25"/>
        <v>4.8462995763640349</v>
      </c>
      <c r="S369" s="5">
        <f t="shared" si="29"/>
        <v>21.9275056</v>
      </c>
    </row>
    <row r="370" spans="1:19" x14ac:dyDescent="0.4">
      <c r="A370">
        <v>20210808</v>
      </c>
      <c r="B370" s="1">
        <v>0.66666666666666663</v>
      </c>
      <c r="C370">
        <v>144007</v>
      </c>
      <c r="D370">
        <v>308005</v>
      </c>
      <c r="E370">
        <v>712542</v>
      </c>
      <c r="F370">
        <v>-92786</v>
      </c>
      <c r="G370">
        <v>32723</v>
      </c>
      <c r="H370">
        <v>-31716</v>
      </c>
      <c r="I370">
        <v>-141196</v>
      </c>
      <c r="J370">
        <v>37786</v>
      </c>
      <c r="K370">
        <v>57643</v>
      </c>
      <c r="L370">
        <v>-23248</v>
      </c>
      <c r="M370">
        <v>10.27</v>
      </c>
      <c r="N370">
        <f t="shared" si="26"/>
        <v>1003760</v>
      </c>
      <c r="O370">
        <v>22328100</v>
      </c>
      <c r="P370" s="2">
        <f t="shared" si="27"/>
        <v>4.4955011846059447</v>
      </c>
      <c r="Q370" s="3" t="str">
        <f t="shared" si="28"/>
        <v/>
      </c>
      <c r="R370" s="2">
        <f t="shared" si="25"/>
        <v>4.4955011846059447</v>
      </c>
      <c r="S370" s="5">
        <f t="shared" si="29"/>
        <v>22.930958700000001</v>
      </c>
    </row>
    <row r="371" spans="1:19" x14ac:dyDescent="0.4">
      <c r="A371">
        <v>20210808</v>
      </c>
      <c r="B371" s="1">
        <v>0.6875</v>
      </c>
      <c r="C371">
        <v>186153</v>
      </c>
      <c r="D371">
        <v>269322</v>
      </c>
      <c r="E371">
        <v>1015206</v>
      </c>
      <c r="F371">
        <v>-244248</v>
      </c>
      <c r="G371">
        <v>-2896</v>
      </c>
      <c r="H371">
        <v>171179</v>
      </c>
      <c r="I371">
        <v>-134763</v>
      </c>
      <c r="J371">
        <v>32119</v>
      </c>
      <c r="K371">
        <v>95392</v>
      </c>
      <c r="L371">
        <v>-15644</v>
      </c>
      <c r="M371">
        <v>10.44</v>
      </c>
      <c r="N371">
        <f t="shared" si="26"/>
        <v>1371820</v>
      </c>
      <c r="O371">
        <v>21731650</v>
      </c>
      <c r="P371" s="2">
        <f t="shared" si="27"/>
        <v>6.3125441464407901</v>
      </c>
      <c r="Q371" s="3" t="str">
        <f t="shared" si="28"/>
        <v/>
      </c>
      <c r="R371" s="2">
        <f t="shared" si="25"/>
        <v>6.3125441464407901</v>
      </c>
      <c r="S371" s="5">
        <f t="shared" si="29"/>
        <v>22.6878426</v>
      </c>
    </row>
    <row r="372" spans="1:19" x14ac:dyDescent="0.4">
      <c r="A372">
        <v>20210808</v>
      </c>
      <c r="B372" s="1">
        <v>0.70833333333333337</v>
      </c>
      <c r="C372">
        <v>129090</v>
      </c>
      <c r="D372">
        <v>187360</v>
      </c>
      <c r="E372">
        <v>1145614</v>
      </c>
      <c r="F372">
        <v>-371611</v>
      </c>
      <c r="G372">
        <v>-10113</v>
      </c>
      <c r="H372">
        <v>153468</v>
      </c>
      <c r="I372">
        <v>-105607</v>
      </c>
      <c r="J372">
        <v>35086</v>
      </c>
      <c r="K372">
        <v>161299</v>
      </c>
      <c r="L372">
        <v>-38088</v>
      </c>
      <c r="M372">
        <v>10.220000000000001</v>
      </c>
      <c r="N372">
        <f t="shared" si="26"/>
        <v>1286498</v>
      </c>
      <c r="O372">
        <v>21642600</v>
      </c>
      <c r="P372" s="2">
        <f t="shared" si="27"/>
        <v>5.9442858066960529</v>
      </c>
      <c r="Q372" t="str">
        <f t="shared" si="28"/>
        <v/>
      </c>
      <c r="R372" s="2">
        <f t="shared" si="25"/>
        <v>5.9442858066960529</v>
      </c>
      <c r="S372" s="5">
        <f t="shared" si="29"/>
        <v>22.118737200000002</v>
      </c>
    </row>
    <row r="373" spans="1:19" x14ac:dyDescent="0.4">
      <c r="A373">
        <v>20210808</v>
      </c>
      <c r="B373" s="1">
        <v>0.72916666666666663</v>
      </c>
      <c r="C373">
        <v>125905</v>
      </c>
      <c r="D373">
        <v>251966</v>
      </c>
      <c r="E373">
        <v>1123502</v>
      </c>
      <c r="F373">
        <v>-273668</v>
      </c>
      <c r="G373">
        <v>2039</v>
      </c>
      <c r="H373">
        <v>222329</v>
      </c>
      <c r="I373">
        <v>110089</v>
      </c>
      <c r="J373">
        <v>11026</v>
      </c>
      <c r="K373">
        <v>173694</v>
      </c>
      <c r="L373">
        <v>-32354</v>
      </c>
      <c r="M373">
        <v>10.4</v>
      </c>
      <c r="N373">
        <f t="shared" si="26"/>
        <v>1714528</v>
      </c>
      <c r="O373">
        <v>21433500</v>
      </c>
      <c r="P373" s="2">
        <f t="shared" si="27"/>
        <v>7.9992908297758181</v>
      </c>
      <c r="Q373" s="3" t="str">
        <f t="shared" si="28"/>
        <v/>
      </c>
      <c r="R373" s="2">
        <f t="shared" si="25"/>
        <v>7.9992908297758181</v>
      </c>
      <c r="S373" s="5">
        <f t="shared" si="29"/>
        <v>22.290839999999999</v>
      </c>
    </row>
    <row r="374" spans="1:19" x14ac:dyDescent="0.4">
      <c r="A374">
        <v>20210808</v>
      </c>
      <c r="B374" s="1">
        <v>0.75</v>
      </c>
      <c r="C374">
        <v>132937</v>
      </c>
      <c r="D374">
        <v>203470</v>
      </c>
      <c r="E374">
        <v>1163201</v>
      </c>
      <c r="F374">
        <v>-198983</v>
      </c>
      <c r="G374">
        <v>-28308</v>
      </c>
      <c r="H374">
        <v>308135</v>
      </c>
      <c r="I374">
        <v>157669</v>
      </c>
      <c r="J374">
        <v>2226</v>
      </c>
      <c r="K374">
        <v>294517</v>
      </c>
      <c r="L374">
        <v>-23606</v>
      </c>
      <c r="M374">
        <v>10.71</v>
      </c>
      <c r="N374">
        <f t="shared" si="26"/>
        <v>2011258</v>
      </c>
      <c r="O374">
        <v>21374200</v>
      </c>
      <c r="P374" s="2">
        <f t="shared" si="27"/>
        <v>9.4097463296871933</v>
      </c>
      <c r="Q374" s="3" t="str">
        <f t="shared" si="28"/>
        <v/>
      </c>
      <c r="R374" s="2">
        <f t="shared" si="25"/>
        <v>9.4097463296871933</v>
      </c>
      <c r="S374" s="5">
        <f t="shared" si="29"/>
        <v>22.891768200000001</v>
      </c>
    </row>
    <row r="375" spans="1:19" x14ac:dyDescent="0.4">
      <c r="A375">
        <v>20210808</v>
      </c>
      <c r="B375" s="1">
        <v>0.77083333333333337</v>
      </c>
      <c r="C375">
        <v>122664</v>
      </c>
      <c r="D375">
        <v>91938</v>
      </c>
      <c r="E375">
        <v>912791</v>
      </c>
      <c r="F375">
        <v>-141345</v>
      </c>
      <c r="G375">
        <v>-7940</v>
      </c>
      <c r="H375">
        <v>307530</v>
      </c>
      <c r="I375">
        <v>147958</v>
      </c>
      <c r="J375">
        <v>-32482</v>
      </c>
      <c r="K375">
        <v>461177</v>
      </c>
      <c r="L375">
        <v>-22648</v>
      </c>
      <c r="M375">
        <v>11.94</v>
      </c>
      <c r="N375">
        <f t="shared" si="26"/>
        <v>1839643</v>
      </c>
      <c r="O375">
        <v>21215300</v>
      </c>
      <c r="P375" s="2">
        <f t="shared" si="27"/>
        <v>8.6713032575546887</v>
      </c>
      <c r="Q375" s="3" t="str">
        <f t="shared" si="28"/>
        <v/>
      </c>
      <c r="R375" s="2">
        <f t="shared" si="25"/>
        <v>8.6713032575546887</v>
      </c>
      <c r="S375" s="5">
        <f t="shared" si="29"/>
        <v>25.331068200000001</v>
      </c>
    </row>
    <row r="376" spans="1:19" x14ac:dyDescent="0.4">
      <c r="A376">
        <v>20210808</v>
      </c>
      <c r="B376" s="1">
        <v>0.79166666666666663</v>
      </c>
      <c r="C376">
        <v>110591</v>
      </c>
      <c r="D376">
        <v>138780</v>
      </c>
      <c r="E376">
        <v>552265</v>
      </c>
      <c r="F376">
        <v>-247105</v>
      </c>
      <c r="G376">
        <v>7977</v>
      </c>
      <c r="H376">
        <v>234191</v>
      </c>
      <c r="I376">
        <v>126516</v>
      </c>
      <c r="J376">
        <v>3882</v>
      </c>
      <c r="K376">
        <v>537811</v>
      </c>
      <c r="L376">
        <v>-24840</v>
      </c>
      <c r="M376">
        <v>11.94</v>
      </c>
      <c r="N376">
        <f t="shared" si="26"/>
        <v>1440068</v>
      </c>
      <c r="O376">
        <v>21175550</v>
      </c>
      <c r="P376" s="2">
        <f t="shared" si="27"/>
        <v>6.8006167490336731</v>
      </c>
      <c r="Q376" s="3" t="str">
        <f t="shared" si="28"/>
        <v/>
      </c>
      <c r="R376" s="2">
        <f t="shared" si="25"/>
        <v>6.8006167490336731</v>
      </c>
      <c r="S376" s="5">
        <f t="shared" si="29"/>
        <v>25.2836067</v>
      </c>
    </row>
    <row r="377" spans="1:19" x14ac:dyDescent="0.4">
      <c r="A377">
        <v>20210808</v>
      </c>
      <c r="B377" s="1">
        <v>0.8125</v>
      </c>
      <c r="C377">
        <v>130265</v>
      </c>
      <c r="D377">
        <v>123733</v>
      </c>
      <c r="E377">
        <v>410477</v>
      </c>
      <c r="F377">
        <v>-176964</v>
      </c>
      <c r="G377">
        <v>-4761</v>
      </c>
      <c r="H377">
        <v>199422</v>
      </c>
      <c r="I377">
        <v>117210</v>
      </c>
      <c r="J377">
        <v>23368</v>
      </c>
      <c r="K377">
        <v>580688</v>
      </c>
      <c r="L377">
        <v>-19902</v>
      </c>
      <c r="M377">
        <v>10.4</v>
      </c>
      <c r="N377">
        <f t="shared" si="26"/>
        <v>1383536</v>
      </c>
      <c r="O377">
        <v>21157300</v>
      </c>
      <c r="P377" s="2">
        <f t="shared" si="27"/>
        <v>6.5392843132157692</v>
      </c>
      <c r="Q377" s="3" t="str">
        <f t="shared" si="28"/>
        <v/>
      </c>
      <c r="R377" s="2">
        <f t="shared" si="25"/>
        <v>6.5392843132157692</v>
      </c>
      <c r="S377" s="5">
        <f t="shared" si="29"/>
        <v>22.003592000000001</v>
      </c>
    </row>
    <row r="378" spans="1:19" x14ac:dyDescent="0.4">
      <c r="A378">
        <v>20210808</v>
      </c>
      <c r="B378" s="1">
        <v>0.83333333333333337</v>
      </c>
      <c r="C378">
        <v>154963</v>
      </c>
      <c r="D378">
        <v>218448</v>
      </c>
      <c r="E378">
        <v>384292</v>
      </c>
      <c r="F378">
        <v>-200017</v>
      </c>
      <c r="G378">
        <v>-1488</v>
      </c>
      <c r="H378">
        <v>206917</v>
      </c>
      <c r="I378">
        <v>212638</v>
      </c>
      <c r="J378">
        <v>24474</v>
      </c>
      <c r="K378">
        <v>629551</v>
      </c>
      <c r="L378">
        <v>-34799</v>
      </c>
      <c r="M378">
        <v>10.27</v>
      </c>
      <c r="N378">
        <f t="shared" si="26"/>
        <v>1594979</v>
      </c>
      <c r="O378">
        <v>21131900</v>
      </c>
      <c r="P378" s="2">
        <f t="shared" si="27"/>
        <v>7.5477311552676287</v>
      </c>
      <c r="Q378" s="3" t="str">
        <f t="shared" si="28"/>
        <v/>
      </c>
      <c r="R378" s="2">
        <f t="shared" si="25"/>
        <v>7.5477311552676287</v>
      </c>
      <c r="S378" s="5">
        <f t="shared" si="29"/>
        <v>21.7024613</v>
      </c>
    </row>
    <row r="379" spans="1:19" x14ac:dyDescent="0.4">
      <c r="A379">
        <v>20210808</v>
      </c>
      <c r="B379" s="1">
        <v>0.85416666666666663</v>
      </c>
      <c r="C379">
        <v>116979</v>
      </c>
      <c r="D379">
        <v>199443</v>
      </c>
      <c r="E379">
        <v>416294</v>
      </c>
      <c r="F379">
        <v>-124707</v>
      </c>
      <c r="G379">
        <v>-60229</v>
      </c>
      <c r="H379">
        <v>115081</v>
      </c>
      <c r="I379">
        <v>165061</v>
      </c>
      <c r="J379">
        <v>25063</v>
      </c>
      <c r="K379">
        <v>672026</v>
      </c>
      <c r="L379">
        <v>-18734</v>
      </c>
      <c r="M379">
        <v>10.27</v>
      </c>
      <c r="N379">
        <f t="shared" si="26"/>
        <v>1506277</v>
      </c>
      <c r="O379">
        <v>21041850</v>
      </c>
      <c r="P379" s="2">
        <f t="shared" si="27"/>
        <v>7.1584817874854156</v>
      </c>
      <c r="Q379" t="str">
        <f t="shared" si="28"/>
        <v/>
      </c>
      <c r="R379" s="2">
        <f t="shared" si="25"/>
        <v>7.1584817874854156</v>
      </c>
      <c r="S379" s="5">
        <f t="shared" si="29"/>
        <v>21.60997995</v>
      </c>
    </row>
    <row r="380" spans="1:19" x14ac:dyDescent="0.4">
      <c r="A380">
        <v>20210808</v>
      </c>
      <c r="B380" s="1">
        <v>0.875</v>
      </c>
      <c r="C380">
        <v>192652</v>
      </c>
      <c r="D380">
        <v>232840</v>
      </c>
      <c r="E380">
        <v>430562</v>
      </c>
      <c r="F380">
        <v>-134774</v>
      </c>
      <c r="G380">
        <v>16596</v>
      </c>
      <c r="H380">
        <v>108893</v>
      </c>
      <c r="I380">
        <v>144695</v>
      </c>
      <c r="J380">
        <v>23880</v>
      </c>
      <c r="K380">
        <v>587636</v>
      </c>
      <c r="L380">
        <v>-31143</v>
      </c>
      <c r="M380">
        <v>10.01</v>
      </c>
      <c r="N380">
        <f t="shared" si="26"/>
        <v>1571837</v>
      </c>
      <c r="O380">
        <v>20448400</v>
      </c>
      <c r="P380" s="2">
        <f t="shared" si="27"/>
        <v>7.6868459145947847</v>
      </c>
      <c r="Q380" s="3" t="str">
        <f t="shared" si="28"/>
        <v/>
      </c>
      <c r="R380" s="2">
        <f t="shared" si="25"/>
        <v>7.6868459145947847</v>
      </c>
      <c r="S380" s="5">
        <f t="shared" si="29"/>
        <v>20.468848399999999</v>
      </c>
    </row>
    <row r="381" spans="1:19" x14ac:dyDescent="0.4">
      <c r="A381">
        <v>20210808</v>
      </c>
      <c r="B381" s="1">
        <v>0.89583333333333337</v>
      </c>
      <c r="C381">
        <v>165686</v>
      </c>
      <c r="D381">
        <v>253293</v>
      </c>
      <c r="E381">
        <v>415522</v>
      </c>
      <c r="F381">
        <v>-204215</v>
      </c>
      <c r="G381">
        <v>-6958</v>
      </c>
      <c r="H381">
        <v>7333</v>
      </c>
      <c r="I381">
        <v>135408</v>
      </c>
      <c r="J381">
        <v>14935</v>
      </c>
      <c r="K381">
        <v>525466</v>
      </c>
      <c r="L381">
        <v>-18322</v>
      </c>
      <c r="M381">
        <v>9.9600000000000009</v>
      </c>
      <c r="N381">
        <f t="shared" si="26"/>
        <v>1288148</v>
      </c>
      <c r="O381">
        <v>20319300</v>
      </c>
      <c r="P381" s="2">
        <f t="shared" si="27"/>
        <v>6.3395294129226896</v>
      </c>
      <c r="Q381" s="3" t="str">
        <f t="shared" si="28"/>
        <v/>
      </c>
      <c r="R381" s="2">
        <f t="shared" si="25"/>
        <v>6.3395294129226896</v>
      </c>
      <c r="S381" s="5">
        <f t="shared" si="29"/>
        <v>20.238022800000003</v>
      </c>
    </row>
    <row r="382" spans="1:19" x14ac:dyDescent="0.4">
      <c r="A382">
        <v>20210808</v>
      </c>
      <c r="B382" s="1">
        <v>0.91666666666666663</v>
      </c>
      <c r="C382">
        <v>183690</v>
      </c>
      <c r="D382">
        <v>223383</v>
      </c>
      <c r="E382">
        <v>417697</v>
      </c>
      <c r="F382">
        <v>-118362</v>
      </c>
      <c r="G382">
        <v>18465</v>
      </c>
      <c r="H382">
        <v>100789</v>
      </c>
      <c r="I382">
        <v>114011</v>
      </c>
      <c r="J382">
        <v>13560</v>
      </c>
      <c r="K382">
        <v>470362</v>
      </c>
      <c r="L382">
        <v>-31084</v>
      </c>
      <c r="M382">
        <v>9.6</v>
      </c>
      <c r="N382">
        <f t="shared" si="26"/>
        <v>1392511</v>
      </c>
      <c r="O382">
        <v>19929650</v>
      </c>
      <c r="P382" s="2">
        <f t="shared" si="27"/>
        <v>6.9871322376459197</v>
      </c>
      <c r="Q382" s="3" t="str">
        <f t="shared" si="28"/>
        <v/>
      </c>
      <c r="R382" s="2">
        <f t="shared" si="25"/>
        <v>6.9871322376459197</v>
      </c>
      <c r="S382" s="5">
        <f t="shared" si="29"/>
        <v>19.132463999999999</v>
      </c>
    </row>
    <row r="383" spans="1:19" x14ac:dyDescent="0.4">
      <c r="A383">
        <v>20210808</v>
      </c>
      <c r="B383" s="1">
        <v>0.9375</v>
      </c>
      <c r="C383">
        <v>141944</v>
      </c>
      <c r="D383">
        <v>230447</v>
      </c>
      <c r="E383">
        <v>276550</v>
      </c>
      <c r="F383">
        <v>-148405</v>
      </c>
      <c r="G383">
        <v>11387</v>
      </c>
      <c r="H383">
        <v>-33188</v>
      </c>
      <c r="I383">
        <v>181491</v>
      </c>
      <c r="J383">
        <v>18298</v>
      </c>
      <c r="K383">
        <v>458358</v>
      </c>
      <c r="L383">
        <v>-15522</v>
      </c>
      <c r="M383">
        <v>9.5500000000000007</v>
      </c>
      <c r="N383">
        <f t="shared" si="26"/>
        <v>1121360</v>
      </c>
      <c r="O383">
        <v>19679000</v>
      </c>
      <c r="P383" s="2">
        <f t="shared" si="27"/>
        <v>5.6982570252553479</v>
      </c>
      <c r="Q383" s="3" t="str">
        <f t="shared" si="28"/>
        <v/>
      </c>
      <c r="R383" s="2">
        <f t="shared" si="25"/>
        <v>5.6982570252553479</v>
      </c>
      <c r="S383" s="5">
        <f t="shared" si="29"/>
        <v>18.793444999999998</v>
      </c>
    </row>
    <row r="384" spans="1:19" x14ac:dyDescent="0.4">
      <c r="A384">
        <v>20210808</v>
      </c>
      <c r="B384" s="1">
        <v>0.95833333333333337</v>
      </c>
      <c r="C384">
        <v>166197</v>
      </c>
      <c r="D384">
        <v>159705</v>
      </c>
      <c r="E384">
        <v>344733</v>
      </c>
      <c r="F384">
        <v>-204915</v>
      </c>
      <c r="G384">
        <v>10032</v>
      </c>
      <c r="H384">
        <v>-72403</v>
      </c>
      <c r="I384">
        <v>209716</v>
      </c>
      <c r="J384">
        <v>35281</v>
      </c>
      <c r="K384">
        <v>346152</v>
      </c>
      <c r="L384">
        <v>-27159</v>
      </c>
      <c r="M384">
        <v>7.89</v>
      </c>
      <c r="N384">
        <f t="shared" si="26"/>
        <v>967339</v>
      </c>
      <c r="O384">
        <v>19169200</v>
      </c>
      <c r="P384" s="2">
        <f t="shared" si="27"/>
        <v>5.0463190952152415</v>
      </c>
      <c r="Q384" s="3" t="str">
        <f t="shared" si="28"/>
        <v/>
      </c>
      <c r="R384" s="2">
        <f t="shared" si="25"/>
        <v>5.0463190952152415</v>
      </c>
      <c r="S384" s="5">
        <f t="shared" si="29"/>
        <v>15.1244988</v>
      </c>
    </row>
    <row r="385" spans="1:19" x14ac:dyDescent="0.4">
      <c r="A385">
        <v>20210808</v>
      </c>
      <c r="B385" s="1">
        <v>0.97916666666666663</v>
      </c>
      <c r="C385">
        <v>186422</v>
      </c>
      <c r="D385">
        <v>169296</v>
      </c>
      <c r="E385">
        <v>280735</v>
      </c>
      <c r="F385">
        <v>-157004</v>
      </c>
      <c r="G385">
        <v>-13862</v>
      </c>
      <c r="H385">
        <v>-111969</v>
      </c>
      <c r="I385">
        <v>215983</v>
      </c>
      <c r="J385">
        <v>22447</v>
      </c>
      <c r="K385">
        <v>460253</v>
      </c>
      <c r="L385">
        <v>-8094</v>
      </c>
      <c r="M385">
        <v>7.44</v>
      </c>
      <c r="N385">
        <f t="shared" si="26"/>
        <v>1044207</v>
      </c>
      <c r="O385">
        <v>18127700</v>
      </c>
      <c r="P385" s="2">
        <f t="shared" si="27"/>
        <v>5.7602839852821921</v>
      </c>
      <c r="Q385" s="3" t="str">
        <f t="shared" si="28"/>
        <v/>
      </c>
      <c r="R385" s="2">
        <f t="shared" si="25"/>
        <v>5.7602839852821921</v>
      </c>
      <c r="S385" s="5">
        <f t="shared" si="29"/>
        <v>13.4870088</v>
      </c>
    </row>
    <row r="386" spans="1:19" x14ac:dyDescent="0.4">
      <c r="A386">
        <v>20210809</v>
      </c>
      <c r="B386" s="1">
        <v>0</v>
      </c>
      <c r="C386">
        <v>168407</v>
      </c>
      <c r="D386">
        <v>265083</v>
      </c>
      <c r="E386">
        <v>215417</v>
      </c>
      <c r="F386">
        <v>-133492</v>
      </c>
      <c r="G386">
        <v>13250</v>
      </c>
      <c r="H386">
        <v>-80713</v>
      </c>
      <c r="I386">
        <v>184494</v>
      </c>
      <c r="J386">
        <v>-20127</v>
      </c>
      <c r="K386">
        <v>375447</v>
      </c>
      <c r="L386">
        <v>-10883</v>
      </c>
      <c r="M386">
        <v>7.11</v>
      </c>
      <c r="N386">
        <f t="shared" si="26"/>
        <v>976883</v>
      </c>
      <c r="O386">
        <v>17704200</v>
      </c>
      <c r="P386" s="2">
        <f t="shared" si="27"/>
        <v>5.517803685001299</v>
      </c>
      <c r="Q386" t="str">
        <f t="shared" si="28"/>
        <v/>
      </c>
      <c r="R386" s="2">
        <f t="shared" ref="R386:R449" si="30">IF(N386&lt;0,-P386,P386)</f>
        <v>5.517803685001299</v>
      </c>
      <c r="S386" s="5">
        <f t="shared" si="29"/>
        <v>12.5876862</v>
      </c>
    </row>
    <row r="387" spans="1:19" x14ac:dyDescent="0.4">
      <c r="A387">
        <v>20210809</v>
      </c>
      <c r="B387" s="1">
        <v>2.0833333333333332E-2</v>
      </c>
      <c r="C387">
        <v>149436</v>
      </c>
      <c r="D387">
        <v>272159</v>
      </c>
      <c r="E387">
        <v>338632</v>
      </c>
      <c r="F387">
        <v>-90221</v>
      </c>
      <c r="G387">
        <v>19442</v>
      </c>
      <c r="H387">
        <v>-196659</v>
      </c>
      <c r="I387">
        <v>235506</v>
      </c>
      <c r="J387">
        <v>-24041</v>
      </c>
      <c r="K387">
        <v>315983</v>
      </c>
      <c r="L387">
        <v>4590</v>
      </c>
      <c r="M387">
        <v>6.99</v>
      </c>
      <c r="N387">
        <f t="shared" ref="N387:N450" si="31">SUM(C387:L387)</f>
        <v>1024827</v>
      </c>
      <c r="O387">
        <v>18817900</v>
      </c>
      <c r="P387" s="2">
        <f t="shared" ref="P387:P450" si="32">((ABS(N387)*100)/O387)</f>
        <v>5.4460221384957936</v>
      </c>
      <c r="Q387" s="3" t="str">
        <f t="shared" ref="Q387:Q450" si="33">IF(N387&lt;0,"〇","")</f>
        <v/>
      </c>
      <c r="R387" s="2">
        <f t="shared" si="30"/>
        <v>5.4460221384957936</v>
      </c>
      <c r="S387" s="5">
        <f t="shared" ref="S387:S450" si="34">(M387*O387)/10^7</f>
        <v>13.1537121</v>
      </c>
    </row>
    <row r="388" spans="1:19" x14ac:dyDescent="0.4">
      <c r="A388">
        <v>20210809</v>
      </c>
      <c r="B388" s="1">
        <v>4.1666666666666664E-2</v>
      </c>
      <c r="C388">
        <v>121258</v>
      </c>
      <c r="D388">
        <v>244032</v>
      </c>
      <c r="E388">
        <v>290166</v>
      </c>
      <c r="F388">
        <v>-121296</v>
      </c>
      <c r="G388">
        <v>37801</v>
      </c>
      <c r="H388">
        <v>-48060</v>
      </c>
      <c r="I388">
        <v>243665</v>
      </c>
      <c r="J388">
        <v>-10490</v>
      </c>
      <c r="K388">
        <v>222185</v>
      </c>
      <c r="L388">
        <v>-6093</v>
      </c>
      <c r="M388">
        <v>6.99</v>
      </c>
      <c r="N388">
        <f t="shared" si="31"/>
        <v>973168</v>
      </c>
      <c r="O388">
        <v>19280350</v>
      </c>
      <c r="P388" s="2">
        <f t="shared" si="32"/>
        <v>5.0474602380143514</v>
      </c>
      <c r="Q388" s="3" t="str">
        <f t="shared" si="33"/>
        <v/>
      </c>
      <c r="R388" s="2">
        <f t="shared" si="30"/>
        <v>5.0474602380143514</v>
      </c>
      <c r="S388" s="5">
        <f t="shared" si="34"/>
        <v>13.476964649999999</v>
      </c>
    </row>
    <row r="389" spans="1:19" x14ac:dyDescent="0.4">
      <c r="A389">
        <v>20210809</v>
      </c>
      <c r="B389" s="1">
        <v>6.25E-2</v>
      </c>
      <c r="C389">
        <v>111951</v>
      </c>
      <c r="D389">
        <v>225542</v>
      </c>
      <c r="E389">
        <v>355736</v>
      </c>
      <c r="F389">
        <v>-30483</v>
      </c>
      <c r="G389">
        <v>38224</v>
      </c>
      <c r="H389">
        <v>-101582</v>
      </c>
      <c r="I389">
        <v>218447</v>
      </c>
      <c r="J389">
        <v>-7756</v>
      </c>
      <c r="K389">
        <v>266596</v>
      </c>
      <c r="L389">
        <v>6140</v>
      </c>
      <c r="M389">
        <v>6.92</v>
      </c>
      <c r="N389">
        <f t="shared" si="31"/>
        <v>1082815</v>
      </c>
      <c r="O389">
        <v>19425750</v>
      </c>
      <c r="P389" s="2">
        <f t="shared" si="32"/>
        <v>5.5741219772724344</v>
      </c>
      <c r="Q389" s="3" t="str">
        <f t="shared" si="33"/>
        <v/>
      </c>
      <c r="R389" s="2">
        <f t="shared" si="30"/>
        <v>5.5741219772724344</v>
      </c>
      <c r="S389" s="5">
        <f t="shared" si="34"/>
        <v>13.442619000000001</v>
      </c>
    </row>
    <row r="390" spans="1:19" x14ac:dyDescent="0.4">
      <c r="A390">
        <v>20210809</v>
      </c>
      <c r="B390" s="1">
        <v>8.3333333333333329E-2</v>
      </c>
      <c r="C390">
        <v>75529</v>
      </c>
      <c r="D390">
        <v>284092</v>
      </c>
      <c r="E390">
        <v>260248</v>
      </c>
      <c r="F390">
        <v>-37968</v>
      </c>
      <c r="G390">
        <v>21950</v>
      </c>
      <c r="H390">
        <v>-42892</v>
      </c>
      <c r="I390">
        <v>295260</v>
      </c>
      <c r="J390">
        <v>-87</v>
      </c>
      <c r="K390">
        <v>173604</v>
      </c>
      <c r="L390">
        <v>1945</v>
      </c>
      <c r="M390">
        <v>6.99</v>
      </c>
      <c r="N390">
        <f t="shared" si="31"/>
        <v>1031681</v>
      </c>
      <c r="O390">
        <v>19490400</v>
      </c>
      <c r="P390" s="2">
        <f t="shared" si="32"/>
        <v>5.2932777162090057</v>
      </c>
      <c r="Q390" s="3" t="str">
        <f t="shared" si="33"/>
        <v/>
      </c>
      <c r="R390" s="2">
        <f t="shared" si="30"/>
        <v>5.2932777162090057</v>
      </c>
      <c r="S390" s="5">
        <f t="shared" si="34"/>
        <v>13.6237896</v>
      </c>
    </row>
    <row r="391" spans="1:19" x14ac:dyDescent="0.4">
      <c r="A391">
        <v>20210809</v>
      </c>
      <c r="B391" s="1">
        <v>0.10416666666666667</v>
      </c>
      <c r="C391">
        <v>142276</v>
      </c>
      <c r="D391">
        <v>282133</v>
      </c>
      <c r="E391">
        <v>246136</v>
      </c>
      <c r="F391">
        <v>-26624</v>
      </c>
      <c r="G391">
        <v>5629</v>
      </c>
      <c r="H391">
        <v>-38638</v>
      </c>
      <c r="I391">
        <v>285079</v>
      </c>
      <c r="J391">
        <v>-40291</v>
      </c>
      <c r="K391">
        <v>75296</v>
      </c>
      <c r="L391">
        <v>1056</v>
      </c>
      <c r="M391">
        <v>6.99</v>
      </c>
      <c r="N391">
        <f t="shared" si="31"/>
        <v>932052</v>
      </c>
      <c r="O391">
        <v>19515650</v>
      </c>
      <c r="P391" s="2">
        <f t="shared" si="32"/>
        <v>4.7759208635121047</v>
      </c>
      <c r="Q391" s="3" t="str">
        <f t="shared" si="33"/>
        <v/>
      </c>
      <c r="R391" s="2">
        <f t="shared" si="30"/>
        <v>4.7759208635121047</v>
      </c>
      <c r="S391" s="5">
        <f t="shared" si="34"/>
        <v>13.641439350000001</v>
      </c>
    </row>
    <row r="392" spans="1:19" x14ac:dyDescent="0.4">
      <c r="A392">
        <v>20210809</v>
      </c>
      <c r="B392" s="1">
        <v>0.125</v>
      </c>
      <c r="C392">
        <v>124986</v>
      </c>
      <c r="D392">
        <v>271334</v>
      </c>
      <c r="E392">
        <v>1003680</v>
      </c>
      <c r="F392">
        <v>-105025</v>
      </c>
      <c r="G392">
        <v>16695</v>
      </c>
      <c r="H392">
        <v>-28298</v>
      </c>
      <c r="I392">
        <v>173294</v>
      </c>
      <c r="J392">
        <v>-13825</v>
      </c>
      <c r="K392">
        <v>133609</v>
      </c>
      <c r="L392">
        <v>-11596</v>
      </c>
      <c r="M392">
        <v>6.99</v>
      </c>
      <c r="N392">
        <f t="shared" si="31"/>
        <v>1564854</v>
      </c>
      <c r="O392">
        <v>19607750</v>
      </c>
      <c r="P392" s="2">
        <f t="shared" si="32"/>
        <v>7.9807933087682166</v>
      </c>
      <c r="Q392" s="3" t="str">
        <f t="shared" si="33"/>
        <v/>
      </c>
      <c r="R392" s="2">
        <f t="shared" si="30"/>
        <v>7.9807933087682166</v>
      </c>
      <c r="S392" s="5">
        <f t="shared" si="34"/>
        <v>13.705817250000001</v>
      </c>
    </row>
    <row r="393" spans="1:19" x14ac:dyDescent="0.4">
      <c r="A393">
        <v>20210809</v>
      </c>
      <c r="B393" s="1">
        <v>0.14583333333333334</v>
      </c>
      <c r="C393">
        <v>100823</v>
      </c>
      <c r="D393">
        <v>289872</v>
      </c>
      <c r="E393">
        <v>950721</v>
      </c>
      <c r="F393">
        <v>-96072</v>
      </c>
      <c r="G393">
        <v>27940</v>
      </c>
      <c r="H393">
        <v>18057</v>
      </c>
      <c r="I393">
        <v>100451</v>
      </c>
      <c r="J393">
        <v>-7621</v>
      </c>
      <c r="K393">
        <v>114071</v>
      </c>
      <c r="L393">
        <v>-4437</v>
      </c>
      <c r="M393">
        <v>7.03</v>
      </c>
      <c r="N393">
        <f t="shared" si="31"/>
        <v>1493805</v>
      </c>
      <c r="O393">
        <v>19671100</v>
      </c>
      <c r="P393" s="2">
        <f t="shared" si="32"/>
        <v>7.5939067972812913</v>
      </c>
      <c r="Q393" t="str">
        <f t="shared" si="33"/>
        <v/>
      </c>
      <c r="R393" s="2">
        <f t="shared" si="30"/>
        <v>7.5939067972812913</v>
      </c>
      <c r="S393" s="5">
        <f t="shared" si="34"/>
        <v>13.8287833</v>
      </c>
    </row>
    <row r="394" spans="1:19" x14ac:dyDescent="0.4">
      <c r="A394">
        <v>20210809</v>
      </c>
      <c r="B394" s="1">
        <v>0.16666666666666666</v>
      </c>
      <c r="C394">
        <v>52491</v>
      </c>
      <c r="D394">
        <v>270808</v>
      </c>
      <c r="E394">
        <v>937624</v>
      </c>
      <c r="F394">
        <v>-156639</v>
      </c>
      <c r="G394">
        <v>28345</v>
      </c>
      <c r="H394">
        <v>87325</v>
      </c>
      <c r="I394">
        <v>95787</v>
      </c>
      <c r="J394">
        <v>6484</v>
      </c>
      <c r="K394">
        <v>102579</v>
      </c>
      <c r="L394">
        <v>-12121</v>
      </c>
      <c r="M394">
        <v>7.01</v>
      </c>
      <c r="N394">
        <f t="shared" si="31"/>
        <v>1412683</v>
      </c>
      <c r="O394">
        <v>19708350</v>
      </c>
      <c r="P394" s="2">
        <f t="shared" si="32"/>
        <v>7.1679415070262094</v>
      </c>
      <c r="Q394" s="3" t="str">
        <f t="shared" si="33"/>
        <v/>
      </c>
      <c r="R394" s="2">
        <f t="shared" si="30"/>
        <v>7.1679415070262094</v>
      </c>
      <c r="S394" s="5">
        <f t="shared" si="34"/>
        <v>13.81555335</v>
      </c>
    </row>
    <row r="395" spans="1:19" x14ac:dyDescent="0.4">
      <c r="A395">
        <v>20210809</v>
      </c>
      <c r="B395" s="1">
        <v>0.1875</v>
      </c>
      <c r="C395">
        <v>105812</v>
      </c>
      <c r="D395">
        <v>252120</v>
      </c>
      <c r="E395">
        <v>177231</v>
      </c>
      <c r="F395">
        <v>-138224</v>
      </c>
      <c r="G395">
        <v>-14478</v>
      </c>
      <c r="H395">
        <v>-111553</v>
      </c>
      <c r="I395">
        <v>153072</v>
      </c>
      <c r="J395">
        <v>-9110</v>
      </c>
      <c r="K395">
        <v>84375</v>
      </c>
      <c r="L395">
        <v>-7935</v>
      </c>
      <c r="M395">
        <v>7.01</v>
      </c>
      <c r="N395">
        <f t="shared" si="31"/>
        <v>491310</v>
      </c>
      <c r="O395">
        <v>19739450</v>
      </c>
      <c r="P395" s="2">
        <f t="shared" si="32"/>
        <v>2.4889751234203588</v>
      </c>
      <c r="Q395" s="3" t="str">
        <f t="shared" si="33"/>
        <v/>
      </c>
      <c r="R395" s="2">
        <f t="shared" si="30"/>
        <v>2.4889751234203588</v>
      </c>
      <c r="S395" s="5">
        <f t="shared" si="34"/>
        <v>13.837354449999999</v>
      </c>
    </row>
    <row r="396" spans="1:19" x14ac:dyDescent="0.4">
      <c r="A396">
        <v>20210809</v>
      </c>
      <c r="B396" s="1">
        <v>0.20833333333333334</v>
      </c>
      <c r="C396">
        <v>75535</v>
      </c>
      <c r="D396">
        <v>213509</v>
      </c>
      <c r="E396">
        <v>309039</v>
      </c>
      <c r="F396">
        <v>-284827</v>
      </c>
      <c r="G396">
        <v>-17100</v>
      </c>
      <c r="H396">
        <v>-223168</v>
      </c>
      <c r="I396">
        <v>125451</v>
      </c>
      <c r="J396">
        <v>-49689</v>
      </c>
      <c r="K396">
        <v>108670</v>
      </c>
      <c r="L396">
        <v>-17295</v>
      </c>
      <c r="M396">
        <v>7.08</v>
      </c>
      <c r="N396">
        <f t="shared" si="31"/>
        <v>240125</v>
      </c>
      <c r="O396">
        <v>19724900</v>
      </c>
      <c r="P396" s="2">
        <f t="shared" si="32"/>
        <v>1.2173699232949216</v>
      </c>
      <c r="Q396" s="3" t="str">
        <f t="shared" si="33"/>
        <v/>
      </c>
      <c r="R396" s="2">
        <f t="shared" si="30"/>
        <v>1.2173699232949216</v>
      </c>
      <c r="S396" s="5">
        <f t="shared" si="34"/>
        <v>13.9652292</v>
      </c>
    </row>
    <row r="397" spans="1:19" x14ac:dyDescent="0.4">
      <c r="A397">
        <v>20210809</v>
      </c>
      <c r="B397" s="1">
        <v>0.22916666666666666</v>
      </c>
      <c r="C397">
        <v>48791</v>
      </c>
      <c r="D397">
        <v>260899</v>
      </c>
      <c r="E397">
        <v>523335</v>
      </c>
      <c r="F397">
        <v>-298666</v>
      </c>
      <c r="G397">
        <v>-10068</v>
      </c>
      <c r="H397">
        <v>-213175</v>
      </c>
      <c r="I397">
        <v>208583</v>
      </c>
      <c r="J397">
        <v>-38049</v>
      </c>
      <c r="K397">
        <v>77373</v>
      </c>
      <c r="L397">
        <v>-8319</v>
      </c>
      <c r="M397">
        <v>7.01</v>
      </c>
      <c r="N397">
        <f t="shared" si="31"/>
        <v>550704</v>
      </c>
      <c r="O397">
        <v>19951700</v>
      </c>
      <c r="P397" s="2">
        <f t="shared" si="32"/>
        <v>2.760185848824912</v>
      </c>
      <c r="Q397" s="3" t="str">
        <f t="shared" si="33"/>
        <v/>
      </c>
      <c r="R397" s="2">
        <f t="shared" si="30"/>
        <v>2.760185848824912</v>
      </c>
      <c r="S397" s="5">
        <f t="shared" si="34"/>
        <v>13.986141699999999</v>
      </c>
    </row>
    <row r="398" spans="1:19" x14ac:dyDescent="0.4">
      <c r="A398">
        <v>20210809</v>
      </c>
      <c r="B398" s="1">
        <v>0.25</v>
      </c>
      <c r="C398">
        <v>106149</v>
      </c>
      <c r="D398">
        <v>279344</v>
      </c>
      <c r="E398">
        <v>399259</v>
      </c>
      <c r="F398">
        <v>-293333</v>
      </c>
      <c r="G398">
        <v>-7876</v>
      </c>
      <c r="H398">
        <v>-296046</v>
      </c>
      <c r="I398">
        <v>186219</v>
      </c>
      <c r="J398">
        <v>5596</v>
      </c>
      <c r="K398">
        <v>-23148</v>
      </c>
      <c r="L398">
        <v>-15624</v>
      </c>
      <c r="M398">
        <v>6.99</v>
      </c>
      <c r="N398">
        <f t="shared" si="31"/>
        <v>340540</v>
      </c>
      <c r="O398">
        <v>20327300</v>
      </c>
      <c r="P398" s="2">
        <f t="shared" si="32"/>
        <v>1.67528397770486</v>
      </c>
      <c r="Q398" s="3" t="str">
        <f t="shared" si="33"/>
        <v/>
      </c>
      <c r="R398" s="2">
        <f t="shared" si="30"/>
        <v>1.67528397770486</v>
      </c>
      <c r="S398" s="5">
        <f t="shared" si="34"/>
        <v>14.2087827</v>
      </c>
    </row>
    <row r="399" spans="1:19" x14ac:dyDescent="0.4">
      <c r="A399">
        <v>20210809</v>
      </c>
      <c r="B399" s="1">
        <v>0.27083333333333331</v>
      </c>
      <c r="C399">
        <v>108698</v>
      </c>
      <c r="D399">
        <v>315071</v>
      </c>
      <c r="E399">
        <v>291594</v>
      </c>
      <c r="F399">
        <v>-156863</v>
      </c>
      <c r="G399">
        <v>-14966</v>
      </c>
      <c r="H399">
        <v>-199963</v>
      </c>
      <c r="I399">
        <v>299214</v>
      </c>
      <c r="J399">
        <v>60129</v>
      </c>
      <c r="K399">
        <v>-81469</v>
      </c>
      <c r="L399">
        <v>-10542</v>
      </c>
      <c r="M399">
        <v>6.99</v>
      </c>
      <c r="N399">
        <f t="shared" si="31"/>
        <v>610903</v>
      </c>
      <c r="O399">
        <v>20681950</v>
      </c>
      <c r="P399" s="2">
        <f t="shared" si="32"/>
        <v>2.9537978768926529</v>
      </c>
      <c r="Q399" s="3" t="str">
        <f t="shared" si="33"/>
        <v/>
      </c>
      <c r="R399" s="2">
        <f t="shared" si="30"/>
        <v>2.9537978768926529</v>
      </c>
      <c r="S399" s="5">
        <f t="shared" si="34"/>
        <v>14.456683050000001</v>
      </c>
    </row>
    <row r="400" spans="1:19" x14ac:dyDescent="0.4">
      <c r="A400">
        <v>20210809</v>
      </c>
      <c r="B400" s="1">
        <v>0.29166666666666669</v>
      </c>
      <c r="C400">
        <v>150917</v>
      </c>
      <c r="D400">
        <v>325085</v>
      </c>
      <c r="E400">
        <v>238538</v>
      </c>
      <c r="F400">
        <v>48488</v>
      </c>
      <c r="G400">
        <v>42600</v>
      </c>
      <c r="H400">
        <v>-227471</v>
      </c>
      <c r="I400">
        <v>296926</v>
      </c>
      <c r="J400">
        <v>51510</v>
      </c>
      <c r="K400">
        <v>-133766</v>
      </c>
      <c r="L400">
        <v>-5279</v>
      </c>
      <c r="M400">
        <v>6.99</v>
      </c>
      <c r="N400">
        <f t="shared" si="31"/>
        <v>787548</v>
      </c>
      <c r="O400">
        <v>21160500</v>
      </c>
      <c r="P400" s="2">
        <f t="shared" si="32"/>
        <v>3.7217835117317644</v>
      </c>
      <c r="Q400" t="str">
        <f t="shared" si="33"/>
        <v/>
      </c>
      <c r="R400" s="2">
        <f t="shared" si="30"/>
        <v>3.7217835117317644</v>
      </c>
      <c r="S400" s="5">
        <f t="shared" si="34"/>
        <v>14.7911895</v>
      </c>
    </row>
    <row r="401" spans="1:19" x14ac:dyDescent="0.4">
      <c r="A401">
        <v>20210809</v>
      </c>
      <c r="B401" s="1">
        <v>0.3125</v>
      </c>
      <c r="C401">
        <v>215648</v>
      </c>
      <c r="D401">
        <v>411920</v>
      </c>
      <c r="E401">
        <v>454084</v>
      </c>
      <c r="F401">
        <v>214906</v>
      </c>
      <c r="G401">
        <v>87480</v>
      </c>
      <c r="H401">
        <v>-259159</v>
      </c>
      <c r="I401">
        <v>400006</v>
      </c>
      <c r="J401">
        <v>51598</v>
      </c>
      <c r="K401">
        <v>-97469</v>
      </c>
      <c r="L401">
        <v>-4200</v>
      </c>
      <c r="M401">
        <v>7.17</v>
      </c>
      <c r="N401">
        <f t="shared" si="31"/>
        <v>1474814</v>
      </c>
      <c r="O401">
        <v>21250150</v>
      </c>
      <c r="P401" s="2">
        <f t="shared" si="32"/>
        <v>6.9402521864551545</v>
      </c>
      <c r="Q401" s="3" t="str">
        <f t="shared" si="33"/>
        <v/>
      </c>
      <c r="R401" s="2">
        <f t="shared" si="30"/>
        <v>6.9402521864551545</v>
      </c>
      <c r="S401" s="5">
        <f t="shared" si="34"/>
        <v>15.236357549999999</v>
      </c>
    </row>
    <row r="402" spans="1:19" x14ac:dyDescent="0.4">
      <c r="A402">
        <v>20210809</v>
      </c>
      <c r="B402" s="1">
        <v>0.33333333333333331</v>
      </c>
      <c r="C402">
        <v>135460</v>
      </c>
      <c r="D402">
        <v>310576</v>
      </c>
      <c r="E402">
        <v>368248</v>
      </c>
      <c r="F402">
        <v>352096</v>
      </c>
      <c r="G402">
        <v>170026</v>
      </c>
      <c r="H402">
        <v>-326032</v>
      </c>
      <c r="I402">
        <v>-82699</v>
      </c>
      <c r="J402">
        <v>-74427</v>
      </c>
      <c r="K402">
        <v>-115724</v>
      </c>
      <c r="L402">
        <v>-6485</v>
      </c>
      <c r="M402">
        <v>7.91</v>
      </c>
      <c r="N402">
        <f t="shared" si="31"/>
        <v>731039</v>
      </c>
      <c r="O402">
        <v>22050950</v>
      </c>
      <c r="P402" s="2">
        <f t="shared" si="32"/>
        <v>3.3152267816125836</v>
      </c>
      <c r="Q402" s="3" t="str">
        <f t="shared" si="33"/>
        <v/>
      </c>
      <c r="R402" s="2">
        <f t="shared" si="30"/>
        <v>3.3152267816125836</v>
      </c>
      <c r="S402" s="5">
        <f t="shared" si="34"/>
        <v>17.442301449999999</v>
      </c>
    </row>
    <row r="403" spans="1:19" x14ac:dyDescent="0.4">
      <c r="A403">
        <v>20210809</v>
      </c>
      <c r="B403" s="1">
        <v>0.35416666666666669</v>
      </c>
      <c r="C403">
        <v>191777</v>
      </c>
      <c r="D403">
        <v>319446</v>
      </c>
      <c r="E403">
        <v>239712</v>
      </c>
      <c r="F403">
        <v>206731</v>
      </c>
      <c r="G403">
        <v>194768</v>
      </c>
      <c r="H403">
        <v>-385502</v>
      </c>
      <c r="I403">
        <v>-122765</v>
      </c>
      <c r="J403">
        <v>-92180</v>
      </c>
      <c r="K403">
        <v>-85833</v>
      </c>
      <c r="L403">
        <v>-17887</v>
      </c>
      <c r="M403">
        <v>8.11</v>
      </c>
      <c r="N403">
        <f t="shared" si="31"/>
        <v>448267</v>
      </c>
      <c r="O403">
        <v>22305550</v>
      </c>
      <c r="P403" s="2">
        <f t="shared" si="32"/>
        <v>2.0096657558320685</v>
      </c>
      <c r="Q403" s="3" t="str">
        <f t="shared" si="33"/>
        <v/>
      </c>
      <c r="R403" s="2">
        <f t="shared" si="30"/>
        <v>2.0096657558320685</v>
      </c>
      <c r="S403" s="5">
        <f t="shared" si="34"/>
        <v>18.089801049999998</v>
      </c>
    </row>
    <row r="404" spans="1:19" x14ac:dyDescent="0.4">
      <c r="A404">
        <v>20210809</v>
      </c>
      <c r="B404" s="1">
        <v>0.375</v>
      </c>
      <c r="C404">
        <v>124358</v>
      </c>
      <c r="D404">
        <v>307309</v>
      </c>
      <c r="E404">
        <v>80896</v>
      </c>
      <c r="F404">
        <v>141051</v>
      </c>
      <c r="G404">
        <v>182203</v>
      </c>
      <c r="H404">
        <v>-353147</v>
      </c>
      <c r="I404">
        <v>-77256</v>
      </c>
      <c r="J404">
        <v>-50025</v>
      </c>
      <c r="K404">
        <v>-82712</v>
      </c>
      <c r="L404">
        <v>7321</v>
      </c>
      <c r="M404">
        <v>8.86</v>
      </c>
      <c r="N404">
        <f t="shared" si="31"/>
        <v>279998</v>
      </c>
      <c r="O404">
        <v>22504000</v>
      </c>
      <c r="P404" s="2">
        <f t="shared" si="32"/>
        <v>1.2442143618912194</v>
      </c>
      <c r="Q404" s="3" t="str">
        <f t="shared" si="33"/>
        <v/>
      </c>
      <c r="R404" s="2">
        <f t="shared" si="30"/>
        <v>1.2442143618912194</v>
      </c>
      <c r="S404" s="5">
        <f t="shared" si="34"/>
        <v>19.938544</v>
      </c>
    </row>
    <row r="405" spans="1:19" x14ac:dyDescent="0.4">
      <c r="A405">
        <v>20210809</v>
      </c>
      <c r="B405" s="1">
        <v>0.39583333333333331</v>
      </c>
      <c r="C405">
        <v>146922</v>
      </c>
      <c r="D405">
        <v>256565</v>
      </c>
      <c r="E405">
        <v>-148051</v>
      </c>
      <c r="F405">
        <v>6804</v>
      </c>
      <c r="G405">
        <v>151854</v>
      </c>
      <c r="H405">
        <v>-5466</v>
      </c>
      <c r="I405">
        <v>-16161</v>
      </c>
      <c r="J405">
        <v>-21289</v>
      </c>
      <c r="K405">
        <v>-10571</v>
      </c>
      <c r="L405">
        <v>371</v>
      </c>
      <c r="M405">
        <v>8.86</v>
      </c>
      <c r="N405">
        <f t="shared" si="31"/>
        <v>360978</v>
      </c>
      <c r="O405">
        <v>22661800</v>
      </c>
      <c r="P405" s="2">
        <f t="shared" si="32"/>
        <v>1.5928920032830578</v>
      </c>
      <c r="Q405" s="3" t="str">
        <f t="shared" si="33"/>
        <v/>
      </c>
      <c r="R405" s="2">
        <f t="shared" si="30"/>
        <v>1.5928920032830578</v>
      </c>
      <c r="S405" s="5">
        <f t="shared" si="34"/>
        <v>20.0783548</v>
      </c>
    </row>
    <row r="406" spans="1:19" x14ac:dyDescent="0.4">
      <c r="A406">
        <v>20210809</v>
      </c>
      <c r="B406" s="1">
        <v>0.41666666666666669</v>
      </c>
      <c r="C406">
        <v>165808</v>
      </c>
      <c r="D406">
        <v>272843</v>
      </c>
      <c r="E406">
        <v>482129</v>
      </c>
      <c r="F406">
        <v>134904</v>
      </c>
      <c r="G406">
        <v>135448</v>
      </c>
      <c r="H406">
        <v>261932</v>
      </c>
      <c r="I406">
        <v>-67611</v>
      </c>
      <c r="J406">
        <v>85343</v>
      </c>
      <c r="K406">
        <v>183682</v>
      </c>
      <c r="L406">
        <v>-175</v>
      </c>
      <c r="M406">
        <v>9.5299999999999994</v>
      </c>
      <c r="N406">
        <f t="shared" si="31"/>
        <v>1654303</v>
      </c>
      <c r="O406">
        <v>22659300</v>
      </c>
      <c r="P406" s="2">
        <f t="shared" si="32"/>
        <v>7.3007683379451267</v>
      </c>
      <c r="Q406" s="3" t="str">
        <f t="shared" si="33"/>
        <v/>
      </c>
      <c r="R406" s="2">
        <f t="shared" si="30"/>
        <v>7.3007683379451267</v>
      </c>
      <c r="S406" s="5">
        <f t="shared" si="34"/>
        <v>21.594312899999998</v>
      </c>
    </row>
    <row r="407" spans="1:19" x14ac:dyDescent="0.4">
      <c r="A407">
        <v>20210809</v>
      </c>
      <c r="B407" s="1">
        <v>0.4375</v>
      </c>
      <c r="C407">
        <v>160686</v>
      </c>
      <c r="D407">
        <v>392919</v>
      </c>
      <c r="E407">
        <v>1728306</v>
      </c>
      <c r="F407">
        <v>144187</v>
      </c>
      <c r="G407">
        <v>129039</v>
      </c>
      <c r="H407">
        <v>443992</v>
      </c>
      <c r="I407">
        <v>49004</v>
      </c>
      <c r="J407">
        <v>129015</v>
      </c>
      <c r="K407">
        <v>205557</v>
      </c>
      <c r="L407">
        <v>-1083</v>
      </c>
      <c r="M407">
        <v>9.59</v>
      </c>
      <c r="N407">
        <f t="shared" si="31"/>
        <v>3381622</v>
      </c>
      <c r="O407">
        <v>22712050</v>
      </c>
      <c r="P407" s="2">
        <f t="shared" si="32"/>
        <v>14.889109525560221</v>
      </c>
      <c r="Q407" t="str">
        <f t="shared" si="33"/>
        <v/>
      </c>
      <c r="R407" s="2">
        <f t="shared" si="30"/>
        <v>14.889109525560221</v>
      </c>
      <c r="S407" s="5">
        <f t="shared" si="34"/>
        <v>21.780855949999999</v>
      </c>
    </row>
    <row r="408" spans="1:19" x14ac:dyDescent="0.4">
      <c r="A408">
        <v>20210809</v>
      </c>
      <c r="B408" s="1">
        <v>0.45833333333333331</v>
      </c>
      <c r="C408">
        <v>152621</v>
      </c>
      <c r="D408">
        <v>399947</v>
      </c>
      <c r="E408">
        <v>2543856</v>
      </c>
      <c r="F408">
        <v>260955</v>
      </c>
      <c r="G408">
        <v>141097</v>
      </c>
      <c r="H408">
        <v>638086</v>
      </c>
      <c r="I408">
        <v>16553</v>
      </c>
      <c r="J408">
        <v>173167</v>
      </c>
      <c r="K408">
        <v>265857</v>
      </c>
      <c r="L408">
        <v>6873</v>
      </c>
      <c r="M408">
        <v>10.27</v>
      </c>
      <c r="N408">
        <f t="shared" si="31"/>
        <v>4599012</v>
      </c>
      <c r="O408">
        <v>22856250</v>
      </c>
      <c r="P408" s="2">
        <f t="shared" si="32"/>
        <v>20.121463494667761</v>
      </c>
      <c r="Q408" s="3" t="str">
        <f t="shared" si="33"/>
        <v/>
      </c>
      <c r="R408" s="2">
        <f t="shared" si="30"/>
        <v>20.121463494667761</v>
      </c>
      <c r="S408" s="5">
        <f t="shared" si="34"/>
        <v>23.473368749999999</v>
      </c>
    </row>
    <row r="409" spans="1:19" x14ac:dyDescent="0.4">
      <c r="A409">
        <v>20210809</v>
      </c>
      <c r="B409" s="1">
        <v>0.47916666666666669</v>
      </c>
      <c r="C409">
        <v>134575</v>
      </c>
      <c r="D409">
        <v>435232</v>
      </c>
      <c r="E409">
        <v>2014186</v>
      </c>
      <c r="F409">
        <v>408944</v>
      </c>
      <c r="G409">
        <v>136519</v>
      </c>
      <c r="H409">
        <v>806232</v>
      </c>
      <c r="I409">
        <v>79943</v>
      </c>
      <c r="J409">
        <v>154228</v>
      </c>
      <c r="K409">
        <v>126230</v>
      </c>
      <c r="L409">
        <v>-3843</v>
      </c>
      <c r="M409">
        <v>10.27</v>
      </c>
      <c r="N409">
        <f t="shared" si="31"/>
        <v>4292246</v>
      </c>
      <c r="O409">
        <v>23534700</v>
      </c>
      <c r="P409" s="2">
        <f t="shared" si="32"/>
        <v>18.237946521519287</v>
      </c>
      <c r="Q409" s="3" t="str">
        <f t="shared" si="33"/>
        <v/>
      </c>
      <c r="R409" s="2">
        <f t="shared" si="30"/>
        <v>18.237946521519287</v>
      </c>
      <c r="S409" s="5">
        <f t="shared" si="34"/>
        <v>24.170136899999999</v>
      </c>
    </row>
    <row r="410" spans="1:19" x14ac:dyDescent="0.4">
      <c r="A410">
        <v>20210809</v>
      </c>
      <c r="B410" s="1">
        <v>0.5</v>
      </c>
      <c r="C410">
        <v>152594</v>
      </c>
      <c r="D410">
        <v>478237</v>
      </c>
      <c r="E410">
        <v>2071487</v>
      </c>
      <c r="F410">
        <v>403669</v>
      </c>
      <c r="G410">
        <v>106350</v>
      </c>
      <c r="H410">
        <v>741285</v>
      </c>
      <c r="I410">
        <v>94473</v>
      </c>
      <c r="J410">
        <v>178557</v>
      </c>
      <c r="K410">
        <v>300767</v>
      </c>
      <c r="L410">
        <v>-9101</v>
      </c>
      <c r="M410">
        <v>10.220000000000001</v>
      </c>
      <c r="N410">
        <f t="shared" si="31"/>
        <v>4518318</v>
      </c>
      <c r="O410">
        <v>23247400</v>
      </c>
      <c r="P410" s="2">
        <f t="shared" si="32"/>
        <v>19.435799272176673</v>
      </c>
      <c r="Q410" s="3" t="str">
        <f t="shared" si="33"/>
        <v/>
      </c>
      <c r="R410" s="2">
        <f t="shared" si="30"/>
        <v>19.435799272176673</v>
      </c>
      <c r="S410" s="5">
        <f t="shared" si="34"/>
        <v>23.7588428</v>
      </c>
    </row>
    <row r="411" spans="1:19" x14ac:dyDescent="0.4">
      <c r="A411">
        <v>20210809</v>
      </c>
      <c r="B411" s="1">
        <v>0.52083333333333337</v>
      </c>
      <c r="C411">
        <v>131017</v>
      </c>
      <c r="D411">
        <v>594513</v>
      </c>
      <c r="E411">
        <v>1972259</v>
      </c>
      <c r="F411">
        <v>558782</v>
      </c>
      <c r="G411">
        <v>79886</v>
      </c>
      <c r="H411">
        <v>769817</v>
      </c>
      <c r="I411">
        <v>187808</v>
      </c>
      <c r="J411">
        <v>-164225</v>
      </c>
      <c r="K411">
        <v>424401</v>
      </c>
      <c r="L411">
        <v>-29603</v>
      </c>
      <c r="M411">
        <v>10.220000000000001</v>
      </c>
      <c r="N411">
        <f t="shared" si="31"/>
        <v>4524655</v>
      </c>
      <c r="O411">
        <v>23076250</v>
      </c>
      <c r="P411" s="2">
        <f t="shared" si="32"/>
        <v>19.607410216131303</v>
      </c>
      <c r="Q411" s="3" t="str">
        <f t="shared" si="33"/>
        <v/>
      </c>
      <c r="R411" s="2">
        <f t="shared" si="30"/>
        <v>19.607410216131303</v>
      </c>
      <c r="S411" s="5">
        <f t="shared" si="34"/>
        <v>23.583927500000001</v>
      </c>
    </row>
    <row r="412" spans="1:19" x14ac:dyDescent="0.4">
      <c r="A412">
        <v>20210809</v>
      </c>
      <c r="B412" s="1">
        <v>0.54166666666666663</v>
      </c>
      <c r="C412">
        <v>118648</v>
      </c>
      <c r="D412">
        <v>429946</v>
      </c>
      <c r="E412">
        <v>1894482</v>
      </c>
      <c r="F412">
        <v>439382</v>
      </c>
      <c r="G412">
        <v>73963</v>
      </c>
      <c r="H412">
        <v>1005136</v>
      </c>
      <c r="I412">
        <v>359557</v>
      </c>
      <c r="J412">
        <v>-261073</v>
      </c>
      <c r="K412">
        <v>624933</v>
      </c>
      <c r="L412">
        <v>-14271</v>
      </c>
      <c r="M412">
        <v>10.220000000000001</v>
      </c>
      <c r="N412">
        <f t="shared" si="31"/>
        <v>4670703</v>
      </c>
      <c r="O412">
        <v>22735500</v>
      </c>
      <c r="P412" s="2">
        <f t="shared" si="32"/>
        <v>20.54365639638451</v>
      </c>
      <c r="Q412" s="3" t="str">
        <f t="shared" si="33"/>
        <v/>
      </c>
      <c r="R412" s="2">
        <f t="shared" si="30"/>
        <v>20.54365639638451</v>
      </c>
      <c r="S412" s="5">
        <f t="shared" si="34"/>
        <v>23.235681</v>
      </c>
    </row>
    <row r="413" spans="1:19" x14ac:dyDescent="0.4">
      <c r="A413">
        <v>20210809</v>
      </c>
      <c r="B413" s="1">
        <v>0.5625</v>
      </c>
      <c r="C413">
        <v>119943</v>
      </c>
      <c r="D413">
        <v>477912</v>
      </c>
      <c r="E413">
        <v>1413788</v>
      </c>
      <c r="F413">
        <v>572744</v>
      </c>
      <c r="G413">
        <v>64634</v>
      </c>
      <c r="H413">
        <v>1158427</v>
      </c>
      <c r="I413">
        <v>17041</v>
      </c>
      <c r="J413">
        <v>-350471</v>
      </c>
      <c r="K413">
        <v>607851</v>
      </c>
      <c r="L413">
        <v>-21051</v>
      </c>
      <c r="M413">
        <v>10.220000000000001</v>
      </c>
      <c r="N413">
        <f t="shared" si="31"/>
        <v>4060818</v>
      </c>
      <c r="O413">
        <v>22839400</v>
      </c>
      <c r="P413" s="2">
        <f t="shared" si="32"/>
        <v>17.77988038214664</v>
      </c>
      <c r="Q413" s="3" t="str">
        <f t="shared" si="33"/>
        <v/>
      </c>
      <c r="R413" s="2">
        <f t="shared" si="30"/>
        <v>17.77988038214664</v>
      </c>
      <c r="S413" s="5">
        <f t="shared" si="34"/>
        <v>23.341866799999998</v>
      </c>
    </row>
    <row r="414" spans="1:19" x14ac:dyDescent="0.4">
      <c r="A414">
        <v>20210809</v>
      </c>
      <c r="B414" s="1">
        <v>0.58333333333333337</v>
      </c>
      <c r="C414">
        <v>120538</v>
      </c>
      <c r="D414">
        <v>431723</v>
      </c>
      <c r="E414">
        <v>1247633</v>
      </c>
      <c r="F414">
        <v>625215</v>
      </c>
      <c r="G414">
        <v>19079</v>
      </c>
      <c r="H414">
        <v>669131</v>
      </c>
      <c r="I414">
        <v>5948</v>
      </c>
      <c r="J414">
        <v>-278593</v>
      </c>
      <c r="K414">
        <v>546265</v>
      </c>
      <c r="L414">
        <v>-10094</v>
      </c>
      <c r="M414">
        <v>10.27</v>
      </c>
      <c r="N414">
        <f t="shared" si="31"/>
        <v>3376845</v>
      </c>
      <c r="O414">
        <v>22719200</v>
      </c>
      <c r="P414" s="2">
        <f t="shared" si="32"/>
        <v>14.863397478784464</v>
      </c>
      <c r="Q414" t="str">
        <f t="shared" si="33"/>
        <v/>
      </c>
      <c r="R414" s="2">
        <f t="shared" si="30"/>
        <v>14.863397478784464</v>
      </c>
      <c r="S414" s="5">
        <f t="shared" si="34"/>
        <v>23.332618400000001</v>
      </c>
    </row>
    <row r="415" spans="1:19" x14ac:dyDescent="0.4">
      <c r="A415">
        <v>20210809</v>
      </c>
      <c r="B415" s="1">
        <v>0.60416666666666663</v>
      </c>
      <c r="C415">
        <v>63697</v>
      </c>
      <c r="D415">
        <v>419471</v>
      </c>
      <c r="E415">
        <v>934883</v>
      </c>
      <c r="F415">
        <v>773470</v>
      </c>
      <c r="G415">
        <v>42346</v>
      </c>
      <c r="H415">
        <v>719378</v>
      </c>
      <c r="I415">
        <v>217711</v>
      </c>
      <c r="J415">
        <v>-227644</v>
      </c>
      <c r="K415">
        <v>548901</v>
      </c>
      <c r="L415">
        <v>-18500</v>
      </c>
      <c r="M415">
        <v>10.27</v>
      </c>
      <c r="N415">
        <f t="shared" si="31"/>
        <v>3473713</v>
      </c>
      <c r="O415">
        <v>22591800</v>
      </c>
      <c r="P415" s="2">
        <f t="shared" si="32"/>
        <v>15.375990403597765</v>
      </c>
      <c r="Q415" s="3" t="str">
        <f t="shared" si="33"/>
        <v/>
      </c>
      <c r="R415" s="2">
        <f t="shared" si="30"/>
        <v>15.375990403597765</v>
      </c>
      <c r="S415" s="5">
        <f t="shared" si="34"/>
        <v>23.201778600000001</v>
      </c>
    </row>
    <row r="416" spans="1:19" x14ac:dyDescent="0.4">
      <c r="A416">
        <v>20210809</v>
      </c>
      <c r="B416" s="1">
        <v>0.625</v>
      </c>
      <c r="C416">
        <v>97944</v>
      </c>
      <c r="D416">
        <v>320924</v>
      </c>
      <c r="E416">
        <v>778041</v>
      </c>
      <c r="F416">
        <v>850594</v>
      </c>
      <c r="G416">
        <v>3735</v>
      </c>
      <c r="H416">
        <v>1254716</v>
      </c>
      <c r="I416">
        <v>106531</v>
      </c>
      <c r="J416">
        <v>-182146</v>
      </c>
      <c r="K416">
        <v>584592</v>
      </c>
      <c r="L416">
        <v>-6832</v>
      </c>
      <c r="M416">
        <v>10.55</v>
      </c>
      <c r="N416">
        <f t="shared" si="31"/>
        <v>3808099</v>
      </c>
      <c r="O416">
        <v>22549400</v>
      </c>
      <c r="P416" s="2">
        <f t="shared" si="32"/>
        <v>16.887806327441083</v>
      </c>
      <c r="Q416" s="3" t="str">
        <f t="shared" si="33"/>
        <v/>
      </c>
      <c r="R416" s="2">
        <f t="shared" si="30"/>
        <v>16.887806327441083</v>
      </c>
      <c r="S416" s="5">
        <f t="shared" si="34"/>
        <v>23.789617000000003</v>
      </c>
    </row>
    <row r="417" spans="1:19" x14ac:dyDescent="0.4">
      <c r="A417">
        <v>20210809</v>
      </c>
      <c r="B417" s="1">
        <v>0.64583333333333337</v>
      </c>
      <c r="C417">
        <v>100199</v>
      </c>
      <c r="D417">
        <v>276963</v>
      </c>
      <c r="E417">
        <v>646941</v>
      </c>
      <c r="F417">
        <v>651810</v>
      </c>
      <c r="G417">
        <v>50292</v>
      </c>
      <c r="H417">
        <v>1102860</v>
      </c>
      <c r="I417">
        <v>177068</v>
      </c>
      <c r="J417">
        <v>-169853</v>
      </c>
      <c r="K417">
        <v>538214</v>
      </c>
      <c r="L417">
        <v>-19154</v>
      </c>
      <c r="M417">
        <v>15</v>
      </c>
      <c r="N417">
        <f t="shared" si="31"/>
        <v>3355340</v>
      </c>
      <c r="O417">
        <v>22192650</v>
      </c>
      <c r="P417" s="2">
        <f t="shared" si="32"/>
        <v>15.119149808607805</v>
      </c>
      <c r="Q417" s="3" t="str">
        <f t="shared" si="33"/>
        <v/>
      </c>
      <c r="R417" s="2">
        <f t="shared" si="30"/>
        <v>15.119149808607805</v>
      </c>
      <c r="S417" s="5">
        <f t="shared" si="34"/>
        <v>33.288975000000001</v>
      </c>
    </row>
    <row r="418" spans="1:19" x14ac:dyDescent="0.4">
      <c r="A418">
        <v>20210809</v>
      </c>
      <c r="B418" s="1">
        <v>0.66666666666666663</v>
      </c>
      <c r="C418">
        <v>101977</v>
      </c>
      <c r="D418">
        <v>303262</v>
      </c>
      <c r="E418">
        <v>682177</v>
      </c>
      <c r="F418">
        <v>789437</v>
      </c>
      <c r="G418">
        <v>38591</v>
      </c>
      <c r="H418">
        <v>1030676</v>
      </c>
      <c r="I418">
        <v>527622</v>
      </c>
      <c r="J418">
        <v>-103640</v>
      </c>
      <c r="K418">
        <v>483565</v>
      </c>
      <c r="L418">
        <v>-7722</v>
      </c>
      <c r="M418">
        <v>12</v>
      </c>
      <c r="N418">
        <f t="shared" si="31"/>
        <v>3845945</v>
      </c>
      <c r="O418">
        <v>22824900</v>
      </c>
      <c r="P418" s="2">
        <f t="shared" si="32"/>
        <v>16.849778093222753</v>
      </c>
      <c r="Q418" s="3" t="str">
        <f t="shared" si="33"/>
        <v/>
      </c>
      <c r="R418" s="2">
        <f t="shared" si="30"/>
        <v>16.849778093222753</v>
      </c>
      <c r="S418" s="5">
        <f t="shared" si="34"/>
        <v>27.389880000000002</v>
      </c>
    </row>
    <row r="419" spans="1:19" x14ac:dyDescent="0.4">
      <c r="A419">
        <v>20210809</v>
      </c>
      <c r="B419" s="1">
        <v>0.6875</v>
      </c>
      <c r="C419">
        <v>95505</v>
      </c>
      <c r="D419">
        <v>281181</v>
      </c>
      <c r="E419">
        <v>712267</v>
      </c>
      <c r="F419">
        <v>831461</v>
      </c>
      <c r="G419">
        <v>63925</v>
      </c>
      <c r="H419">
        <v>940412</v>
      </c>
      <c r="I419">
        <v>541309</v>
      </c>
      <c r="J419">
        <v>-49366</v>
      </c>
      <c r="K419">
        <v>458370</v>
      </c>
      <c r="L419">
        <v>-28263</v>
      </c>
      <c r="M419">
        <v>12.79</v>
      </c>
      <c r="N419">
        <f t="shared" si="31"/>
        <v>3846801</v>
      </c>
      <c r="O419">
        <v>22483750</v>
      </c>
      <c r="P419" s="2">
        <f t="shared" si="32"/>
        <v>17.109250013898926</v>
      </c>
      <c r="Q419" s="3" t="str">
        <f t="shared" si="33"/>
        <v/>
      </c>
      <c r="R419" s="2">
        <f t="shared" si="30"/>
        <v>17.109250013898926</v>
      </c>
      <c r="S419" s="5">
        <f t="shared" si="34"/>
        <v>28.75671625</v>
      </c>
    </row>
    <row r="420" spans="1:19" x14ac:dyDescent="0.4">
      <c r="A420">
        <v>20210809</v>
      </c>
      <c r="B420" s="1">
        <v>0.70833333333333337</v>
      </c>
      <c r="C420">
        <v>69628</v>
      </c>
      <c r="D420">
        <v>252470</v>
      </c>
      <c r="E420">
        <v>617868</v>
      </c>
      <c r="F420">
        <v>824415</v>
      </c>
      <c r="G420">
        <v>117394</v>
      </c>
      <c r="H420">
        <v>470185</v>
      </c>
      <c r="I420">
        <v>438048</v>
      </c>
      <c r="J420">
        <v>-8676</v>
      </c>
      <c r="K420">
        <v>338880</v>
      </c>
      <c r="L420">
        <v>-19209</v>
      </c>
      <c r="M420">
        <v>12.79</v>
      </c>
      <c r="N420">
        <f t="shared" si="31"/>
        <v>3101003</v>
      </c>
      <c r="O420">
        <v>22299400</v>
      </c>
      <c r="P420" s="2">
        <f t="shared" si="32"/>
        <v>13.906217207637873</v>
      </c>
      <c r="Q420" s="3" t="str">
        <f t="shared" si="33"/>
        <v/>
      </c>
      <c r="R420" s="2">
        <f t="shared" si="30"/>
        <v>13.906217207637873</v>
      </c>
      <c r="S420" s="5">
        <f t="shared" si="34"/>
        <v>28.520932599999998</v>
      </c>
    </row>
    <row r="421" spans="1:19" x14ac:dyDescent="0.4">
      <c r="A421">
        <v>20210809</v>
      </c>
      <c r="B421" s="1">
        <v>0.72916666666666663</v>
      </c>
      <c r="C421">
        <v>100580</v>
      </c>
      <c r="D421">
        <v>144315</v>
      </c>
      <c r="E421">
        <v>532983</v>
      </c>
      <c r="F421">
        <v>770417</v>
      </c>
      <c r="G421">
        <v>111558</v>
      </c>
      <c r="H421">
        <v>326369</v>
      </c>
      <c r="I421">
        <v>286720</v>
      </c>
      <c r="J421">
        <v>1023</v>
      </c>
      <c r="K421">
        <v>284830</v>
      </c>
      <c r="L421">
        <v>-33346</v>
      </c>
      <c r="M421">
        <v>13.14</v>
      </c>
      <c r="N421">
        <f t="shared" si="31"/>
        <v>2525449</v>
      </c>
      <c r="O421">
        <v>21977850</v>
      </c>
      <c r="P421" s="2">
        <f t="shared" si="32"/>
        <v>11.490882866158428</v>
      </c>
      <c r="Q421" t="str">
        <f t="shared" si="33"/>
        <v/>
      </c>
      <c r="R421" s="2">
        <f t="shared" si="30"/>
        <v>11.490882866158428</v>
      </c>
      <c r="S421" s="5">
        <f t="shared" si="34"/>
        <v>28.878894899999999</v>
      </c>
    </row>
    <row r="422" spans="1:19" x14ac:dyDescent="0.4">
      <c r="A422">
        <v>20210809</v>
      </c>
      <c r="B422" s="1">
        <v>0.75</v>
      </c>
      <c r="C422">
        <v>53050</v>
      </c>
      <c r="D422">
        <v>286711</v>
      </c>
      <c r="E422">
        <v>341674</v>
      </c>
      <c r="F422">
        <v>592647</v>
      </c>
      <c r="G422">
        <v>61059</v>
      </c>
      <c r="H422">
        <v>429762</v>
      </c>
      <c r="I422">
        <v>323908</v>
      </c>
      <c r="J422">
        <v>52982</v>
      </c>
      <c r="K422">
        <v>289778</v>
      </c>
      <c r="L422">
        <v>-18648</v>
      </c>
      <c r="M422">
        <v>14.63</v>
      </c>
      <c r="N422">
        <f t="shared" si="31"/>
        <v>2412923</v>
      </c>
      <c r="O422">
        <v>22005350</v>
      </c>
      <c r="P422" s="2">
        <f t="shared" si="32"/>
        <v>10.965165289350089</v>
      </c>
      <c r="Q422" s="3" t="str">
        <f t="shared" si="33"/>
        <v/>
      </c>
      <c r="R422" s="2">
        <f t="shared" si="30"/>
        <v>10.965165289350089</v>
      </c>
      <c r="S422" s="5">
        <f t="shared" si="34"/>
        <v>32.193827050000003</v>
      </c>
    </row>
    <row r="423" spans="1:19" x14ac:dyDescent="0.4">
      <c r="A423">
        <v>20210809</v>
      </c>
      <c r="B423" s="1">
        <v>0.77083333333333337</v>
      </c>
      <c r="C423">
        <v>105998</v>
      </c>
      <c r="D423">
        <v>169847</v>
      </c>
      <c r="E423">
        <v>225060</v>
      </c>
      <c r="F423">
        <v>520613</v>
      </c>
      <c r="G423">
        <v>74221</v>
      </c>
      <c r="H423">
        <v>469078</v>
      </c>
      <c r="I423">
        <v>215803</v>
      </c>
      <c r="J423">
        <v>82016</v>
      </c>
      <c r="K423">
        <v>358727</v>
      </c>
      <c r="L423">
        <v>-25278</v>
      </c>
      <c r="M423">
        <v>16.27</v>
      </c>
      <c r="N423">
        <f t="shared" si="31"/>
        <v>2196085</v>
      </c>
      <c r="O423">
        <v>21889150</v>
      </c>
      <c r="P423" s="2">
        <f t="shared" si="32"/>
        <v>10.032755954434046</v>
      </c>
      <c r="Q423" s="3" t="str">
        <f t="shared" si="33"/>
        <v/>
      </c>
      <c r="R423" s="2">
        <f t="shared" si="30"/>
        <v>10.032755954434046</v>
      </c>
      <c r="S423" s="5">
        <f t="shared" si="34"/>
        <v>35.613647049999997</v>
      </c>
    </row>
    <row r="424" spans="1:19" x14ac:dyDescent="0.4">
      <c r="A424">
        <v>20210809</v>
      </c>
      <c r="B424" s="1">
        <v>0.79166666666666663</v>
      </c>
      <c r="C424">
        <v>87638</v>
      </c>
      <c r="D424">
        <v>278241</v>
      </c>
      <c r="E424">
        <v>126058</v>
      </c>
      <c r="F424">
        <v>628509</v>
      </c>
      <c r="G424">
        <v>84167</v>
      </c>
      <c r="H424">
        <v>437926</v>
      </c>
      <c r="I424">
        <v>250833</v>
      </c>
      <c r="J424">
        <v>108656</v>
      </c>
      <c r="K424">
        <v>380424</v>
      </c>
      <c r="L424">
        <v>-13758</v>
      </c>
      <c r="M424">
        <v>15</v>
      </c>
      <c r="N424">
        <f t="shared" si="31"/>
        <v>2368694</v>
      </c>
      <c r="O424">
        <v>21872700</v>
      </c>
      <c r="P424" s="2">
        <f t="shared" si="32"/>
        <v>10.829454068313469</v>
      </c>
      <c r="Q424" s="3" t="str">
        <f t="shared" si="33"/>
        <v/>
      </c>
      <c r="R424" s="2">
        <f t="shared" si="30"/>
        <v>10.829454068313469</v>
      </c>
      <c r="S424" s="5">
        <f t="shared" si="34"/>
        <v>32.809049999999999</v>
      </c>
    </row>
    <row r="425" spans="1:19" x14ac:dyDescent="0.4">
      <c r="A425">
        <v>20210809</v>
      </c>
      <c r="B425" s="1">
        <v>0.8125</v>
      </c>
      <c r="C425">
        <v>128185</v>
      </c>
      <c r="D425">
        <v>304412</v>
      </c>
      <c r="E425">
        <v>199560</v>
      </c>
      <c r="F425">
        <v>606517</v>
      </c>
      <c r="G425">
        <v>78646</v>
      </c>
      <c r="H425">
        <v>605952</v>
      </c>
      <c r="I425">
        <v>217662</v>
      </c>
      <c r="J425">
        <v>119898</v>
      </c>
      <c r="K425">
        <v>404911</v>
      </c>
      <c r="L425">
        <v>-16698</v>
      </c>
      <c r="M425">
        <v>13.14</v>
      </c>
      <c r="N425">
        <f t="shared" si="31"/>
        <v>2649045</v>
      </c>
      <c r="O425">
        <v>21573800</v>
      </c>
      <c r="P425" s="2">
        <f t="shared" si="32"/>
        <v>12.27899118375066</v>
      </c>
      <c r="Q425" s="3" t="str">
        <f t="shared" si="33"/>
        <v/>
      </c>
      <c r="R425" s="2">
        <f t="shared" si="30"/>
        <v>12.27899118375066</v>
      </c>
      <c r="S425" s="5">
        <f t="shared" si="34"/>
        <v>28.347973199999998</v>
      </c>
    </row>
    <row r="426" spans="1:19" x14ac:dyDescent="0.4">
      <c r="A426">
        <v>20210809</v>
      </c>
      <c r="B426" s="1">
        <v>0.83333333333333337</v>
      </c>
      <c r="C426">
        <v>157144</v>
      </c>
      <c r="D426">
        <v>241358</v>
      </c>
      <c r="E426">
        <v>130860</v>
      </c>
      <c r="F426">
        <v>732217</v>
      </c>
      <c r="G426">
        <v>106706</v>
      </c>
      <c r="H426">
        <v>779140</v>
      </c>
      <c r="I426">
        <v>205386</v>
      </c>
      <c r="J426">
        <v>118302</v>
      </c>
      <c r="K426">
        <v>442957</v>
      </c>
      <c r="L426">
        <v>-12511</v>
      </c>
      <c r="M426">
        <v>12.56</v>
      </c>
      <c r="N426">
        <f t="shared" si="31"/>
        <v>2901559</v>
      </c>
      <c r="O426">
        <v>20973250</v>
      </c>
      <c r="P426" s="2">
        <f t="shared" si="32"/>
        <v>13.834570226359768</v>
      </c>
      <c r="Q426" s="3" t="str">
        <f t="shared" si="33"/>
        <v/>
      </c>
      <c r="R426" s="2">
        <f t="shared" si="30"/>
        <v>13.834570226359768</v>
      </c>
      <c r="S426" s="5">
        <f t="shared" si="34"/>
        <v>26.342402</v>
      </c>
    </row>
    <row r="427" spans="1:19" x14ac:dyDescent="0.4">
      <c r="A427">
        <v>20210809</v>
      </c>
      <c r="B427" s="1">
        <v>0.85416666666666663</v>
      </c>
      <c r="C427">
        <v>75528</v>
      </c>
      <c r="D427">
        <v>230874</v>
      </c>
      <c r="E427">
        <v>309443</v>
      </c>
      <c r="F427">
        <v>661930</v>
      </c>
      <c r="G427">
        <v>81268</v>
      </c>
      <c r="H427">
        <v>799546</v>
      </c>
      <c r="I427">
        <v>132984</v>
      </c>
      <c r="J427">
        <v>119618</v>
      </c>
      <c r="K427">
        <v>472886</v>
      </c>
      <c r="L427">
        <v>-7566</v>
      </c>
      <c r="M427">
        <v>12.02</v>
      </c>
      <c r="N427">
        <f t="shared" si="31"/>
        <v>2876511</v>
      </c>
      <c r="O427">
        <v>20837700</v>
      </c>
      <c r="P427" s="2">
        <f t="shared" si="32"/>
        <v>13.804359406268446</v>
      </c>
      <c r="Q427" s="3" t="str">
        <f t="shared" si="33"/>
        <v/>
      </c>
      <c r="R427" s="2">
        <f t="shared" si="30"/>
        <v>13.804359406268446</v>
      </c>
      <c r="S427" s="5">
        <f t="shared" si="34"/>
        <v>25.0469154</v>
      </c>
    </row>
    <row r="428" spans="1:19" x14ac:dyDescent="0.4">
      <c r="A428">
        <v>20210809</v>
      </c>
      <c r="B428" s="1">
        <v>0.875</v>
      </c>
      <c r="C428">
        <v>112661</v>
      </c>
      <c r="D428">
        <v>222640</v>
      </c>
      <c r="E428">
        <v>367756</v>
      </c>
      <c r="F428">
        <v>712606</v>
      </c>
      <c r="G428">
        <v>70161</v>
      </c>
      <c r="H428">
        <v>764070</v>
      </c>
      <c r="I428">
        <v>193642</v>
      </c>
      <c r="J428">
        <v>122982</v>
      </c>
      <c r="K428">
        <v>477405</v>
      </c>
      <c r="L428">
        <v>-15058</v>
      </c>
      <c r="M428">
        <v>10.19</v>
      </c>
      <c r="N428">
        <f t="shared" si="31"/>
        <v>3028865</v>
      </c>
      <c r="O428">
        <v>20585850</v>
      </c>
      <c r="P428" s="2">
        <f t="shared" si="32"/>
        <v>14.713334644913861</v>
      </c>
      <c r="Q428" t="str">
        <f t="shared" si="33"/>
        <v/>
      </c>
      <c r="R428" s="2">
        <f t="shared" si="30"/>
        <v>14.713334644913861</v>
      </c>
      <c r="S428" s="5">
        <f t="shared" si="34"/>
        <v>20.97698115</v>
      </c>
    </row>
    <row r="429" spans="1:19" x14ac:dyDescent="0.4">
      <c r="A429">
        <v>20210809</v>
      </c>
      <c r="B429" s="1">
        <v>0.89583333333333337</v>
      </c>
      <c r="C429">
        <v>65816</v>
      </c>
      <c r="D429">
        <v>202350</v>
      </c>
      <c r="E429">
        <v>425502</v>
      </c>
      <c r="F429">
        <v>710847</v>
      </c>
      <c r="G429">
        <v>77162</v>
      </c>
      <c r="H429">
        <v>693762</v>
      </c>
      <c r="I429">
        <v>108874</v>
      </c>
      <c r="J429">
        <v>122768</v>
      </c>
      <c r="K429">
        <v>500849</v>
      </c>
      <c r="L429">
        <v>-7120</v>
      </c>
      <c r="M429">
        <v>9.9499999999999993</v>
      </c>
      <c r="N429">
        <f t="shared" si="31"/>
        <v>2900810</v>
      </c>
      <c r="O429">
        <v>20381900</v>
      </c>
      <c r="P429" s="2">
        <f t="shared" si="32"/>
        <v>14.232284526957741</v>
      </c>
      <c r="Q429" s="3" t="str">
        <f t="shared" si="33"/>
        <v/>
      </c>
      <c r="R429" s="2">
        <f t="shared" si="30"/>
        <v>14.232284526957741</v>
      </c>
      <c r="S429" s="5">
        <f t="shared" si="34"/>
        <v>20.2799905</v>
      </c>
    </row>
    <row r="430" spans="1:19" x14ac:dyDescent="0.4">
      <c r="A430">
        <v>20210809</v>
      </c>
      <c r="B430" s="1">
        <v>0.91666666666666663</v>
      </c>
      <c r="C430">
        <v>69128</v>
      </c>
      <c r="D430">
        <v>186789</v>
      </c>
      <c r="E430">
        <v>451773</v>
      </c>
      <c r="F430">
        <v>409105</v>
      </c>
      <c r="G430">
        <v>44492</v>
      </c>
      <c r="H430">
        <v>676064</v>
      </c>
      <c r="I430">
        <v>36527</v>
      </c>
      <c r="J430">
        <v>130895</v>
      </c>
      <c r="K430">
        <v>468868</v>
      </c>
      <c r="L430">
        <v>-5392</v>
      </c>
      <c r="M430">
        <v>9.57</v>
      </c>
      <c r="N430">
        <f t="shared" si="31"/>
        <v>2468249</v>
      </c>
      <c r="O430">
        <v>20082100</v>
      </c>
      <c r="P430" s="2">
        <f t="shared" si="32"/>
        <v>12.290791301706495</v>
      </c>
      <c r="Q430" s="3" t="str">
        <f t="shared" si="33"/>
        <v/>
      </c>
      <c r="R430" s="2">
        <f t="shared" si="30"/>
        <v>12.290791301706495</v>
      </c>
      <c r="S430" s="5">
        <f t="shared" si="34"/>
        <v>19.2185697</v>
      </c>
    </row>
    <row r="431" spans="1:19" x14ac:dyDescent="0.4">
      <c r="A431">
        <v>20210809</v>
      </c>
      <c r="B431" s="1">
        <v>0.9375</v>
      </c>
      <c r="C431">
        <v>39758</v>
      </c>
      <c r="D431">
        <v>187301</v>
      </c>
      <c r="E431">
        <v>475072</v>
      </c>
      <c r="F431">
        <v>341615</v>
      </c>
      <c r="G431">
        <v>46574</v>
      </c>
      <c r="H431">
        <v>643108</v>
      </c>
      <c r="I431">
        <v>74088</v>
      </c>
      <c r="J431">
        <v>125175</v>
      </c>
      <c r="K431">
        <v>447793</v>
      </c>
      <c r="L431">
        <v>2613</v>
      </c>
      <c r="M431">
        <v>9.5</v>
      </c>
      <c r="N431">
        <f t="shared" si="31"/>
        <v>2383097</v>
      </c>
      <c r="O431">
        <v>19809400</v>
      </c>
      <c r="P431" s="2">
        <f t="shared" si="32"/>
        <v>12.030132159479843</v>
      </c>
      <c r="Q431" s="3" t="str">
        <f t="shared" si="33"/>
        <v/>
      </c>
      <c r="R431" s="2">
        <f t="shared" si="30"/>
        <v>12.030132159479843</v>
      </c>
      <c r="S431" s="5">
        <f t="shared" si="34"/>
        <v>18.818930000000002</v>
      </c>
    </row>
    <row r="432" spans="1:19" x14ac:dyDescent="0.4">
      <c r="A432">
        <v>20210809</v>
      </c>
      <c r="B432" s="1">
        <v>0.95833333333333337</v>
      </c>
      <c r="C432">
        <v>55103</v>
      </c>
      <c r="D432">
        <v>174750</v>
      </c>
      <c r="E432">
        <v>450046</v>
      </c>
      <c r="F432">
        <v>311317</v>
      </c>
      <c r="G432">
        <v>-2808</v>
      </c>
      <c r="H432">
        <v>583457</v>
      </c>
      <c r="I432">
        <v>-39195</v>
      </c>
      <c r="J432">
        <v>112821</v>
      </c>
      <c r="K432">
        <v>220746</v>
      </c>
      <c r="L432">
        <v>-20605</v>
      </c>
      <c r="M432">
        <v>7.79</v>
      </c>
      <c r="N432">
        <f t="shared" si="31"/>
        <v>1845632</v>
      </c>
      <c r="O432">
        <v>19257550</v>
      </c>
      <c r="P432" s="2">
        <f t="shared" si="32"/>
        <v>9.5839398054269616</v>
      </c>
      <c r="Q432" s="3" t="str">
        <f t="shared" si="33"/>
        <v/>
      </c>
      <c r="R432" s="2">
        <f t="shared" si="30"/>
        <v>9.5839398054269616</v>
      </c>
      <c r="S432" s="5">
        <f t="shared" si="34"/>
        <v>15.00163145</v>
      </c>
    </row>
    <row r="433" spans="1:19" x14ac:dyDescent="0.4">
      <c r="A433">
        <v>20210809</v>
      </c>
      <c r="B433" s="1">
        <v>0.97916666666666663</v>
      </c>
      <c r="C433">
        <v>49181</v>
      </c>
      <c r="D433">
        <v>162974</v>
      </c>
      <c r="E433">
        <v>355370</v>
      </c>
      <c r="F433">
        <v>262505</v>
      </c>
      <c r="G433">
        <v>-8756</v>
      </c>
      <c r="H433">
        <v>389951</v>
      </c>
      <c r="I433">
        <v>-31410</v>
      </c>
      <c r="J433">
        <v>92214</v>
      </c>
      <c r="K433">
        <v>205161</v>
      </c>
      <c r="L433">
        <v>-10094</v>
      </c>
      <c r="M433">
        <v>7.3</v>
      </c>
      <c r="N433">
        <f t="shared" si="31"/>
        <v>1467096</v>
      </c>
      <c r="O433">
        <v>18288650</v>
      </c>
      <c r="P433" s="2">
        <f t="shared" si="32"/>
        <v>8.0218933600894538</v>
      </c>
      <c r="Q433" s="3" t="str">
        <f t="shared" si="33"/>
        <v/>
      </c>
      <c r="R433" s="2">
        <f t="shared" si="30"/>
        <v>8.0218933600894538</v>
      </c>
      <c r="S433" s="5">
        <f t="shared" si="34"/>
        <v>13.3507145</v>
      </c>
    </row>
    <row r="434" spans="1:19" x14ac:dyDescent="0.4">
      <c r="A434">
        <v>20210810</v>
      </c>
      <c r="B434" s="1">
        <v>0</v>
      </c>
      <c r="C434">
        <v>83381</v>
      </c>
      <c r="D434">
        <v>151864</v>
      </c>
      <c r="E434">
        <v>68070</v>
      </c>
      <c r="F434">
        <v>137556</v>
      </c>
      <c r="G434">
        <v>74302</v>
      </c>
      <c r="H434">
        <v>540284</v>
      </c>
      <c r="I434">
        <v>86304</v>
      </c>
      <c r="J434">
        <v>91153</v>
      </c>
      <c r="K434">
        <v>218356</v>
      </c>
      <c r="L434">
        <v>-11427</v>
      </c>
      <c r="M434">
        <v>6.99</v>
      </c>
      <c r="N434">
        <f t="shared" si="31"/>
        <v>1439843</v>
      </c>
      <c r="O434">
        <v>18431950</v>
      </c>
      <c r="P434" s="2">
        <f t="shared" si="32"/>
        <v>7.8116694109955809</v>
      </c>
      <c r="Q434" s="3" t="str">
        <f t="shared" si="33"/>
        <v/>
      </c>
      <c r="R434" s="2">
        <f t="shared" si="30"/>
        <v>7.8116694109955809</v>
      </c>
      <c r="S434" s="5">
        <f t="shared" si="34"/>
        <v>12.88393305</v>
      </c>
    </row>
    <row r="435" spans="1:19" x14ac:dyDescent="0.4">
      <c r="A435">
        <v>20210810</v>
      </c>
      <c r="B435" s="1">
        <v>2.0833333333333332E-2</v>
      </c>
      <c r="C435">
        <v>49054</v>
      </c>
      <c r="D435">
        <v>87756</v>
      </c>
      <c r="E435">
        <v>118325</v>
      </c>
      <c r="F435">
        <v>130759</v>
      </c>
      <c r="G435">
        <v>59364</v>
      </c>
      <c r="H435">
        <v>433732</v>
      </c>
      <c r="I435">
        <v>141962</v>
      </c>
      <c r="J435">
        <v>93834</v>
      </c>
      <c r="K435">
        <v>184385</v>
      </c>
      <c r="L435">
        <v>-1809</v>
      </c>
      <c r="M435">
        <v>6.99</v>
      </c>
      <c r="N435">
        <f t="shared" si="31"/>
        <v>1297362</v>
      </c>
      <c r="O435">
        <v>19776300</v>
      </c>
      <c r="P435" s="2">
        <f t="shared" si="32"/>
        <v>6.5601856767949513</v>
      </c>
      <c r="Q435" t="str">
        <f t="shared" si="33"/>
        <v/>
      </c>
      <c r="R435" s="2">
        <f t="shared" si="30"/>
        <v>6.5601856767949513</v>
      </c>
      <c r="S435" s="5">
        <f t="shared" si="34"/>
        <v>13.8236337</v>
      </c>
    </row>
    <row r="436" spans="1:19" x14ac:dyDescent="0.4">
      <c r="A436">
        <v>20210810</v>
      </c>
      <c r="B436" s="1">
        <v>4.1666666666666664E-2</v>
      </c>
      <c r="C436">
        <v>67428</v>
      </c>
      <c r="D436">
        <v>100775</v>
      </c>
      <c r="E436">
        <v>-74332</v>
      </c>
      <c r="F436">
        <v>-12655</v>
      </c>
      <c r="G436">
        <v>-2513</v>
      </c>
      <c r="H436">
        <v>371955</v>
      </c>
      <c r="I436">
        <v>107525</v>
      </c>
      <c r="J436">
        <v>93784</v>
      </c>
      <c r="K436">
        <v>162000</v>
      </c>
      <c r="L436">
        <v>-22314</v>
      </c>
      <c r="M436">
        <v>6.98</v>
      </c>
      <c r="N436">
        <f t="shared" si="31"/>
        <v>791653</v>
      </c>
      <c r="O436">
        <v>19808050</v>
      </c>
      <c r="P436" s="2">
        <f t="shared" si="32"/>
        <v>3.9966225852620525</v>
      </c>
      <c r="Q436" s="3" t="str">
        <f t="shared" si="33"/>
        <v/>
      </c>
      <c r="R436" s="2">
        <f t="shared" si="30"/>
        <v>3.9966225852620525</v>
      </c>
      <c r="S436" s="5">
        <f t="shared" si="34"/>
        <v>13.826018899999999</v>
      </c>
    </row>
    <row r="437" spans="1:19" x14ac:dyDescent="0.4">
      <c r="A437">
        <v>20210810</v>
      </c>
      <c r="B437" s="1">
        <v>6.25E-2</v>
      </c>
      <c r="C437">
        <v>47520</v>
      </c>
      <c r="D437">
        <v>35175</v>
      </c>
      <c r="E437">
        <v>10922</v>
      </c>
      <c r="F437">
        <v>-160</v>
      </c>
      <c r="G437">
        <v>-18195</v>
      </c>
      <c r="H437">
        <v>315857</v>
      </c>
      <c r="I437">
        <v>88133</v>
      </c>
      <c r="J437">
        <v>91933</v>
      </c>
      <c r="K437">
        <v>148549</v>
      </c>
      <c r="L437">
        <v>-7083</v>
      </c>
      <c r="M437">
        <v>6.98</v>
      </c>
      <c r="N437">
        <f t="shared" si="31"/>
        <v>712651</v>
      </c>
      <c r="O437">
        <v>19930850</v>
      </c>
      <c r="P437" s="2">
        <f t="shared" si="32"/>
        <v>3.5756176981914969</v>
      </c>
      <c r="Q437" s="3" t="str">
        <f t="shared" si="33"/>
        <v/>
      </c>
      <c r="R437" s="2">
        <f t="shared" si="30"/>
        <v>3.5756176981914969</v>
      </c>
      <c r="S437" s="5">
        <f t="shared" si="34"/>
        <v>13.9117333</v>
      </c>
    </row>
    <row r="438" spans="1:19" x14ac:dyDescent="0.4">
      <c r="A438">
        <v>20210810</v>
      </c>
      <c r="B438" s="1">
        <v>8.3333333333333329E-2</v>
      </c>
      <c r="C438">
        <v>28206</v>
      </c>
      <c r="D438">
        <v>69549</v>
      </c>
      <c r="E438">
        <v>-10625</v>
      </c>
      <c r="F438">
        <v>-16266</v>
      </c>
      <c r="G438">
        <v>-37713</v>
      </c>
      <c r="H438">
        <v>354522</v>
      </c>
      <c r="I438">
        <v>109015</v>
      </c>
      <c r="J438">
        <v>94152</v>
      </c>
      <c r="K438">
        <v>188766</v>
      </c>
      <c r="L438">
        <v>-16176</v>
      </c>
      <c r="M438">
        <v>7.03</v>
      </c>
      <c r="N438">
        <f t="shared" si="31"/>
        <v>763430</v>
      </c>
      <c r="O438">
        <v>20143900</v>
      </c>
      <c r="P438" s="2">
        <f t="shared" si="32"/>
        <v>3.7898818004457926</v>
      </c>
      <c r="Q438" s="3" t="str">
        <f t="shared" si="33"/>
        <v/>
      </c>
      <c r="R438" s="2">
        <f t="shared" si="30"/>
        <v>3.7898818004457926</v>
      </c>
      <c r="S438" s="5">
        <f t="shared" si="34"/>
        <v>14.161161699999999</v>
      </c>
    </row>
    <row r="439" spans="1:19" x14ac:dyDescent="0.4">
      <c r="A439">
        <v>20210810</v>
      </c>
      <c r="B439" s="1">
        <v>0.10416666666666667</v>
      </c>
      <c r="C439">
        <v>78224</v>
      </c>
      <c r="D439">
        <v>35902</v>
      </c>
      <c r="E439">
        <v>-41753</v>
      </c>
      <c r="F439">
        <v>-56591</v>
      </c>
      <c r="G439">
        <v>-45530</v>
      </c>
      <c r="H439">
        <v>388421</v>
      </c>
      <c r="I439">
        <v>112896</v>
      </c>
      <c r="J439">
        <v>93536</v>
      </c>
      <c r="K439">
        <v>215644</v>
      </c>
      <c r="L439">
        <v>-14497</v>
      </c>
      <c r="M439">
        <v>7.03</v>
      </c>
      <c r="N439">
        <f t="shared" si="31"/>
        <v>766252</v>
      </c>
      <c r="O439">
        <v>20184300</v>
      </c>
      <c r="P439" s="2">
        <f t="shared" si="32"/>
        <v>3.7962773046377629</v>
      </c>
      <c r="Q439" s="3" t="str">
        <f t="shared" si="33"/>
        <v/>
      </c>
      <c r="R439" s="2">
        <f t="shared" si="30"/>
        <v>3.7962773046377629</v>
      </c>
      <c r="S439" s="5">
        <f t="shared" si="34"/>
        <v>14.1895629</v>
      </c>
    </row>
    <row r="440" spans="1:19" x14ac:dyDescent="0.4">
      <c r="A440">
        <v>20210810</v>
      </c>
      <c r="B440" s="1">
        <v>0.125</v>
      </c>
      <c r="C440">
        <v>99709</v>
      </c>
      <c r="D440">
        <v>10268</v>
      </c>
      <c r="E440">
        <v>-36141</v>
      </c>
      <c r="F440">
        <v>-161005</v>
      </c>
      <c r="G440">
        <v>-24247</v>
      </c>
      <c r="H440">
        <v>409672</v>
      </c>
      <c r="I440">
        <v>146995</v>
      </c>
      <c r="J440">
        <v>84936</v>
      </c>
      <c r="K440">
        <v>240972</v>
      </c>
      <c r="L440">
        <v>-19306</v>
      </c>
      <c r="M440">
        <v>7.07</v>
      </c>
      <c r="N440">
        <f t="shared" si="31"/>
        <v>751853</v>
      </c>
      <c r="O440">
        <v>20255900</v>
      </c>
      <c r="P440" s="2">
        <f t="shared" si="32"/>
        <v>3.7117728661772618</v>
      </c>
      <c r="Q440" s="3" t="str">
        <f t="shared" si="33"/>
        <v/>
      </c>
      <c r="R440" s="2">
        <f t="shared" si="30"/>
        <v>3.7117728661772618</v>
      </c>
      <c r="S440" s="5">
        <f t="shared" si="34"/>
        <v>14.3209213</v>
      </c>
    </row>
    <row r="441" spans="1:19" x14ac:dyDescent="0.4">
      <c r="A441">
        <v>20210810</v>
      </c>
      <c r="B441" s="1">
        <v>0.14583333333333334</v>
      </c>
      <c r="C441">
        <v>102260</v>
      </c>
      <c r="D441">
        <v>26045</v>
      </c>
      <c r="E441">
        <v>-24257</v>
      </c>
      <c r="F441">
        <v>-190101</v>
      </c>
      <c r="G441">
        <v>-6037</v>
      </c>
      <c r="H441">
        <v>437896</v>
      </c>
      <c r="I441">
        <v>152870</v>
      </c>
      <c r="J441">
        <v>81254</v>
      </c>
      <c r="K441">
        <v>272188</v>
      </c>
      <c r="L441">
        <v>-11371</v>
      </c>
      <c r="M441">
        <v>7.03</v>
      </c>
      <c r="N441">
        <f t="shared" si="31"/>
        <v>840747</v>
      </c>
      <c r="O441">
        <v>20418400</v>
      </c>
      <c r="P441" s="2">
        <f t="shared" si="32"/>
        <v>4.1175949143909412</v>
      </c>
      <c r="Q441" s="3" t="str">
        <f t="shared" si="33"/>
        <v/>
      </c>
      <c r="R441" s="2">
        <f t="shared" si="30"/>
        <v>4.1175949143909412</v>
      </c>
      <c r="S441" s="5">
        <f t="shared" si="34"/>
        <v>14.3541352</v>
      </c>
    </row>
    <row r="442" spans="1:19" x14ac:dyDescent="0.4">
      <c r="A442">
        <v>20210810</v>
      </c>
      <c r="B442" s="1">
        <v>0.16666666666666666</v>
      </c>
      <c r="C442">
        <v>60344</v>
      </c>
      <c r="D442">
        <v>35932</v>
      </c>
      <c r="E442">
        <v>-32780</v>
      </c>
      <c r="F442">
        <v>-86250</v>
      </c>
      <c r="G442">
        <v>19442</v>
      </c>
      <c r="H442">
        <v>543115</v>
      </c>
      <c r="I442">
        <v>96456</v>
      </c>
      <c r="J442">
        <v>69740</v>
      </c>
      <c r="K442">
        <v>279252</v>
      </c>
      <c r="L442">
        <v>-15243</v>
      </c>
      <c r="M442">
        <v>7.03</v>
      </c>
      <c r="N442">
        <f t="shared" si="31"/>
        <v>970008</v>
      </c>
      <c r="O442">
        <v>20415650</v>
      </c>
      <c r="P442" s="2">
        <f t="shared" si="32"/>
        <v>4.7512961869938017</v>
      </c>
      <c r="Q442" t="str">
        <f t="shared" si="33"/>
        <v/>
      </c>
      <c r="R442" s="2">
        <f t="shared" si="30"/>
        <v>4.7512961869938017</v>
      </c>
      <c r="S442" s="5">
        <f t="shared" si="34"/>
        <v>14.35220195</v>
      </c>
    </row>
    <row r="443" spans="1:19" x14ac:dyDescent="0.4">
      <c r="A443">
        <v>20210810</v>
      </c>
      <c r="B443" s="1">
        <v>0.1875</v>
      </c>
      <c r="C443">
        <v>100161</v>
      </c>
      <c r="D443">
        <v>114453</v>
      </c>
      <c r="E443">
        <v>-43667</v>
      </c>
      <c r="F443">
        <v>-167183</v>
      </c>
      <c r="G443">
        <v>15886</v>
      </c>
      <c r="H443">
        <v>539396</v>
      </c>
      <c r="I443">
        <v>91961</v>
      </c>
      <c r="J443">
        <v>55977</v>
      </c>
      <c r="K443">
        <v>336162</v>
      </c>
      <c r="L443">
        <v>-12770</v>
      </c>
      <c r="M443">
        <v>6.98</v>
      </c>
      <c r="N443">
        <f t="shared" si="31"/>
        <v>1030376</v>
      </c>
      <c r="O443">
        <v>20483050</v>
      </c>
      <c r="P443" s="2">
        <f t="shared" si="32"/>
        <v>5.0303836586836432</v>
      </c>
      <c r="Q443" s="3" t="str">
        <f t="shared" si="33"/>
        <v/>
      </c>
      <c r="R443" s="2">
        <f t="shared" si="30"/>
        <v>5.0303836586836432</v>
      </c>
      <c r="S443" s="5">
        <f t="shared" si="34"/>
        <v>14.297168900000001</v>
      </c>
    </row>
    <row r="444" spans="1:19" x14ac:dyDescent="0.4">
      <c r="A444">
        <v>20210810</v>
      </c>
      <c r="B444" s="1">
        <v>0.20833333333333334</v>
      </c>
      <c r="C444">
        <v>23116</v>
      </c>
      <c r="D444">
        <v>158493</v>
      </c>
      <c r="E444">
        <v>66702</v>
      </c>
      <c r="F444">
        <v>-133551</v>
      </c>
      <c r="G444">
        <v>40244</v>
      </c>
      <c r="H444">
        <v>491099</v>
      </c>
      <c r="I444">
        <v>52467</v>
      </c>
      <c r="J444">
        <v>59605</v>
      </c>
      <c r="K444">
        <v>314749</v>
      </c>
      <c r="L444">
        <v>-14206</v>
      </c>
      <c r="M444">
        <v>7</v>
      </c>
      <c r="N444">
        <f t="shared" si="31"/>
        <v>1058718</v>
      </c>
      <c r="O444">
        <v>20483250</v>
      </c>
      <c r="P444" s="2">
        <f t="shared" si="32"/>
        <v>5.1687012559042147</v>
      </c>
      <c r="Q444" s="3" t="str">
        <f t="shared" si="33"/>
        <v/>
      </c>
      <c r="R444" s="2">
        <f t="shared" si="30"/>
        <v>5.1687012559042147</v>
      </c>
      <c r="S444" s="5">
        <f t="shared" si="34"/>
        <v>14.338274999999999</v>
      </c>
    </row>
    <row r="445" spans="1:19" x14ac:dyDescent="0.4">
      <c r="A445">
        <v>20210810</v>
      </c>
      <c r="B445" s="1">
        <v>0.22916666666666666</v>
      </c>
      <c r="C445">
        <v>87979</v>
      </c>
      <c r="D445">
        <v>174290</v>
      </c>
      <c r="E445">
        <v>152804</v>
      </c>
      <c r="F445">
        <v>-42838</v>
      </c>
      <c r="G445">
        <v>65487</v>
      </c>
      <c r="H445">
        <v>303229</v>
      </c>
      <c r="I445">
        <v>51394</v>
      </c>
      <c r="J445">
        <v>67691</v>
      </c>
      <c r="K445">
        <v>384469</v>
      </c>
      <c r="L445">
        <v>-15928</v>
      </c>
      <c r="M445">
        <v>7.14</v>
      </c>
      <c r="N445">
        <f t="shared" si="31"/>
        <v>1228577</v>
      </c>
      <c r="O445">
        <v>20663000</v>
      </c>
      <c r="P445" s="2">
        <f t="shared" si="32"/>
        <v>5.9457823162173931</v>
      </c>
      <c r="Q445" s="3" t="str">
        <f t="shared" si="33"/>
        <v/>
      </c>
      <c r="R445" s="2">
        <f t="shared" si="30"/>
        <v>5.9457823162173931</v>
      </c>
      <c r="S445" s="5">
        <f t="shared" si="34"/>
        <v>14.753382</v>
      </c>
    </row>
    <row r="446" spans="1:19" x14ac:dyDescent="0.4">
      <c r="A446">
        <v>20210810</v>
      </c>
      <c r="B446" s="1">
        <v>0.25</v>
      </c>
      <c r="C446">
        <v>37220</v>
      </c>
      <c r="D446">
        <v>260617</v>
      </c>
      <c r="E446">
        <v>329861</v>
      </c>
      <c r="F446">
        <v>-146439</v>
      </c>
      <c r="G446">
        <v>62110</v>
      </c>
      <c r="H446">
        <v>262284</v>
      </c>
      <c r="I446">
        <v>106291</v>
      </c>
      <c r="J446">
        <v>88072</v>
      </c>
      <c r="K446">
        <v>353921</v>
      </c>
      <c r="L446">
        <v>-6374</v>
      </c>
      <c r="M446">
        <v>7.23</v>
      </c>
      <c r="N446">
        <f t="shared" si="31"/>
        <v>1347563</v>
      </c>
      <c r="O446">
        <v>21193200</v>
      </c>
      <c r="P446" s="2">
        <f t="shared" si="32"/>
        <v>6.3584687541286824</v>
      </c>
      <c r="Q446" s="3" t="str">
        <f t="shared" si="33"/>
        <v/>
      </c>
      <c r="R446" s="2">
        <f t="shared" si="30"/>
        <v>6.3584687541286824</v>
      </c>
      <c r="S446" s="5">
        <f t="shared" si="34"/>
        <v>15.3226836</v>
      </c>
    </row>
    <row r="447" spans="1:19" x14ac:dyDescent="0.4">
      <c r="A447">
        <v>20210810</v>
      </c>
      <c r="B447" s="1">
        <v>0.27083333333333331</v>
      </c>
      <c r="C447">
        <v>61134</v>
      </c>
      <c r="D447">
        <v>311013</v>
      </c>
      <c r="E447">
        <v>208582</v>
      </c>
      <c r="F447">
        <v>-186539</v>
      </c>
      <c r="G447">
        <v>43616</v>
      </c>
      <c r="H447">
        <v>312230</v>
      </c>
      <c r="I447">
        <v>320047</v>
      </c>
      <c r="J447">
        <v>98618</v>
      </c>
      <c r="K447">
        <v>411752</v>
      </c>
      <c r="L447">
        <v>-18358</v>
      </c>
      <c r="M447">
        <v>7.15</v>
      </c>
      <c r="N447">
        <f t="shared" si="31"/>
        <v>1562095</v>
      </c>
      <c r="O447">
        <v>21928050</v>
      </c>
      <c r="P447" s="2">
        <f t="shared" si="32"/>
        <v>7.1237296522034566</v>
      </c>
      <c r="Q447" s="3" t="str">
        <f t="shared" si="33"/>
        <v/>
      </c>
      <c r="R447" s="2">
        <f t="shared" si="30"/>
        <v>7.1237296522034566</v>
      </c>
      <c r="S447" s="5">
        <f t="shared" si="34"/>
        <v>15.678555749999999</v>
      </c>
    </row>
    <row r="448" spans="1:19" x14ac:dyDescent="0.4">
      <c r="A448">
        <v>20210810</v>
      </c>
      <c r="B448" s="1">
        <v>0.29166666666666669</v>
      </c>
      <c r="C448">
        <v>30861</v>
      </c>
      <c r="D448">
        <v>302322</v>
      </c>
      <c r="E448">
        <v>787049</v>
      </c>
      <c r="F448">
        <v>1760</v>
      </c>
      <c r="G448">
        <v>42740</v>
      </c>
      <c r="H448">
        <v>374260</v>
      </c>
      <c r="I448">
        <v>516207</v>
      </c>
      <c r="J448">
        <v>105095</v>
      </c>
      <c r="K448">
        <v>439857</v>
      </c>
      <c r="L448">
        <v>7630</v>
      </c>
      <c r="M448">
        <v>7.12</v>
      </c>
      <c r="N448">
        <f t="shared" si="31"/>
        <v>2607781</v>
      </c>
      <c r="O448">
        <v>22982000</v>
      </c>
      <c r="P448" s="2">
        <f t="shared" si="32"/>
        <v>11.347058567574624</v>
      </c>
      <c r="Q448" s="3" t="str">
        <f t="shared" si="33"/>
        <v/>
      </c>
      <c r="R448" s="2">
        <f t="shared" si="30"/>
        <v>11.347058567574624</v>
      </c>
      <c r="S448" s="5">
        <f t="shared" si="34"/>
        <v>16.363184</v>
      </c>
    </row>
    <row r="449" spans="1:19" x14ac:dyDescent="0.4">
      <c r="A449">
        <v>20210810</v>
      </c>
      <c r="B449" s="1">
        <v>0.3125</v>
      </c>
      <c r="C449">
        <v>49222</v>
      </c>
      <c r="D449">
        <v>491856</v>
      </c>
      <c r="E449">
        <v>1133335</v>
      </c>
      <c r="F449">
        <v>-116661</v>
      </c>
      <c r="G449">
        <v>60206</v>
      </c>
      <c r="H449">
        <v>462560</v>
      </c>
      <c r="I449">
        <v>820845</v>
      </c>
      <c r="J449">
        <v>177318</v>
      </c>
      <c r="K449">
        <v>587940</v>
      </c>
      <c r="L449">
        <v>-658</v>
      </c>
      <c r="M449">
        <v>7.23</v>
      </c>
      <c r="N449">
        <f t="shared" si="31"/>
        <v>3665963</v>
      </c>
      <c r="O449">
        <v>23500750</v>
      </c>
      <c r="P449" s="2">
        <f t="shared" si="32"/>
        <v>15.599344701764837</v>
      </c>
      <c r="Q449" t="str">
        <f t="shared" si="33"/>
        <v/>
      </c>
      <c r="R449" s="2">
        <f t="shared" si="30"/>
        <v>15.599344701764837</v>
      </c>
      <c r="S449" s="5">
        <f t="shared" si="34"/>
        <v>16.99104225</v>
      </c>
    </row>
    <row r="450" spans="1:19" x14ac:dyDescent="0.4">
      <c r="A450">
        <v>20210810</v>
      </c>
      <c r="B450" s="1">
        <v>0.33333333333333331</v>
      </c>
      <c r="C450">
        <v>104533</v>
      </c>
      <c r="D450">
        <v>435119</v>
      </c>
      <c r="E450">
        <v>1788950</v>
      </c>
      <c r="F450">
        <v>294652</v>
      </c>
      <c r="G450">
        <v>77113</v>
      </c>
      <c r="H450">
        <v>724223</v>
      </c>
      <c r="I450">
        <v>392515</v>
      </c>
      <c r="J450">
        <v>231444</v>
      </c>
      <c r="K450">
        <v>626783</v>
      </c>
      <c r="L450">
        <v>7151</v>
      </c>
      <c r="M450">
        <v>7.44</v>
      </c>
      <c r="N450">
        <f t="shared" si="31"/>
        <v>4682483</v>
      </c>
      <c r="O450">
        <v>25258450</v>
      </c>
      <c r="P450" s="2">
        <f t="shared" si="32"/>
        <v>18.538283227989048</v>
      </c>
      <c r="Q450" s="3" t="str">
        <f t="shared" si="33"/>
        <v/>
      </c>
      <c r="R450" s="2">
        <f t="shared" ref="R450:R481" si="35">IF(N450&lt;0,-P450,P450)</f>
        <v>18.538283227989048</v>
      </c>
      <c r="S450" s="5">
        <f t="shared" si="34"/>
        <v>18.792286799999999</v>
      </c>
    </row>
    <row r="451" spans="1:19" x14ac:dyDescent="0.4">
      <c r="A451">
        <v>20210810</v>
      </c>
      <c r="B451" s="1">
        <v>0.35416666666666669</v>
      </c>
      <c r="C451">
        <v>97872</v>
      </c>
      <c r="D451">
        <v>677849</v>
      </c>
      <c r="E451">
        <v>1623870</v>
      </c>
      <c r="F451">
        <v>87890</v>
      </c>
      <c r="G451">
        <v>84616</v>
      </c>
      <c r="H451">
        <v>891024</v>
      </c>
      <c r="I451">
        <v>492099</v>
      </c>
      <c r="J451">
        <v>255424</v>
      </c>
      <c r="K451">
        <v>672254</v>
      </c>
      <c r="L451">
        <v>-7168</v>
      </c>
      <c r="M451">
        <v>7.88</v>
      </c>
      <c r="N451">
        <f t="shared" ref="N451:N481" si="36">SUM(C451:L451)</f>
        <v>4875730</v>
      </c>
      <c r="O451">
        <v>25789300</v>
      </c>
      <c r="P451" s="2">
        <f t="shared" ref="P451:P481" si="37">((ABS(N451)*100)/O451)</f>
        <v>18.906019162986201</v>
      </c>
      <c r="Q451" s="3" t="str">
        <f t="shared" ref="Q451:Q481" si="38">IF(N451&lt;0,"〇","")</f>
        <v/>
      </c>
      <c r="R451" s="2">
        <f t="shared" si="35"/>
        <v>18.906019162986201</v>
      </c>
      <c r="S451" s="5">
        <f t="shared" ref="S451:S481" si="39">(M451*O451)/10^7</f>
        <v>20.321968399999999</v>
      </c>
    </row>
    <row r="452" spans="1:19" x14ac:dyDescent="0.4">
      <c r="A452">
        <v>20210810</v>
      </c>
      <c r="B452" s="1">
        <v>0.375</v>
      </c>
      <c r="C452">
        <v>140218</v>
      </c>
      <c r="D452">
        <v>929908</v>
      </c>
      <c r="E452">
        <v>1544939</v>
      </c>
      <c r="F452">
        <v>194559</v>
      </c>
      <c r="G452">
        <v>93647</v>
      </c>
      <c r="H452">
        <v>1093083</v>
      </c>
      <c r="I452">
        <v>506914</v>
      </c>
      <c r="J452">
        <v>290726</v>
      </c>
      <c r="K452">
        <v>687237</v>
      </c>
      <c r="L452">
        <v>-14247</v>
      </c>
      <c r="M452">
        <v>8.39</v>
      </c>
      <c r="N452">
        <f t="shared" si="36"/>
        <v>5466984</v>
      </c>
      <c r="O452">
        <v>26168850</v>
      </c>
      <c r="P452" s="2">
        <f t="shared" si="37"/>
        <v>20.891189333883606</v>
      </c>
      <c r="Q452" s="3" t="str">
        <f t="shared" si="38"/>
        <v/>
      </c>
      <c r="R452" s="2">
        <f t="shared" si="35"/>
        <v>20.891189333883606</v>
      </c>
      <c r="S452" s="5">
        <f t="shared" si="39"/>
        <v>21.955665150000002</v>
      </c>
    </row>
    <row r="453" spans="1:19" x14ac:dyDescent="0.4">
      <c r="A453">
        <v>20210810</v>
      </c>
      <c r="B453" s="1">
        <v>0.39583333333333331</v>
      </c>
      <c r="C453">
        <v>112238</v>
      </c>
      <c r="D453">
        <v>797955</v>
      </c>
      <c r="E453">
        <v>1564197</v>
      </c>
      <c r="F453">
        <v>473521</v>
      </c>
      <c r="G453">
        <v>119979</v>
      </c>
      <c r="H453">
        <v>960127</v>
      </c>
      <c r="I453">
        <v>509361</v>
      </c>
      <c r="J453">
        <v>309696</v>
      </c>
      <c r="K453">
        <v>586373</v>
      </c>
      <c r="L453">
        <v>-19608</v>
      </c>
      <c r="M453">
        <v>8.86</v>
      </c>
      <c r="N453">
        <f t="shared" si="36"/>
        <v>5413839</v>
      </c>
      <c r="O453">
        <v>26466750</v>
      </c>
      <c r="P453" s="2">
        <f t="shared" si="37"/>
        <v>20.455246677434896</v>
      </c>
      <c r="Q453" s="3" t="str">
        <f t="shared" si="38"/>
        <v/>
      </c>
      <c r="R453" s="2">
        <f t="shared" si="35"/>
        <v>20.455246677434896</v>
      </c>
      <c r="S453" s="5">
        <f t="shared" si="39"/>
        <v>23.449540499999998</v>
      </c>
    </row>
    <row r="454" spans="1:19" x14ac:dyDescent="0.4">
      <c r="A454">
        <v>20210810</v>
      </c>
      <c r="B454" s="1">
        <v>0.41666666666666669</v>
      </c>
      <c r="C454">
        <v>157794</v>
      </c>
      <c r="D454">
        <v>977557</v>
      </c>
      <c r="E454">
        <v>1025752</v>
      </c>
      <c r="F454">
        <v>339775</v>
      </c>
      <c r="G454">
        <v>155878</v>
      </c>
      <c r="H454">
        <v>883255</v>
      </c>
      <c r="I454">
        <v>550257</v>
      </c>
      <c r="J454">
        <v>318463</v>
      </c>
      <c r="K454">
        <v>737499</v>
      </c>
      <c r="L454">
        <v>-22956</v>
      </c>
      <c r="M454">
        <v>8.86</v>
      </c>
      <c r="N454">
        <f t="shared" si="36"/>
        <v>5123274</v>
      </c>
      <c r="O454">
        <v>26684100</v>
      </c>
      <c r="P454" s="2">
        <f t="shared" si="37"/>
        <v>19.199725679337135</v>
      </c>
      <c r="Q454" s="3" t="str">
        <f t="shared" si="38"/>
        <v/>
      </c>
      <c r="R454" s="2">
        <f t="shared" si="35"/>
        <v>19.199725679337135</v>
      </c>
      <c r="S454" s="5">
        <f t="shared" si="39"/>
        <v>23.642112599999997</v>
      </c>
    </row>
    <row r="455" spans="1:19" x14ac:dyDescent="0.4">
      <c r="A455">
        <v>20210810</v>
      </c>
      <c r="B455" s="1">
        <v>0.4375</v>
      </c>
      <c r="C455">
        <v>150528</v>
      </c>
      <c r="D455">
        <v>1110154</v>
      </c>
      <c r="E455">
        <v>717121</v>
      </c>
      <c r="F455">
        <v>299733</v>
      </c>
      <c r="G455">
        <v>181706</v>
      </c>
      <c r="H455">
        <v>970008</v>
      </c>
      <c r="I455">
        <v>505505</v>
      </c>
      <c r="J455">
        <v>299540</v>
      </c>
      <c r="K455">
        <v>784608</v>
      </c>
      <c r="L455">
        <v>-17871</v>
      </c>
      <c r="M455">
        <v>8.86</v>
      </c>
      <c r="N455">
        <f t="shared" si="36"/>
        <v>5001032</v>
      </c>
      <c r="O455">
        <v>26716450</v>
      </c>
      <c r="P455" s="2">
        <f t="shared" si="37"/>
        <v>18.718924108554841</v>
      </c>
      <c r="Q455" s="3" t="str">
        <f t="shared" si="38"/>
        <v/>
      </c>
      <c r="R455" s="2">
        <f t="shared" si="35"/>
        <v>18.718924108554841</v>
      </c>
      <c r="S455" s="5">
        <f t="shared" si="39"/>
        <v>23.670774699999996</v>
      </c>
    </row>
    <row r="456" spans="1:19" x14ac:dyDescent="0.4">
      <c r="A456">
        <v>20210810</v>
      </c>
      <c r="B456" s="1">
        <v>0.45833333333333331</v>
      </c>
      <c r="C456">
        <v>167231</v>
      </c>
      <c r="D456">
        <v>1150303</v>
      </c>
      <c r="E456">
        <v>522564</v>
      </c>
      <c r="F456">
        <v>577260</v>
      </c>
      <c r="G456">
        <v>202828</v>
      </c>
      <c r="H456">
        <v>966820</v>
      </c>
      <c r="I456">
        <v>426097</v>
      </c>
      <c r="J456">
        <v>202028</v>
      </c>
      <c r="K456">
        <v>916630</v>
      </c>
      <c r="L456">
        <v>-42239</v>
      </c>
      <c r="M456">
        <v>8.86</v>
      </c>
      <c r="N456">
        <f t="shared" si="36"/>
        <v>5089522</v>
      </c>
      <c r="O456">
        <v>27140350</v>
      </c>
      <c r="P456" s="2">
        <f t="shared" si="37"/>
        <v>18.752602674615471</v>
      </c>
      <c r="Q456" t="str">
        <f t="shared" si="38"/>
        <v/>
      </c>
      <c r="R456" s="2">
        <f t="shared" si="35"/>
        <v>18.752602674615471</v>
      </c>
      <c r="S456" s="5">
        <f t="shared" si="39"/>
        <v>24.046350099999998</v>
      </c>
    </row>
    <row r="457" spans="1:19" x14ac:dyDescent="0.4">
      <c r="A457">
        <v>20210810</v>
      </c>
      <c r="B457" s="1">
        <v>0.47916666666666669</v>
      </c>
      <c r="C457">
        <v>173087</v>
      </c>
      <c r="D457">
        <v>1138472</v>
      </c>
      <c r="E457">
        <v>453267</v>
      </c>
      <c r="F457">
        <v>505345</v>
      </c>
      <c r="G457">
        <v>213271</v>
      </c>
      <c r="H457">
        <v>950713</v>
      </c>
      <c r="I457">
        <v>570472</v>
      </c>
      <c r="J457">
        <v>184541</v>
      </c>
      <c r="K457">
        <v>681141</v>
      </c>
      <c r="L457">
        <v>-40574</v>
      </c>
      <c r="M457">
        <v>8.86</v>
      </c>
      <c r="N457">
        <f t="shared" si="36"/>
        <v>4829735</v>
      </c>
      <c r="O457">
        <v>27241250</v>
      </c>
      <c r="P457" s="2">
        <f t="shared" si="37"/>
        <v>17.729491121002155</v>
      </c>
      <c r="Q457" s="3" t="str">
        <f t="shared" si="38"/>
        <v/>
      </c>
      <c r="R457" s="2">
        <f t="shared" si="35"/>
        <v>17.729491121002155</v>
      </c>
      <c r="S457" s="5">
        <f t="shared" si="39"/>
        <v>24.135747499999997</v>
      </c>
    </row>
    <row r="458" spans="1:19" x14ac:dyDescent="0.4">
      <c r="A458">
        <v>20210810</v>
      </c>
      <c r="B458" s="1">
        <v>0.5</v>
      </c>
      <c r="C458">
        <v>130565</v>
      </c>
      <c r="D458">
        <v>815533</v>
      </c>
      <c r="E458">
        <v>189801</v>
      </c>
      <c r="F458">
        <v>654327</v>
      </c>
      <c r="G458">
        <v>229902</v>
      </c>
      <c r="H458">
        <v>344900</v>
      </c>
      <c r="I458">
        <v>568938</v>
      </c>
      <c r="J458">
        <v>164018</v>
      </c>
      <c r="K458">
        <v>653420</v>
      </c>
      <c r="L458">
        <v>-38190</v>
      </c>
      <c r="M458">
        <v>8.86</v>
      </c>
      <c r="N458">
        <f t="shared" si="36"/>
        <v>3713214</v>
      </c>
      <c r="O458">
        <v>27162350</v>
      </c>
      <c r="P458" s="2">
        <f t="shared" si="37"/>
        <v>13.670444567572394</v>
      </c>
      <c r="Q458" s="3" t="str">
        <f t="shared" si="38"/>
        <v/>
      </c>
      <c r="R458" s="2">
        <f t="shared" si="35"/>
        <v>13.670444567572394</v>
      </c>
      <c r="S458" s="5">
        <f t="shared" si="39"/>
        <v>24.065842099999998</v>
      </c>
    </row>
    <row r="459" spans="1:19" x14ac:dyDescent="0.4">
      <c r="A459">
        <v>20210810</v>
      </c>
      <c r="B459" s="1">
        <v>0.52083333333333337</v>
      </c>
      <c r="C459">
        <v>138559</v>
      </c>
      <c r="D459">
        <v>808228</v>
      </c>
      <c r="E459">
        <v>710854</v>
      </c>
      <c r="F459">
        <v>497508</v>
      </c>
      <c r="G459">
        <v>196801</v>
      </c>
      <c r="H459">
        <v>254300</v>
      </c>
      <c r="I459">
        <v>585232</v>
      </c>
      <c r="J459">
        <v>137001</v>
      </c>
      <c r="K459">
        <v>431354</v>
      </c>
      <c r="L459">
        <v>-36227</v>
      </c>
      <c r="M459">
        <v>8.86</v>
      </c>
      <c r="N459">
        <f t="shared" si="36"/>
        <v>3723610</v>
      </c>
      <c r="O459">
        <v>27100900</v>
      </c>
      <c r="P459" s="2">
        <f t="shared" si="37"/>
        <v>13.739801999195599</v>
      </c>
      <c r="Q459" s="3" t="str">
        <f t="shared" si="38"/>
        <v/>
      </c>
      <c r="R459" s="2">
        <f t="shared" si="35"/>
        <v>13.739801999195599</v>
      </c>
      <c r="S459" s="5">
        <f t="shared" si="39"/>
        <v>24.011397399999996</v>
      </c>
    </row>
    <row r="460" spans="1:19" x14ac:dyDescent="0.4">
      <c r="A460">
        <v>20210810</v>
      </c>
      <c r="B460" s="1">
        <v>0.54166666666666663</v>
      </c>
      <c r="C460">
        <v>166987</v>
      </c>
      <c r="D460">
        <v>836837</v>
      </c>
      <c r="E460">
        <v>588810</v>
      </c>
      <c r="F460">
        <v>683447</v>
      </c>
      <c r="G460">
        <v>196014</v>
      </c>
      <c r="H460">
        <v>515783</v>
      </c>
      <c r="I460">
        <v>468479</v>
      </c>
      <c r="J460">
        <v>135674</v>
      </c>
      <c r="K460">
        <v>349327</v>
      </c>
      <c r="L460">
        <v>-38116</v>
      </c>
      <c r="M460">
        <v>9.61</v>
      </c>
      <c r="N460">
        <f t="shared" si="36"/>
        <v>3903242</v>
      </c>
      <c r="O460">
        <v>26336400</v>
      </c>
      <c r="P460" s="2">
        <f t="shared" si="37"/>
        <v>14.82071201834723</v>
      </c>
      <c r="Q460" s="3" t="str">
        <f t="shared" si="38"/>
        <v/>
      </c>
      <c r="R460" s="2">
        <f t="shared" si="35"/>
        <v>14.82071201834723</v>
      </c>
      <c r="S460" s="5">
        <f t="shared" si="39"/>
        <v>25.309280399999999</v>
      </c>
    </row>
    <row r="461" spans="1:19" x14ac:dyDescent="0.4">
      <c r="A461">
        <v>20210810</v>
      </c>
      <c r="B461" s="1">
        <v>0.5625</v>
      </c>
      <c r="C461">
        <v>161739</v>
      </c>
      <c r="D461">
        <v>941983</v>
      </c>
      <c r="E461">
        <v>1277718</v>
      </c>
      <c r="F461">
        <v>574043</v>
      </c>
      <c r="G461">
        <v>179112</v>
      </c>
      <c r="H461">
        <v>609616</v>
      </c>
      <c r="I461">
        <v>435645</v>
      </c>
      <c r="J461">
        <v>161607</v>
      </c>
      <c r="K461">
        <v>151711</v>
      </c>
      <c r="L461">
        <v>-43971</v>
      </c>
      <c r="M461">
        <v>9.83</v>
      </c>
      <c r="N461">
        <f t="shared" si="36"/>
        <v>4449203</v>
      </c>
      <c r="O461">
        <v>26118650</v>
      </c>
      <c r="P461" s="2">
        <f t="shared" si="37"/>
        <v>17.034582568394615</v>
      </c>
      <c r="Q461" s="3" t="str">
        <f t="shared" si="38"/>
        <v/>
      </c>
      <c r="R461" s="2">
        <f t="shared" si="35"/>
        <v>17.034582568394615</v>
      </c>
      <c r="S461" s="5">
        <f t="shared" si="39"/>
        <v>25.674632949999999</v>
      </c>
    </row>
    <row r="462" spans="1:19" x14ac:dyDescent="0.4">
      <c r="A462">
        <v>20210810</v>
      </c>
      <c r="B462" s="1">
        <v>0.58333333333333337</v>
      </c>
      <c r="C462">
        <v>162966</v>
      </c>
      <c r="D462">
        <v>1025474</v>
      </c>
      <c r="E462">
        <v>1649795</v>
      </c>
      <c r="F462">
        <v>361645</v>
      </c>
      <c r="G462">
        <v>131643</v>
      </c>
      <c r="H462">
        <v>805345</v>
      </c>
      <c r="I462">
        <v>458895</v>
      </c>
      <c r="J462">
        <v>181699</v>
      </c>
      <c r="K462">
        <v>-293704</v>
      </c>
      <c r="L462">
        <v>-34794</v>
      </c>
      <c r="M462">
        <v>10.27</v>
      </c>
      <c r="N462">
        <f t="shared" si="36"/>
        <v>4448964</v>
      </c>
      <c r="O462">
        <v>26171500</v>
      </c>
      <c r="P462" s="2">
        <f t="shared" si="37"/>
        <v>16.999270198498365</v>
      </c>
      <c r="Q462" s="3" t="str">
        <f t="shared" si="38"/>
        <v/>
      </c>
      <c r="R462" s="2">
        <f t="shared" si="35"/>
        <v>16.999270198498365</v>
      </c>
      <c r="S462" s="5">
        <f t="shared" si="39"/>
        <v>26.878130500000001</v>
      </c>
    </row>
    <row r="463" spans="1:19" x14ac:dyDescent="0.4">
      <c r="A463">
        <v>20210810</v>
      </c>
      <c r="B463" s="1">
        <v>0.60416666666666663</v>
      </c>
      <c r="C463">
        <v>102278</v>
      </c>
      <c r="D463">
        <v>921573</v>
      </c>
      <c r="E463">
        <v>1667754</v>
      </c>
      <c r="F463">
        <v>568755</v>
      </c>
      <c r="G463">
        <v>98710</v>
      </c>
      <c r="H463">
        <v>799898</v>
      </c>
      <c r="I463">
        <v>428992</v>
      </c>
      <c r="J463">
        <v>148271</v>
      </c>
      <c r="K463">
        <v>-491260</v>
      </c>
      <c r="L463">
        <v>-35796</v>
      </c>
      <c r="M463">
        <v>10.27</v>
      </c>
      <c r="N463">
        <f t="shared" si="36"/>
        <v>4209175</v>
      </c>
      <c r="O463">
        <v>25726500</v>
      </c>
      <c r="P463" s="2">
        <f t="shared" si="37"/>
        <v>16.361242298796959</v>
      </c>
      <c r="Q463" t="str">
        <f t="shared" si="38"/>
        <v/>
      </c>
      <c r="R463" s="2">
        <f t="shared" si="35"/>
        <v>16.361242298796959</v>
      </c>
      <c r="S463" s="5">
        <f t="shared" si="39"/>
        <v>26.421115499999999</v>
      </c>
    </row>
    <row r="464" spans="1:19" x14ac:dyDescent="0.4">
      <c r="A464">
        <v>20210810</v>
      </c>
      <c r="B464" s="1">
        <v>0.625</v>
      </c>
      <c r="C464">
        <v>100094</v>
      </c>
      <c r="D464">
        <v>909820</v>
      </c>
      <c r="E464">
        <v>1672918</v>
      </c>
      <c r="F464">
        <v>504819</v>
      </c>
      <c r="G464">
        <v>118031</v>
      </c>
      <c r="H464">
        <v>884326</v>
      </c>
      <c r="I464">
        <v>235765</v>
      </c>
      <c r="J464">
        <v>140497</v>
      </c>
      <c r="K464">
        <v>-482209</v>
      </c>
      <c r="L464">
        <v>-38443</v>
      </c>
      <c r="M464">
        <v>10.220000000000001</v>
      </c>
      <c r="N464">
        <f t="shared" si="36"/>
        <v>4045618</v>
      </c>
      <c r="O464">
        <v>25238100</v>
      </c>
      <c r="P464" s="2">
        <f t="shared" si="37"/>
        <v>16.029804145319972</v>
      </c>
      <c r="Q464" s="3" t="str">
        <f t="shared" si="38"/>
        <v/>
      </c>
      <c r="R464" s="2">
        <f t="shared" si="35"/>
        <v>16.029804145319972</v>
      </c>
      <c r="S464" s="5">
        <f t="shared" si="39"/>
        <v>25.793338200000004</v>
      </c>
    </row>
    <row r="465" spans="1:19" x14ac:dyDescent="0.4">
      <c r="A465">
        <v>20210810</v>
      </c>
      <c r="B465" s="1">
        <v>0.64583333333333337</v>
      </c>
      <c r="C465">
        <v>159555</v>
      </c>
      <c r="D465">
        <v>838840</v>
      </c>
      <c r="E465">
        <v>1564855</v>
      </c>
      <c r="F465">
        <v>463103</v>
      </c>
      <c r="G465">
        <v>179497</v>
      </c>
      <c r="H465">
        <v>991881</v>
      </c>
      <c r="I465">
        <v>262283</v>
      </c>
      <c r="J465">
        <v>69002</v>
      </c>
      <c r="K465">
        <v>-390161</v>
      </c>
      <c r="L465">
        <v>-48605</v>
      </c>
      <c r="M465">
        <v>10.84</v>
      </c>
      <c r="N465">
        <f t="shared" si="36"/>
        <v>4090250</v>
      </c>
      <c r="O465">
        <v>24759650</v>
      </c>
      <c r="P465" s="2">
        <f t="shared" si="37"/>
        <v>16.519821564521308</v>
      </c>
      <c r="Q465" s="3" t="str">
        <f t="shared" si="38"/>
        <v/>
      </c>
      <c r="R465" s="2">
        <f t="shared" si="35"/>
        <v>16.519821564521308</v>
      </c>
      <c r="S465" s="5">
        <f t="shared" si="39"/>
        <v>26.839460599999999</v>
      </c>
    </row>
    <row r="466" spans="1:19" x14ac:dyDescent="0.4">
      <c r="A466">
        <v>20210810</v>
      </c>
      <c r="B466" s="1">
        <v>0.66666666666666663</v>
      </c>
      <c r="C466">
        <v>161645</v>
      </c>
      <c r="D466">
        <v>838163</v>
      </c>
      <c r="E466">
        <v>676037</v>
      </c>
      <c r="F466">
        <v>297461</v>
      </c>
      <c r="G466">
        <v>148216</v>
      </c>
      <c r="H466">
        <v>867850</v>
      </c>
      <c r="I466">
        <v>755414</v>
      </c>
      <c r="J466">
        <v>3289</v>
      </c>
      <c r="K466">
        <v>-280094</v>
      </c>
      <c r="L466">
        <v>-52515</v>
      </c>
      <c r="M466">
        <v>12.64</v>
      </c>
      <c r="N466">
        <f t="shared" si="36"/>
        <v>3415466</v>
      </c>
      <c r="O466">
        <v>25126750</v>
      </c>
      <c r="P466" s="2">
        <f t="shared" si="37"/>
        <v>13.592947754882745</v>
      </c>
      <c r="Q466" s="3" t="str">
        <f t="shared" si="38"/>
        <v/>
      </c>
      <c r="R466" s="2">
        <f t="shared" si="35"/>
        <v>13.592947754882745</v>
      </c>
      <c r="S466" s="5">
        <f t="shared" si="39"/>
        <v>31.760211999999999</v>
      </c>
    </row>
    <row r="467" spans="1:19" x14ac:dyDescent="0.4">
      <c r="A467">
        <v>20210810</v>
      </c>
      <c r="B467" s="1">
        <v>0.6875</v>
      </c>
      <c r="C467">
        <v>173502</v>
      </c>
      <c r="D467">
        <v>721854</v>
      </c>
      <c r="E467">
        <v>773905</v>
      </c>
      <c r="F467">
        <v>490014</v>
      </c>
      <c r="G467">
        <v>157472</v>
      </c>
      <c r="H467">
        <v>790508</v>
      </c>
      <c r="I467">
        <v>373696</v>
      </c>
      <c r="J467">
        <v>37538</v>
      </c>
      <c r="K467">
        <v>-10286</v>
      </c>
      <c r="L467">
        <v>-41179</v>
      </c>
      <c r="M467">
        <v>12.79</v>
      </c>
      <c r="N467">
        <f t="shared" si="36"/>
        <v>3467024</v>
      </c>
      <c r="O467">
        <v>24604400</v>
      </c>
      <c r="P467" s="2">
        <f t="shared" si="37"/>
        <v>14.091073141389344</v>
      </c>
      <c r="Q467" s="3" t="str">
        <f t="shared" si="38"/>
        <v/>
      </c>
      <c r="R467" s="2">
        <f t="shared" si="35"/>
        <v>14.091073141389344</v>
      </c>
      <c r="S467" s="5">
        <f t="shared" si="39"/>
        <v>31.4690276</v>
      </c>
    </row>
    <row r="468" spans="1:19" x14ac:dyDescent="0.4">
      <c r="A468">
        <v>20210810</v>
      </c>
      <c r="B468" s="1">
        <v>0.70833333333333337</v>
      </c>
      <c r="C468">
        <v>162751</v>
      </c>
      <c r="D468">
        <v>616381</v>
      </c>
      <c r="E468">
        <v>1122305</v>
      </c>
      <c r="F468">
        <v>526982</v>
      </c>
      <c r="G468">
        <v>155430</v>
      </c>
      <c r="H468">
        <v>476326</v>
      </c>
      <c r="I468">
        <v>246746</v>
      </c>
      <c r="J468">
        <v>37906</v>
      </c>
      <c r="K468">
        <v>128915</v>
      </c>
      <c r="L468">
        <v>-41424</v>
      </c>
      <c r="M468">
        <v>12.79</v>
      </c>
      <c r="N468">
        <f t="shared" si="36"/>
        <v>3432318</v>
      </c>
      <c r="O468">
        <v>24257350</v>
      </c>
      <c r="P468" s="2">
        <f t="shared" si="37"/>
        <v>14.149600018138832</v>
      </c>
      <c r="Q468" s="3" t="str">
        <f t="shared" si="38"/>
        <v/>
      </c>
      <c r="R468" s="2">
        <f t="shared" si="35"/>
        <v>14.149600018138832</v>
      </c>
      <c r="S468" s="5">
        <f t="shared" si="39"/>
        <v>31.02515065</v>
      </c>
    </row>
    <row r="469" spans="1:19" x14ac:dyDescent="0.4">
      <c r="A469">
        <v>20210810</v>
      </c>
      <c r="B469" s="1">
        <v>0.72916666666666663</v>
      </c>
      <c r="C469">
        <v>175812</v>
      </c>
      <c r="D469">
        <v>505722</v>
      </c>
      <c r="E469">
        <v>1159073</v>
      </c>
      <c r="F469">
        <v>728818</v>
      </c>
      <c r="G469">
        <v>197871</v>
      </c>
      <c r="H469">
        <v>730428</v>
      </c>
      <c r="I469">
        <v>180493</v>
      </c>
      <c r="J469">
        <v>23644</v>
      </c>
      <c r="K469">
        <v>306476</v>
      </c>
      <c r="L469">
        <v>-34965</v>
      </c>
      <c r="M469">
        <v>13.41</v>
      </c>
      <c r="N469">
        <f t="shared" si="36"/>
        <v>3973372</v>
      </c>
      <c r="O469">
        <v>23801600</v>
      </c>
      <c r="P469" s="2">
        <f t="shared" si="37"/>
        <v>16.693718069373489</v>
      </c>
      <c r="Q469" s="3" t="str">
        <f t="shared" si="38"/>
        <v/>
      </c>
      <c r="R469" s="2">
        <f t="shared" si="35"/>
        <v>16.693718069373489</v>
      </c>
      <c r="S469" s="5">
        <f t="shared" si="39"/>
        <v>31.917945599999999</v>
      </c>
    </row>
    <row r="470" spans="1:19" x14ac:dyDescent="0.4">
      <c r="A470">
        <v>20210810</v>
      </c>
      <c r="B470" s="1">
        <v>0.75</v>
      </c>
      <c r="C470">
        <v>139209</v>
      </c>
      <c r="D470">
        <v>406304</v>
      </c>
      <c r="E470">
        <v>1212855</v>
      </c>
      <c r="F470">
        <v>859201</v>
      </c>
      <c r="G470">
        <v>140467</v>
      </c>
      <c r="H470">
        <v>831535</v>
      </c>
      <c r="I470">
        <v>131453</v>
      </c>
      <c r="J470">
        <v>51128</v>
      </c>
      <c r="K470">
        <v>402649</v>
      </c>
      <c r="L470">
        <v>-28873</v>
      </c>
      <c r="M470">
        <v>13.41</v>
      </c>
      <c r="N470">
        <f t="shared" si="36"/>
        <v>4145928</v>
      </c>
      <c r="O470">
        <v>23066050</v>
      </c>
      <c r="P470" s="2">
        <f t="shared" si="37"/>
        <v>17.974156823556701</v>
      </c>
      <c r="Q470" t="str">
        <f t="shared" si="38"/>
        <v/>
      </c>
      <c r="R470" s="2">
        <f t="shared" si="35"/>
        <v>17.974156823556701</v>
      </c>
      <c r="S470" s="5">
        <f t="shared" si="39"/>
        <v>30.931573050000001</v>
      </c>
    </row>
    <row r="471" spans="1:19" x14ac:dyDescent="0.4">
      <c r="A471">
        <v>20210810</v>
      </c>
      <c r="B471" s="1">
        <v>0.77083333333333337</v>
      </c>
      <c r="C471">
        <v>148702</v>
      </c>
      <c r="D471">
        <v>292337</v>
      </c>
      <c r="E471">
        <v>1129849</v>
      </c>
      <c r="F471">
        <v>1016657</v>
      </c>
      <c r="G471">
        <v>138053</v>
      </c>
      <c r="H471">
        <v>852620</v>
      </c>
      <c r="I471">
        <v>87134</v>
      </c>
      <c r="J471">
        <v>110007</v>
      </c>
      <c r="K471">
        <v>542326</v>
      </c>
      <c r="L471">
        <v>-33903</v>
      </c>
      <c r="M471">
        <v>14.96</v>
      </c>
      <c r="N471">
        <f t="shared" si="36"/>
        <v>4283782</v>
      </c>
      <c r="O471">
        <v>22866900</v>
      </c>
      <c r="P471" s="2">
        <f t="shared" si="37"/>
        <v>18.733549366114339</v>
      </c>
      <c r="Q471" s="3" t="str">
        <f t="shared" si="38"/>
        <v/>
      </c>
      <c r="R471" s="2">
        <f t="shared" si="35"/>
        <v>18.733549366114339</v>
      </c>
      <c r="S471" s="5">
        <f t="shared" si="39"/>
        <v>34.2088824</v>
      </c>
    </row>
    <row r="472" spans="1:19" x14ac:dyDescent="0.4">
      <c r="A472">
        <v>20210810</v>
      </c>
      <c r="B472" s="1">
        <v>0.79166666666666663</v>
      </c>
      <c r="C472">
        <v>138438</v>
      </c>
      <c r="D472">
        <v>392089</v>
      </c>
      <c r="E472">
        <v>1193784</v>
      </c>
      <c r="F472">
        <v>937044</v>
      </c>
      <c r="G472">
        <v>146917</v>
      </c>
      <c r="H472">
        <v>870120</v>
      </c>
      <c r="I472">
        <v>138628</v>
      </c>
      <c r="J472">
        <v>146400</v>
      </c>
      <c r="K472">
        <v>511015</v>
      </c>
      <c r="L472">
        <v>-36255</v>
      </c>
      <c r="M472">
        <v>13.41</v>
      </c>
      <c r="N472">
        <f t="shared" si="36"/>
        <v>4438180</v>
      </c>
      <c r="O472">
        <v>22985500</v>
      </c>
      <c r="P472" s="2">
        <f t="shared" si="37"/>
        <v>19.308607600443757</v>
      </c>
      <c r="Q472" s="3" t="str">
        <f t="shared" si="38"/>
        <v/>
      </c>
      <c r="R472" s="2">
        <f t="shared" si="35"/>
        <v>19.308607600443757</v>
      </c>
      <c r="S472" s="5">
        <f t="shared" si="39"/>
        <v>30.823555500000001</v>
      </c>
    </row>
    <row r="473" spans="1:19" x14ac:dyDescent="0.4">
      <c r="A473">
        <v>20210810</v>
      </c>
      <c r="B473" s="1">
        <v>0.8125</v>
      </c>
      <c r="C473">
        <v>166539</v>
      </c>
      <c r="D473">
        <v>415770</v>
      </c>
      <c r="E473">
        <v>1366293</v>
      </c>
      <c r="F473">
        <v>979962</v>
      </c>
      <c r="G473">
        <v>141880</v>
      </c>
      <c r="H473">
        <v>859621</v>
      </c>
      <c r="I473">
        <v>237071</v>
      </c>
      <c r="J473">
        <v>128909</v>
      </c>
      <c r="K473">
        <v>504757</v>
      </c>
      <c r="L473">
        <v>-33162</v>
      </c>
      <c r="M473">
        <v>13.41</v>
      </c>
      <c r="N473">
        <f t="shared" si="36"/>
        <v>4767640</v>
      </c>
      <c r="O473">
        <v>22570350</v>
      </c>
      <c r="P473" s="2">
        <f t="shared" si="37"/>
        <v>21.123465076970451</v>
      </c>
      <c r="Q473" s="3" t="str">
        <f t="shared" si="38"/>
        <v/>
      </c>
      <c r="R473" s="2">
        <f t="shared" si="35"/>
        <v>21.123465076970451</v>
      </c>
      <c r="S473" s="5">
        <f t="shared" si="39"/>
        <v>30.266839350000001</v>
      </c>
    </row>
    <row r="474" spans="1:19" x14ac:dyDescent="0.4">
      <c r="A474">
        <v>20210810</v>
      </c>
      <c r="B474" s="1">
        <v>0.83333333333333337</v>
      </c>
      <c r="C474">
        <v>151632</v>
      </c>
      <c r="D474">
        <v>465036</v>
      </c>
      <c r="E474">
        <v>1177782</v>
      </c>
      <c r="F474">
        <v>936262</v>
      </c>
      <c r="G474">
        <v>152631</v>
      </c>
      <c r="H474">
        <v>855668</v>
      </c>
      <c r="I474">
        <v>292112</v>
      </c>
      <c r="J474">
        <v>109075</v>
      </c>
      <c r="K474">
        <v>565075</v>
      </c>
      <c r="L474">
        <v>-40361</v>
      </c>
      <c r="M474">
        <v>12.93</v>
      </c>
      <c r="N474">
        <f t="shared" si="36"/>
        <v>4664912</v>
      </c>
      <c r="O474">
        <v>21919450</v>
      </c>
      <c r="P474" s="2">
        <f t="shared" si="37"/>
        <v>21.282066840180754</v>
      </c>
      <c r="Q474" s="3" t="str">
        <f t="shared" si="38"/>
        <v/>
      </c>
      <c r="R474" s="2">
        <f t="shared" si="35"/>
        <v>21.282066840180754</v>
      </c>
      <c r="S474" s="5">
        <f t="shared" si="39"/>
        <v>28.341848850000002</v>
      </c>
    </row>
    <row r="475" spans="1:19" x14ac:dyDescent="0.4">
      <c r="A475">
        <v>20210810</v>
      </c>
      <c r="B475" s="1">
        <v>0.85416666666666663</v>
      </c>
      <c r="C475">
        <v>198550</v>
      </c>
      <c r="D475">
        <v>430341</v>
      </c>
      <c r="E475">
        <v>1164104</v>
      </c>
      <c r="F475">
        <v>887308</v>
      </c>
      <c r="G475">
        <v>130027</v>
      </c>
      <c r="H475">
        <v>793674</v>
      </c>
      <c r="I475">
        <v>293161</v>
      </c>
      <c r="J475">
        <v>89899</v>
      </c>
      <c r="K475">
        <v>352268</v>
      </c>
      <c r="L475">
        <v>-32456</v>
      </c>
      <c r="M475">
        <v>10.57</v>
      </c>
      <c r="N475">
        <f t="shared" si="36"/>
        <v>4306876</v>
      </c>
      <c r="O475">
        <v>21661450</v>
      </c>
      <c r="P475" s="2">
        <f t="shared" si="37"/>
        <v>19.882676367463858</v>
      </c>
      <c r="Q475" s="3" t="str">
        <f t="shared" si="38"/>
        <v/>
      </c>
      <c r="R475" s="2">
        <f t="shared" si="35"/>
        <v>19.882676367463858</v>
      </c>
      <c r="S475" s="5">
        <f t="shared" si="39"/>
        <v>22.896152650000001</v>
      </c>
    </row>
    <row r="476" spans="1:19" x14ac:dyDescent="0.4">
      <c r="A476">
        <v>20210810</v>
      </c>
      <c r="B476" s="1">
        <v>0.875</v>
      </c>
      <c r="C476">
        <v>170877</v>
      </c>
      <c r="D476">
        <v>522592</v>
      </c>
      <c r="E476">
        <v>1147780</v>
      </c>
      <c r="F476">
        <v>848219</v>
      </c>
      <c r="G476">
        <v>168435</v>
      </c>
      <c r="H476">
        <v>976280</v>
      </c>
      <c r="I476">
        <v>305140</v>
      </c>
      <c r="J476">
        <v>77641</v>
      </c>
      <c r="K476">
        <v>319845</v>
      </c>
      <c r="L476">
        <v>-41001</v>
      </c>
      <c r="M476">
        <v>9.84</v>
      </c>
      <c r="N476">
        <f t="shared" si="36"/>
        <v>4495808</v>
      </c>
      <c r="O476">
        <v>21497600</v>
      </c>
      <c r="P476" s="2">
        <f t="shared" si="37"/>
        <v>20.913069365882702</v>
      </c>
      <c r="Q476" s="3" t="str">
        <f t="shared" si="38"/>
        <v/>
      </c>
      <c r="R476" s="2">
        <f t="shared" si="35"/>
        <v>20.913069365882702</v>
      </c>
      <c r="S476" s="5">
        <f t="shared" si="39"/>
        <v>21.153638399999998</v>
      </c>
    </row>
    <row r="477" spans="1:19" x14ac:dyDescent="0.4">
      <c r="A477">
        <v>20210810</v>
      </c>
      <c r="B477" s="1">
        <v>0.89583333333333337</v>
      </c>
      <c r="C477">
        <v>175103</v>
      </c>
      <c r="D477">
        <v>597784</v>
      </c>
      <c r="E477">
        <v>1290580</v>
      </c>
      <c r="F477">
        <v>567506</v>
      </c>
      <c r="G477">
        <v>173487</v>
      </c>
      <c r="H477">
        <v>745108</v>
      </c>
      <c r="I477">
        <v>290444</v>
      </c>
      <c r="J477">
        <v>66768</v>
      </c>
      <c r="K477">
        <v>341803</v>
      </c>
      <c r="L477">
        <v>-34514</v>
      </c>
      <c r="M477">
        <v>9.56</v>
      </c>
      <c r="N477">
        <f t="shared" si="36"/>
        <v>4214069</v>
      </c>
      <c r="O477">
        <v>21459800</v>
      </c>
      <c r="P477" s="2">
        <f t="shared" si="37"/>
        <v>19.637037623836196</v>
      </c>
      <c r="Q477" t="str">
        <f t="shared" si="38"/>
        <v/>
      </c>
      <c r="R477" s="2">
        <f t="shared" si="35"/>
        <v>19.637037623836196</v>
      </c>
      <c r="S477" s="5">
        <f t="shared" si="39"/>
        <v>20.5155688</v>
      </c>
    </row>
    <row r="478" spans="1:19" x14ac:dyDescent="0.4">
      <c r="A478">
        <v>20210810</v>
      </c>
      <c r="B478" s="1">
        <v>0.91666666666666663</v>
      </c>
      <c r="C478">
        <v>170146</v>
      </c>
      <c r="D478">
        <v>533732</v>
      </c>
      <c r="E478">
        <v>1261035</v>
      </c>
      <c r="F478">
        <v>447958</v>
      </c>
      <c r="G478">
        <v>78229</v>
      </c>
      <c r="H478">
        <v>824115</v>
      </c>
      <c r="I478">
        <v>212510</v>
      </c>
      <c r="J478">
        <v>66169</v>
      </c>
      <c r="K478">
        <v>250459</v>
      </c>
      <c r="L478">
        <v>-42327</v>
      </c>
      <c r="M478">
        <v>9.33</v>
      </c>
      <c r="N478">
        <f t="shared" si="36"/>
        <v>3802026</v>
      </c>
      <c r="O478">
        <v>20858900</v>
      </c>
      <c r="P478" s="2">
        <f t="shared" si="37"/>
        <v>18.227356188485491</v>
      </c>
      <c r="Q478" s="3" t="str">
        <f t="shared" si="38"/>
        <v/>
      </c>
      <c r="R478" s="2">
        <f t="shared" si="35"/>
        <v>18.227356188485491</v>
      </c>
      <c r="S478" s="5">
        <f t="shared" si="39"/>
        <v>19.4613537</v>
      </c>
    </row>
    <row r="479" spans="1:19" x14ac:dyDescent="0.4">
      <c r="A479">
        <v>20210810</v>
      </c>
      <c r="B479" s="1">
        <v>0.9375</v>
      </c>
      <c r="C479">
        <v>129132</v>
      </c>
      <c r="D479">
        <v>589490</v>
      </c>
      <c r="E479">
        <v>1308823</v>
      </c>
      <c r="F479">
        <v>576645</v>
      </c>
      <c r="G479">
        <v>92073</v>
      </c>
      <c r="H479">
        <v>812645</v>
      </c>
      <c r="I479">
        <v>166964</v>
      </c>
      <c r="J479">
        <v>55148</v>
      </c>
      <c r="K479">
        <v>200674</v>
      </c>
      <c r="L479">
        <v>-35796</v>
      </c>
      <c r="M479">
        <v>8.99</v>
      </c>
      <c r="N479">
        <f t="shared" si="36"/>
        <v>3895798</v>
      </c>
      <c r="O479">
        <v>20690300</v>
      </c>
      <c r="P479" s="2">
        <f t="shared" si="37"/>
        <v>18.829103492941137</v>
      </c>
      <c r="Q479" s="3" t="str">
        <f t="shared" si="38"/>
        <v/>
      </c>
      <c r="R479" s="2">
        <f t="shared" si="35"/>
        <v>18.829103492941137</v>
      </c>
      <c r="S479" s="5">
        <f t="shared" si="39"/>
        <v>18.600579700000001</v>
      </c>
    </row>
    <row r="480" spans="1:19" x14ac:dyDescent="0.4">
      <c r="A480">
        <v>20210810</v>
      </c>
      <c r="B480" s="1">
        <v>0.95833333333333337</v>
      </c>
      <c r="C480">
        <v>133595</v>
      </c>
      <c r="D480">
        <v>569190</v>
      </c>
      <c r="E480">
        <v>1338930</v>
      </c>
      <c r="F480">
        <v>443996</v>
      </c>
      <c r="G480">
        <v>84618</v>
      </c>
      <c r="H480">
        <v>829335</v>
      </c>
      <c r="I480">
        <v>115333</v>
      </c>
      <c r="J480">
        <v>37084</v>
      </c>
      <c r="K480">
        <v>93663</v>
      </c>
      <c r="L480">
        <v>-29829</v>
      </c>
      <c r="M480">
        <v>7.88</v>
      </c>
      <c r="N480">
        <f t="shared" si="36"/>
        <v>3615915</v>
      </c>
      <c r="O480">
        <v>19952250</v>
      </c>
      <c r="P480" s="2">
        <f t="shared" si="37"/>
        <v>18.122843288350939</v>
      </c>
      <c r="Q480" s="3" t="str">
        <f t="shared" si="38"/>
        <v/>
      </c>
      <c r="R480" s="2">
        <f t="shared" si="35"/>
        <v>18.122843288350939</v>
      </c>
      <c r="S480" s="5">
        <f t="shared" si="39"/>
        <v>15.722372999999999</v>
      </c>
    </row>
    <row r="481" spans="1:19" x14ac:dyDescent="0.4">
      <c r="A481">
        <v>20210810</v>
      </c>
      <c r="B481" s="1">
        <v>0.97916666666666663</v>
      </c>
      <c r="C481">
        <v>130910</v>
      </c>
      <c r="D481">
        <v>533822</v>
      </c>
      <c r="E481">
        <v>1301377</v>
      </c>
      <c r="F481">
        <v>419511</v>
      </c>
      <c r="G481">
        <v>98245</v>
      </c>
      <c r="H481">
        <v>724052</v>
      </c>
      <c r="I481">
        <v>56516</v>
      </c>
      <c r="J481">
        <v>33574</v>
      </c>
      <c r="K481">
        <v>112321</v>
      </c>
      <c r="L481">
        <v>-22712</v>
      </c>
      <c r="M481">
        <v>7.42</v>
      </c>
      <c r="N481">
        <f t="shared" si="36"/>
        <v>3387616</v>
      </c>
      <c r="O481">
        <v>18979050</v>
      </c>
      <c r="P481" s="2">
        <f t="shared" si="37"/>
        <v>17.849239029350784</v>
      </c>
      <c r="Q481" s="3" t="str">
        <f t="shared" si="38"/>
        <v/>
      </c>
      <c r="R481" s="2">
        <f t="shared" si="35"/>
        <v>17.849239029350784</v>
      </c>
      <c r="S481" s="5">
        <f t="shared" si="39"/>
        <v>14.082455100000001</v>
      </c>
    </row>
  </sheetData>
  <phoneticPr fontId="1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5EC5-D93A-4444-BB0C-61F0B19734FF}">
  <dimension ref="A1:S120"/>
  <sheetViews>
    <sheetView topLeftCell="A93" zoomScale="85" zoomScaleNormal="85" workbookViewId="0">
      <selection activeCell="E118" sqref="E118"/>
    </sheetView>
  </sheetViews>
  <sheetFormatPr defaultRowHeight="18.75" x14ac:dyDescent="0.4"/>
  <cols>
    <col min="1" max="1" width="9.5" bestFit="1" customWidth="1"/>
    <col min="2" max="2" width="12.75" bestFit="1" customWidth="1"/>
    <col min="3" max="6" width="8.375" bestFit="1" customWidth="1"/>
    <col min="7" max="7" width="7.5" bestFit="1" customWidth="1"/>
    <col min="8" max="11" width="8.375" bestFit="1" customWidth="1"/>
    <col min="12" max="12" width="7.375" bestFit="1" customWidth="1"/>
    <col min="13" max="13" width="26" bestFit="1" customWidth="1"/>
    <col min="14" max="14" width="25" bestFit="1" customWidth="1"/>
    <col min="15" max="15" width="12.5" bestFit="1" customWidth="1"/>
    <col min="16" max="16" width="18.5" bestFit="1" customWidth="1"/>
    <col min="17" max="17" width="6.25" bestFit="1" customWidth="1"/>
    <col min="18" max="18" width="29.25" bestFit="1" customWidth="1"/>
    <col min="19" max="19" width="15.5" bestFit="1" customWidth="1"/>
  </cols>
  <sheetData>
    <row r="1" spans="1:19" x14ac:dyDescent="0.4">
      <c r="A1" t="s">
        <v>51</v>
      </c>
      <c r="B1" t="s">
        <v>52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49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50</v>
      </c>
    </row>
    <row r="2" spans="1:19" x14ac:dyDescent="0.4">
      <c r="A2" cm="1">
        <f t="array" ref="A2:S114">_xlfn._xlws.FILTER('8月1日~8月10日の全国の取引状況'!A2:S481,'8月1日~8月10日の全国の取引状況'!R2:R481&lt;0,"")</f>
        <v>20210801</v>
      </c>
      <c r="B2" s="1">
        <v>0.72916666666666663</v>
      </c>
      <c r="C2">
        <v>100606</v>
      </c>
      <c r="D2">
        <v>145873</v>
      </c>
      <c r="E2">
        <v>-542288</v>
      </c>
      <c r="F2">
        <v>45280</v>
      </c>
      <c r="G2">
        <v>895</v>
      </c>
      <c r="H2">
        <v>217513</v>
      </c>
      <c r="I2">
        <v>-91693</v>
      </c>
      <c r="J2">
        <v>-200973</v>
      </c>
      <c r="K2">
        <v>-82172</v>
      </c>
      <c r="L2">
        <v>-39898</v>
      </c>
      <c r="M2">
        <v>9.89</v>
      </c>
      <c r="N2">
        <v>-446857</v>
      </c>
      <c r="O2">
        <v>21001300</v>
      </c>
      <c r="P2" s="2">
        <v>2.1277587577911845</v>
      </c>
      <c r="Q2" s="3" t="str">
        <v>〇</v>
      </c>
      <c r="R2" s="2">
        <v>-2.1277587577911845</v>
      </c>
      <c r="S2" s="5">
        <v>20.770285699999999</v>
      </c>
    </row>
    <row r="3" spans="1:19" x14ac:dyDescent="0.4">
      <c r="A3">
        <v>20210801</v>
      </c>
      <c r="B3" s="1">
        <v>0.75</v>
      </c>
      <c r="C3">
        <v>4003</v>
      </c>
      <c r="D3">
        <v>4319</v>
      </c>
      <c r="E3">
        <v>-50796</v>
      </c>
      <c r="F3">
        <v>9381</v>
      </c>
      <c r="G3">
        <v>35481</v>
      </c>
      <c r="H3">
        <v>123156</v>
      </c>
      <c r="I3">
        <v>59671</v>
      </c>
      <c r="J3">
        <v>-180540</v>
      </c>
      <c r="K3">
        <v>-64885</v>
      </c>
      <c r="L3">
        <v>-26482</v>
      </c>
      <c r="M3">
        <v>9.85</v>
      </c>
      <c r="N3">
        <v>-86692</v>
      </c>
      <c r="O3">
        <v>20793150</v>
      </c>
      <c r="P3" s="2">
        <v>0.41692576641826756</v>
      </c>
      <c r="Q3" s="3" t="str">
        <v>〇</v>
      </c>
      <c r="R3" s="2">
        <v>-0.41692576641826756</v>
      </c>
      <c r="S3" s="5">
        <v>20.481252749999999</v>
      </c>
    </row>
    <row r="4" spans="1:19" x14ac:dyDescent="0.4">
      <c r="A4">
        <v>20210801</v>
      </c>
      <c r="B4" s="1">
        <v>0.77083333333333337</v>
      </c>
      <c r="C4">
        <v>19048</v>
      </c>
      <c r="D4">
        <v>-80971</v>
      </c>
      <c r="E4">
        <v>-296689</v>
      </c>
      <c r="F4">
        <v>52325</v>
      </c>
      <c r="G4">
        <v>2566</v>
      </c>
      <c r="H4">
        <v>95372</v>
      </c>
      <c r="I4">
        <v>36812</v>
      </c>
      <c r="J4">
        <v>-134850</v>
      </c>
      <c r="K4">
        <v>4177</v>
      </c>
      <c r="L4">
        <v>-42155</v>
      </c>
      <c r="M4">
        <v>9.9600000000000009</v>
      </c>
      <c r="N4">
        <v>-344365</v>
      </c>
      <c r="O4">
        <v>20519900</v>
      </c>
      <c r="P4" s="2">
        <v>1.6782001861607512</v>
      </c>
      <c r="Q4" s="3" t="str">
        <v>〇</v>
      </c>
      <c r="R4" s="2">
        <v>-1.6782001861607512</v>
      </c>
      <c r="S4" s="5">
        <v>20.437820400000003</v>
      </c>
    </row>
    <row r="5" spans="1:19" x14ac:dyDescent="0.4">
      <c r="A5">
        <v>20210801</v>
      </c>
      <c r="B5" s="1">
        <v>0.79166666666666663</v>
      </c>
      <c r="C5">
        <v>-18035</v>
      </c>
      <c r="D5">
        <v>-19266</v>
      </c>
      <c r="E5">
        <v>-182814</v>
      </c>
      <c r="F5">
        <v>49687</v>
      </c>
      <c r="G5">
        <v>-11693</v>
      </c>
      <c r="H5">
        <v>-167339</v>
      </c>
      <c r="I5">
        <v>-21246</v>
      </c>
      <c r="J5">
        <v>-71680</v>
      </c>
      <c r="K5">
        <v>46955</v>
      </c>
      <c r="L5">
        <v>-43156</v>
      </c>
      <c r="M5">
        <v>9.9</v>
      </c>
      <c r="N5">
        <v>-438587</v>
      </c>
      <c r="O5">
        <v>20487950</v>
      </c>
      <c r="P5" s="2">
        <v>2.1407070985628138</v>
      </c>
      <c r="Q5" s="3" t="str">
        <v>〇</v>
      </c>
      <c r="R5" s="2">
        <v>-2.1407070985628138</v>
      </c>
      <c r="S5" s="5">
        <v>20.283070500000001</v>
      </c>
    </row>
    <row r="6" spans="1:19" x14ac:dyDescent="0.4">
      <c r="A6">
        <v>20210802</v>
      </c>
      <c r="B6" s="1">
        <v>0.25</v>
      </c>
      <c r="C6">
        <v>56737</v>
      </c>
      <c r="D6">
        <v>177556</v>
      </c>
      <c r="E6">
        <v>-102860</v>
      </c>
      <c r="F6">
        <v>-1389</v>
      </c>
      <c r="G6">
        <v>120258</v>
      </c>
      <c r="H6">
        <v>-234515</v>
      </c>
      <c r="I6">
        <v>-16403</v>
      </c>
      <c r="J6">
        <v>59200</v>
      </c>
      <c r="K6">
        <v>-149217</v>
      </c>
      <c r="L6">
        <v>-23707</v>
      </c>
      <c r="M6">
        <v>6.74</v>
      </c>
      <c r="N6">
        <v>-114340</v>
      </c>
      <c r="O6">
        <v>21500150</v>
      </c>
      <c r="P6" s="2">
        <v>0.53181024318434988</v>
      </c>
      <c r="Q6" s="3" t="str">
        <v>〇</v>
      </c>
      <c r="R6" s="2">
        <v>-0.53181024318434988</v>
      </c>
      <c r="S6" s="5">
        <v>14.4911011</v>
      </c>
    </row>
    <row r="7" spans="1:19" x14ac:dyDescent="0.4">
      <c r="A7">
        <v>20210802</v>
      </c>
      <c r="B7" s="1">
        <v>0.72916666666666663</v>
      </c>
      <c r="C7">
        <v>-12756</v>
      </c>
      <c r="D7">
        <v>-206950</v>
      </c>
      <c r="E7">
        <v>-53276</v>
      </c>
      <c r="F7">
        <v>68734</v>
      </c>
      <c r="G7">
        <v>-61285</v>
      </c>
      <c r="H7">
        <v>167949</v>
      </c>
      <c r="I7">
        <v>-66970</v>
      </c>
      <c r="J7">
        <v>-183876</v>
      </c>
      <c r="K7">
        <v>33901</v>
      </c>
      <c r="L7">
        <v>-59593</v>
      </c>
      <c r="M7">
        <v>13.79</v>
      </c>
      <c r="N7">
        <v>-374122</v>
      </c>
      <c r="O7">
        <v>23305700</v>
      </c>
      <c r="P7" s="2">
        <v>1.6052811114877477</v>
      </c>
      <c r="Q7" s="3" t="str">
        <v>〇</v>
      </c>
      <c r="R7" s="2">
        <v>-1.6052811114877477</v>
      </c>
      <c r="S7" s="5">
        <v>32.138560300000002</v>
      </c>
    </row>
    <row r="8" spans="1:19" x14ac:dyDescent="0.4">
      <c r="A8">
        <v>20210802</v>
      </c>
      <c r="B8" s="1">
        <v>0.75</v>
      </c>
      <c r="C8">
        <v>-22753</v>
      </c>
      <c r="D8">
        <v>-175779</v>
      </c>
      <c r="E8">
        <v>-122091</v>
      </c>
      <c r="F8">
        <v>172549</v>
      </c>
      <c r="G8">
        <v>-68883</v>
      </c>
      <c r="H8">
        <v>224784</v>
      </c>
      <c r="I8">
        <v>-53709</v>
      </c>
      <c r="J8">
        <v>-157439</v>
      </c>
      <c r="K8">
        <v>39207</v>
      </c>
      <c r="L8">
        <v>-47616</v>
      </c>
      <c r="M8">
        <v>16.010000000000002</v>
      </c>
      <c r="N8">
        <v>-211730</v>
      </c>
      <c r="O8">
        <v>22718850</v>
      </c>
      <c r="P8" s="2">
        <v>0.93195738340629042</v>
      </c>
      <c r="Q8" s="3" t="str">
        <v>〇</v>
      </c>
      <c r="R8" s="2">
        <v>-0.93195738340629042</v>
      </c>
      <c r="S8" s="5">
        <v>36.372878850000006</v>
      </c>
    </row>
    <row r="9" spans="1:19" x14ac:dyDescent="0.4">
      <c r="A9">
        <v>20210802</v>
      </c>
      <c r="B9" s="1">
        <v>0.77083333333333337</v>
      </c>
      <c r="C9">
        <v>-7724</v>
      </c>
      <c r="D9">
        <v>-239592</v>
      </c>
      <c r="E9">
        <v>-265276</v>
      </c>
      <c r="F9">
        <v>125897</v>
      </c>
      <c r="G9">
        <v>-52917</v>
      </c>
      <c r="H9">
        <v>-11631</v>
      </c>
      <c r="I9">
        <v>-41251</v>
      </c>
      <c r="J9">
        <v>-108365</v>
      </c>
      <c r="K9">
        <v>143563</v>
      </c>
      <c r="L9">
        <v>-31367</v>
      </c>
      <c r="M9">
        <v>16.21</v>
      </c>
      <c r="N9">
        <v>-488663</v>
      </c>
      <c r="O9">
        <v>22708000</v>
      </c>
      <c r="P9" s="2">
        <v>2.1519420468557335</v>
      </c>
      <c r="Q9" s="3" t="str">
        <v>〇</v>
      </c>
      <c r="R9" s="2">
        <v>-2.1519420468557335</v>
      </c>
      <c r="S9" s="5">
        <v>36.809668000000002</v>
      </c>
    </row>
    <row r="10" spans="1:19" x14ac:dyDescent="0.4">
      <c r="A10">
        <v>20210802</v>
      </c>
      <c r="B10" s="1">
        <v>0.79166666666666663</v>
      </c>
      <c r="C10">
        <v>-35551</v>
      </c>
      <c r="D10">
        <v>-128989</v>
      </c>
      <c r="E10">
        <v>-327056</v>
      </c>
      <c r="F10">
        <v>28712</v>
      </c>
      <c r="G10">
        <v>-57521</v>
      </c>
      <c r="H10">
        <v>-125767</v>
      </c>
      <c r="I10">
        <v>-99090</v>
      </c>
      <c r="J10">
        <v>-59524</v>
      </c>
      <c r="K10">
        <v>188565</v>
      </c>
      <c r="L10">
        <v>-18142</v>
      </c>
      <c r="M10">
        <v>12.76</v>
      </c>
      <c r="N10">
        <v>-634363</v>
      </c>
      <c r="O10">
        <v>22784600</v>
      </c>
      <c r="P10" s="2">
        <v>2.7841743984972305</v>
      </c>
      <c r="Q10" s="3" t="str">
        <v>〇</v>
      </c>
      <c r="R10" s="2">
        <v>-2.7841743984972305</v>
      </c>
      <c r="S10" s="5">
        <v>29.073149600000001</v>
      </c>
    </row>
    <row r="11" spans="1:19" x14ac:dyDescent="0.4">
      <c r="A11">
        <v>20210802</v>
      </c>
      <c r="B11" s="1">
        <v>0.8125</v>
      </c>
      <c r="C11">
        <v>-9701</v>
      </c>
      <c r="D11">
        <v>-182668</v>
      </c>
      <c r="E11">
        <v>-480442</v>
      </c>
      <c r="F11">
        <v>22678</v>
      </c>
      <c r="G11">
        <v>-40619</v>
      </c>
      <c r="H11">
        <v>-128804</v>
      </c>
      <c r="I11">
        <v>-118735</v>
      </c>
      <c r="J11">
        <v>-22562</v>
      </c>
      <c r="K11">
        <v>268376</v>
      </c>
      <c r="L11">
        <v>-20246</v>
      </c>
      <c r="M11">
        <v>10.64</v>
      </c>
      <c r="N11">
        <v>-712723</v>
      </c>
      <c r="O11">
        <v>22581550</v>
      </c>
      <c r="P11" s="2">
        <v>3.1562182401119498</v>
      </c>
      <c r="Q11" s="3" t="str">
        <v>〇</v>
      </c>
      <c r="R11" s="2">
        <v>-3.1562182401119498</v>
      </c>
      <c r="S11" s="5">
        <v>24.0267692</v>
      </c>
    </row>
    <row r="12" spans="1:19" x14ac:dyDescent="0.4">
      <c r="A12">
        <v>20210802</v>
      </c>
      <c r="B12" s="1">
        <v>0.83333333333333337</v>
      </c>
      <c r="C12">
        <v>13574</v>
      </c>
      <c r="D12">
        <v>-69781</v>
      </c>
      <c r="E12">
        <v>-674591</v>
      </c>
      <c r="F12">
        <v>75201</v>
      </c>
      <c r="G12">
        <v>-48343</v>
      </c>
      <c r="H12">
        <v>-39977</v>
      </c>
      <c r="I12">
        <v>-144811</v>
      </c>
      <c r="J12">
        <v>5587</v>
      </c>
      <c r="K12">
        <v>198840</v>
      </c>
      <c r="L12">
        <v>-13677</v>
      </c>
      <c r="M12">
        <v>10.01</v>
      </c>
      <c r="N12">
        <v>-697978</v>
      </c>
      <c r="O12">
        <v>21956700</v>
      </c>
      <c r="P12" s="2">
        <v>3.1788838942099678</v>
      </c>
      <c r="Q12" s="3" t="str">
        <v>〇</v>
      </c>
      <c r="R12" s="2">
        <v>-3.1788838942099678</v>
      </c>
      <c r="S12" s="5">
        <v>21.978656699999998</v>
      </c>
    </row>
    <row r="13" spans="1:19" x14ac:dyDescent="0.4">
      <c r="A13">
        <v>20210802</v>
      </c>
      <c r="B13" s="1">
        <v>0.85416666666666663</v>
      </c>
      <c r="C13">
        <v>-39218</v>
      </c>
      <c r="D13">
        <v>-190407</v>
      </c>
      <c r="E13">
        <v>-217830</v>
      </c>
      <c r="F13">
        <v>64003</v>
      </c>
      <c r="G13">
        <v>-42573</v>
      </c>
      <c r="H13">
        <v>-34451</v>
      </c>
      <c r="I13">
        <v>-153310</v>
      </c>
      <c r="J13">
        <v>-20702</v>
      </c>
      <c r="K13">
        <v>179527</v>
      </c>
      <c r="L13">
        <v>5884</v>
      </c>
      <c r="M13">
        <v>9.83</v>
      </c>
      <c r="N13">
        <v>-449077</v>
      </c>
      <c r="O13">
        <v>21708150</v>
      </c>
      <c r="P13" s="2">
        <v>2.0687023076586444</v>
      </c>
      <c r="Q13" s="3" t="str">
        <v>〇</v>
      </c>
      <c r="R13" s="2">
        <v>-2.0687023076586444</v>
      </c>
      <c r="S13" s="5">
        <v>21.339111450000001</v>
      </c>
    </row>
    <row r="14" spans="1:19" x14ac:dyDescent="0.4">
      <c r="A14">
        <v>20210802</v>
      </c>
      <c r="B14" s="1">
        <v>0.875</v>
      </c>
      <c r="C14">
        <v>-8929</v>
      </c>
      <c r="D14">
        <v>-150881</v>
      </c>
      <c r="E14">
        <v>-752002</v>
      </c>
      <c r="F14">
        <v>-41609</v>
      </c>
      <c r="G14">
        <v>-30603</v>
      </c>
      <c r="H14">
        <v>11605</v>
      </c>
      <c r="I14">
        <v>-98978</v>
      </c>
      <c r="J14">
        <v>-30077</v>
      </c>
      <c r="K14">
        <v>196757</v>
      </c>
      <c r="L14">
        <v>8718</v>
      </c>
      <c r="M14">
        <v>9.59</v>
      </c>
      <c r="N14">
        <v>-895999</v>
      </c>
      <c r="O14">
        <v>21653650</v>
      </c>
      <c r="P14" s="2">
        <v>4.13786590251528</v>
      </c>
      <c r="Q14" s="3" t="str">
        <v>〇</v>
      </c>
      <c r="R14" s="2">
        <v>-4.13786590251528</v>
      </c>
      <c r="S14" s="5">
        <v>20.765850350000001</v>
      </c>
    </row>
    <row r="15" spans="1:19" x14ac:dyDescent="0.4">
      <c r="A15">
        <v>20210802</v>
      </c>
      <c r="B15" s="1">
        <v>0.89583333333333337</v>
      </c>
      <c r="C15">
        <v>35048</v>
      </c>
      <c r="D15">
        <v>-153494</v>
      </c>
      <c r="E15">
        <v>-274751</v>
      </c>
      <c r="F15">
        <v>-36815</v>
      </c>
      <c r="G15">
        <v>-37447</v>
      </c>
      <c r="H15">
        <v>-48479</v>
      </c>
      <c r="I15">
        <v>-29954</v>
      </c>
      <c r="J15">
        <v>-36638</v>
      </c>
      <c r="K15">
        <v>136255</v>
      </c>
      <c r="L15">
        <v>-17169</v>
      </c>
      <c r="M15">
        <v>9.17</v>
      </c>
      <c r="N15">
        <v>-463444</v>
      </c>
      <c r="O15">
        <v>21681500</v>
      </c>
      <c r="P15" s="2">
        <v>2.1375089361898394</v>
      </c>
      <c r="Q15" s="3" t="str">
        <v>〇</v>
      </c>
      <c r="R15" s="2">
        <v>-2.1375089361898394</v>
      </c>
      <c r="S15" s="5">
        <v>19.881935500000001</v>
      </c>
    </row>
    <row r="16" spans="1:19" x14ac:dyDescent="0.4">
      <c r="A16">
        <v>20210802</v>
      </c>
      <c r="B16" s="1">
        <v>0.91666666666666663</v>
      </c>
      <c r="C16">
        <v>27326</v>
      </c>
      <c r="D16">
        <v>-113525</v>
      </c>
      <c r="E16">
        <v>-486962</v>
      </c>
      <c r="F16">
        <v>-40740</v>
      </c>
      <c r="G16">
        <v>-19723</v>
      </c>
      <c r="H16">
        <v>-93559</v>
      </c>
      <c r="I16">
        <v>-74010</v>
      </c>
      <c r="J16">
        <v>-21755</v>
      </c>
      <c r="K16">
        <v>112680</v>
      </c>
      <c r="L16">
        <v>-62881</v>
      </c>
      <c r="M16">
        <v>8.99</v>
      </c>
      <c r="N16">
        <v>-773149</v>
      </c>
      <c r="O16">
        <v>20914350</v>
      </c>
      <c r="P16" s="2">
        <v>3.6967393201318712</v>
      </c>
      <c r="Q16" s="3" t="str">
        <v>〇</v>
      </c>
      <c r="R16" s="2">
        <v>-3.6967393201318712</v>
      </c>
      <c r="S16" s="5">
        <v>18.80200065</v>
      </c>
    </row>
    <row r="17" spans="1:19" x14ac:dyDescent="0.4">
      <c r="A17">
        <v>20210802</v>
      </c>
      <c r="B17" s="1">
        <v>0.9375</v>
      </c>
      <c r="C17">
        <v>-49404</v>
      </c>
      <c r="D17">
        <v>-87871</v>
      </c>
      <c r="E17">
        <v>-348004</v>
      </c>
      <c r="F17">
        <v>-26965</v>
      </c>
      <c r="G17">
        <v>-19343</v>
      </c>
      <c r="H17">
        <v>-162451</v>
      </c>
      <c r="I17">
        <v>-78718</v>
      </c>
      <c r="J17">
        <v>-37491</v>
      </c>
      <c r="K17">
        <v>42924</v>
      </c>
      <c r="L17">
        <v>-55550</v>
      </c>
      <c r="M17">
        <v>8.86</v>
      </c>
      <c r="N17">
        <v>-822873</v>
      </c>
      <c r="O17">
        <v>20723600</v>
      </c>
      <c r="P17" s="2">
        <v>3.9707048968325966</v>
      </c>
      <c r="Q17" s="3" t="str">
        <v>〇</v>
      </c>
      <c r="R17" s="2">
        <v>-3.9707048968325966</v>
      </c>
      <c r="S17" s="5">
        <v>18.361109599999999</v>
      </c>
    </row>
    <row r="18" spans="1:19" x14ac:dyDescent="0.4">
      <c r="A18">
        <v>20210802</v>
      </c>
      <c r="B18" s="1">
        <v>0.95833333333333337</v>
      </c>
      <c r="C18">
        <v>-14428</v>
      </c>
      <c r="D18">
        <v>34157</v>
      </c>
      <c r="E18">
        <v>-466045</v>
      </c>
      <c r="F18">
        <v>-61428</v>
      </c>
      <c r="G18">
        <v>-32267</v>
      </c>
      <c r="H18">
        <v>-214880</v>
      </c>
      <c r="I18">
        <v>16116</v>
      </c>
      <c r="J18">
        <v>-6241</v>
      </c>
      <c r="K18">
        <v>-16802</v>
      </c>
      <c r="L18">
        <v>-48992</v>
      </c>
      <c r="M18">
        <v>7.31</v>
      </c>
      <c r="N18">
        <v>-810810</v>
      </c>
      <c r="O18">
        <v>20030400</v>
      </c>
      <c r="P18" s="2">
        <v>4.0478971962616823</v>
      </c>
      <c r="Q18" s="3" t="str">
        <v>〇</v>
      </c>
      <c r="R18" s="2">
        <v>-4.0478971962616823</v>
      </c>
      <c r="S18" s="5">
        <v>14.6422224</v>
      </c>
    </row>
    <row r="19" spans="1:19" x14ac:dyDescent="0.4">
      <c r="A19">
        <v>20210802</v>
      </c>
      <c r="B19" s="1">
        <v>0.97916666666666663</v>
      </c>
      <c r="C19">
        <v>7675</v>
      </c>
      <c r="D19">
        <v>-133733</v>
      </c>
      <c r="E19">
        <v>-259909</v>
      </c>
      <c r="F19">
        <v>-36709</v>
      </c>
      <c r="G19">
        <v>-8861</v>
      </c>
      <c r="H19">
        <v>-293474</v>
      </c>
      <c r="I19">
        <v>9371</v>
      </c>
      <c r="J19">
        <v>13416</v>
      </c>
      <c r="K19">
        <v>-557</v>
      </c>
      <c r="L19">
        <v>-39642</v>
      </c>
      <c r="M19">
        <v>7.15</v>
      </c>
      <c r="N19">
        <v>-742423</v>
      </c>
      <c r="O19">
        <v>18851150</v>
      </c>
      <c r="P19" s="2">
        <v>3.9383432840967263</v>
      </c>
      <c r="Q19" s="3" t="str">
        <v>〇</v>
      </c>
      <c r="R19" s="2">
        <v>-3.9383432840967263</v>
      </c>
      <c r="S19" s="5">
        <v>13.478572249999999</v>
      </c>
    </row>
    <row r="20" spans="1:19" x14ac:dyDescent="0.4">
      <c r="A20">
        <v>20210803</v>
      </c>
      <c r="B20" s="1">
        <v>0</v>
      </c>
      <c r="C20">
        <v>18186</v>
      </c>
      <c r="D20">
        <v>-49439</v>
      </c>
      <c r="E20">
        <v>-428455</v>
      </c>
      <c r="F20">
        <v>-159578</v>
      </c>
      <c r="G20">
        <v>-2383</v>
      </c>
      <c r="H20">
        <v>-205107</v>
      </c>
      <c r="I20">
        <v>54958</v>
      </c>
      <c r="J20">
        <v>-32772</v>
      </c>
      <c r="K20">
        <v>35771</v>
      </c>
      <c r="L20">
        <v>-44079</v>
      </c>
      <c r="M20">
        <v>8.26</v>
      </c>
      <c r="N20">
        <v>-812898</v>
      </c>
      <c r="O20">
        <v>18028800</v>
      </c>
      <c r="P20" s="2">
        <v>4.5088857827476039</v>
      </c>
      <c r="Q20" s="3" t="str">
        <v>〇</v>
      </c>
      <c r="R20" s="2">
        <v>-4.5088857827476039</v>
      </c>
      <c r="S20" s="5">
        <v>14.8917888</v>
      </c>
    </row>
    <row r="21" spans="1:19" x14ac:dyDescent="0.4">
      <c r="A21">
        <v>20210803</v>
      </c>
      <c r="B21" s="1">
        <v>2.0833333333333332E-2</v>
      </c>
      <c r="C21">
        <v>36628</v>
      </c>
      <c r="D21">
        <v>-13139</v>
      </c>
      <c r="E21">
        <v>-314936</v>
      </c>
      <c r="F21">
        <v>-132247</v>
      </c>
      <c r="G21">
        <v>8930</v>
      </c>
      <c r="H21">
        <v>-268527</v>
      </c>
      <c r="I21">
        <v>3800</v>
      </c>
      <c r="J21">
        <v>9445</v>
      </c>
      <c r="K21">
        <v>119452</v>
      </c>
      <c r="L21">
        <v>-40651</v>
      </c>
      <c r="M21">
        <v>8.18</v>
      </c>
      <c r="N21">
        <v>-591245</v>
      </c>
      <c r="O21">
        <v>19398850</v>
      </c>
      <c r="P21" s="2">
        <v>3.047835309825067</v>
      </c>
      <c r="Q21" s="3" t="str">
        <v>〇</v>
      </c>
      <c r="R21" s="2">
        <v>-3.047835309825067</v>
      </c>
      <c r="S21" s="5">
        <v>15.8682593</v>
      </c>
    </row>
    <row r="22" spans="1:19" x14ac:dyDescent="0.4">
      <c r="A22">
        <v>20210803</v>
      </c>
      <c r="B22" s="1">
        <v>4.1666666666666664E-2</v>
      </c>
      <c r="C22">
        <v>28745</v>
      </c>
      <c r="D22">
        <v>-18340</v>
      </c>
      <c r="E22">
        <v>-327690</v>
      </c>
      <c r="F22">
        <v>-164427</v>
      </c>
      <c r="G22">
        <v>-10605</v>
      </c>
      <c r="H22">
        <v>-226715</v>
      </c>
      <c r="I22">
        <v>-16409</v>
      </c>
      <c r="J22">
        <v>1288</v>
      </c>
      <c r="K22">
        <v>51697</v>
      </c>
      <c r="L22">
        <v>-32061</v>
      </c>
      <c r="M22">
        <v>7.75</v>
      </c>
      <c r="N22">
        <v>-714517</v>
      </c>
      <c r="O22">
        <v>19543800</v>
      </c>
      <c r="P22" s="2">
        <v>3.6559778548695752</v>
      </c>
      <c r="Q22" s="3" t="str">
        <v>〇</v>
      </c>
      <c r="R22" s="2">
        <v>-3.6559778548695752</v>
      </c>
      <c r="S22" s="5">
        <v>15.146445</v>
      </c>
    </row>
    <row r="23" spans="1:19" x14ac:dyDescent="0.4">
      <c r="A23">
        <v>20210803</v>
      </c>
      <c r="B23" s="1">
        <v>6.25E-2</v>
      </c>
      <c r="C23">
        <v>33660</v>
      </c>
      <c r="D23">
        <v>-22705</v>
      </c>
      <c r="E23">
        <v>-15567</v>
      </c>
      <c r="F23">
        <v>-147355</v>
      </c>
      <c r="G23">
        <v>-18791</v>
      </c>
      <c r="H23">
        <v>-169413</v>
      </c>
      <c r="I23">
        <v>-18675</v>
      </c>
      <c r="J23">
        <v>-1598</v>
      </c>
      <c r="K23">
        <v>32858</v>
      </c>
      <c r="L23">
        <v>-35266</v>
      </c>
      <c r="M23">
        <v>7.59</v>
      </c>
      <c r="N23">
        <v>-362852</v>
      </c>
      <c r="O23">
        <v>19694500</v>
      </c>
      <c r="P23" s="2">
        <v>1.8424027012617736</v>
      </c>
      <c r="Q23" s="3" t="str">
        <v>〇</v>
      </c>
      <c r="R23" s="2">
        <v>-1.8424027012617736</v>
      </c>
      <c r="S23" s="5">
        <v>14.9481255</v>
      </c>
    </row>
    <row r="24" spans="1:19" x14ac:dyDescent="0.4">
      <c r="A24">
        <v>20210803</v>
      </c>
      <c r="B24" s="1">
        <v>8.3333333333333329E-2</v>
      </c>
      <c r="C24">
        <v>18135</v>
      </c>
      <c r="D24">
        <v>11738</v>
      </c>
      <c r="E24">
        <v>-181631</v>
      </c>
      <c r="F24">
        <v>-65181</v>
      </c>
      <c r="G24">
        <v>-20916</v>
      </c>
      <c r="H24">
        <v>-188380</v>
      </c>
      <c r="I24">
        <v>-1783</v>
      </c>
      <c r="J24">
        <v>-6078</v>
      </c>
      <c r="K24">
        <v>53798</v>
      </c>
      <c r="L24">
        <v>-24408</v>
      </c>
      <c r="M24">
        <v>7.37</v>
      </c>
      <c r="N24">
        <v>-404706</v>
      </c>
      <c r="O24">
        <v>20009400</v>
      </c>
      <c r="P24" s="2">
        <v>2.0225793876877867</v>
      </c>
      <c r="Q24" s="3" t="str">
        <v>〇</v>
      </c>
      <c r="R24" s="2">
        <v>-2.0225793876877867</v>
      </c>
      <c r="S24" s="5">
        <v>14.7469278</v>
      </c>
    </row>
    <row r="25" spans="1:19" x14ac:dyDescent="0.4">
      <c r="A25">
        <v>20210803</v>
      </c>
      <c r="B25" s="1">
        <v>0.10416666666666667</v>
      </c>
      <c r="C25">
        <v>24045</v>
      </c>
      <c r="D25">
        <v>1422</v>
      </c>
      <c r="E25">
        <v>-190131</v>
      </c>
      <c r="F25">
        <v>-68207</v>
      </c>
      <c r="G25">
        <v>-42181</v>
      </c>
      <c r="H25">
        <v>-231112</v>
      </c>
      <c r="I25">
        <v>-30938</v>
      </c>
      <c r="J25">
        <v>-23942</v>
      </c>
      <c r="K25">
        <v>65109</v>
      </c>
      <c r="L25">
        <v>-34251</v>
      </c>
      <c r="M25">
        <v>7.43</v>
      </c>
      <c r="N25">
        <v>-530186</v>
      </c>
      <c r="O25">
        <v>20193600</v>
      </c>
      <c r="P25" s="2">
        <v>2.6255150146581094</v>
      </c>
      <c r="Q25" s="3" t="str">
        <v>〇</v>
      </c>
      <c r="R25" s="2">
        <v>-2.6255150146581094</v>
      </c>
      <c r="S25" s="5">
        <v>15.0038448</v>
      </c>
    </row>
    <row r="26" spans="1:19" x14ac:dyDescent="0.4">
      <c r="A26">
        <v>20210803</v>
      </c>
      <c r="B26" s="1">
        <v>0.125</v>
      </c>
      <c r="C26">
        <v>9800</v>
      </c>
      <c r="D26">
        <v>15126</v>
      </c>
      <c r="E26">
        <v>-182179</v>
      </c>
      <c r="F26">
        <v>-81947</v>
      </c>
      <c r="G26">
        <v>-23862</v>
      </c>
      <c r="H26">
        <v>-98451</v>
      </c>
      <c r="I26">
        <v>-25087</v>
      </c>
      <c r="J26">
        <v>-13196</v>
      </c>
      <c r="K26">
        <v>40696</v>
      </c>
      <c r="L26">
        <v>-27085</v>
      </c>
      <c r="M26">
        <v>7.36</v>
      </c>
      <c r="N26">
        <v>-386185</v>
      </c>
      <c r="O26">
        <v>20372800</v>
      </c>
      <c r="P26" s="2">
        <v>1.8955911803973926</v>
      </c>
      <c r="Q26" s="3" t="str">
        <v>〇</v>
      </c>
      <c r="R26" s="2">
        <v>-1.8955911803973926</v>
      </c>
      <c r="S26" s="5">
        <v>14.9943808</v>
      </c>
    </row>
    <row r="27" spans="1:19" x14ac:dyDescent="0.4">
      <c r="A27">
        <v>20210803</v>
      </c>
      <c r="B27" s="1">
        <v>0.14583333333333334</v>
      </c>
      <c r="C27">
        <v>22086</v>
      </c>
      <c r="D27">
        <v>56990</v>
      </c>
      <c r="E27">
        <v>-299941</v>
      </c>
      <c r="F27">
        <v>-39958</v>
      </c>
      <c r="G27">
        <v>-33870</v>
      </c>
      <c r="H27">
        <v>-114619</v>
      </c>
      <c r="I27">
        <v>-17583</v>
      </c>
      <c r="J27">
        <v>37</v>
      </c>
      <c r="K27">
        <v>15512</v>
      </c>
      <c r="L27">
        <v>-29858</v>
      </c>
      <c r="M27">
        <v>7.36</v>
      </c>
      <c r="N27">
        <v>-441204</v>
      </c>
      <c r="O27">
        <v>20466950</v>
      </c>
      <c r="P27" s="2">
        <v>2.1556900270924588</v>
      </c>
      <c r="Q27" s="3" t="str">
        <v>〇</v>
      </c>
      <c r="R27" s="2">
        <v>-2.1556900270924588</v>
      </c>
      <c r="S27" s="5">
        <v>15.0636752</v>
      </c>
    </row>
    <row r="28" spans="1:19" x14ac:dyDescent="0.4">
      <c r="A28">
        <v>20210803</v>
      </c>
      <c r="B28" s="1">
        <v>0.16666666666666666</v>
      </c>
      <c r="C28">
        <v>-11991</v>
      </c>
      <c r="D28">
        <v>26696</v>
      </c>
      <c r="E28">
        <v>-166753</v>
      </c>
      <c r="F28">
        <v>-69242</v>
      </c>
      <c r="G28">
        <v>-8860</v>
      </c>
      <c r="H28">
        <v>-56161</v>
      </c>
      <c r="I28">
        <v>-2282</v>
      </c>
      <c r="J28">
        <v>9736</v>
      </c>
      <c r="K28">
        <v>85926</v>
      </c>
      <c r="L28">
        <v>-18397</v>
      </c>
      <c r="M28">
        <v>7.44</v>
      </c>
      <c r="N28">
        <v>-211328</v>
      </c>
      <c r="O28">
        <v>20548050</v>
      </c>
      <c r="P28" s="2">
        <v>1.0284576881991234</v>
      </c>
      <c r="Q28" s="3" t="str">
        <v>〇</v>
      </c>
      <c r="R28" s="2">
        <v>-1.0284576881991234</v>
      </c>
      <c r="S28" s="5">
        <v>15.2877492</v>
      </c>
    </row>
    <row r="29" spans="1:19" x14ac:dyDescent="0.4">
      <c r="A29">
        <v>20210803</v>
      </c>
      <c r="B29" s="1">
        <v>0.1875</v>
      </c>
      <c r="C29">
        <v>9443</v>
      </c>
      <c r="D29">
        <v>41386</v>
      </c>
      <c r="E29">
        <v>-269411</v>
      </c>
      <c r="F29">
        <v>-112447</v>
      </c>
      <c r="G29">
        <v>-29429</v>
      </c>
      <c r="H29">
        <v>-107282</v>
      </c>
      <c r="I29">
        <v>-519</v>
      </c>
      <c r="J29">
        <v>3890</v>
      </c>
      <c r="K29">
        <v>-1384</v>
      </c>
      <c r="L29">
        <v>-27263</v>
      </c>
      <c r="M29">
        <v>7.44</v>
      </c>
      <c r="N29">
        <v>-493016</v>
      </c>
      <c r="O29">
        <v>20540350</v>
      </c>
      <c r="P29" s="2">
        <v>2.4002317389917893</v>
      </c>
      <c r="Q29" s="3" t="str">
        <v>〇</v>
      </c>
      <c r="R29" s="2">
        <v>-2.4002317389917893</v>
      </c>
      <c r="S29" s="5">
        <v>15.2820204</v>
      </c>
    </row>
    <row r="30" spans="1:19" x14ac:dyDescent="0.4">
      <c r="A30">
        <v>20210803</v>
      </c>
      <c r="B30" s="1">
        <v>0.20833333333333334</v>
      </c>
      <c r="C30">
        <v>-1602</v>
      </c>
      <c r="D30">
        <v>71072</v>
      </c>
      <c r="E30">
        <v>-207962</v>
      </c>
      <c r="F30">
        <v>-129240</v>
      </c>
      <c r="G30">
        <v>-30594</v>
      </c>
      <c r="H30">
        <v>-83135</v>
      </c>
      <c r="I30">
        <v>-31160</v>
      </c>
      <c r="J30">
        <v>956</v>
      </c>
      <c r="K30">
        <v>-41412</v>
      </c>
      <c r="L30">
        <v>-24153</v>
      </c>
      <c r="M30">
        <v>8.0500000000000007</v>
      </c>
      <c r="N30">
        <v>-477230</v>
      </c>
      <c r="O30">
        <v>20369950</v>
      </c>
      <c r="P30" s="2">
        <v>2.3428138017029987</v>
      </c>
      <c r="Q30" s="3" t="str">
        <v>〇</v>
      </c>
      <c r="R30" s="2">
        <v>-2.3428138017029987</v>
      </c>
      <c r="S30" s="5">
        <v>16.39780975</v>
      </c>
    </row>
    <row r="31" spans="1:19" x14ac:dyDescent="0.4">
      <c r="A31">
        <v>20210803</v>
      </c>
      <c r="B31" s="1">
        <v>0.22916666666666666</v>
      </c>
      <c r="C31">
        <v>-5943</v>
      </c>
      <c r="D31">
        <v>185695</v>
      </c>
      <c r="E31">
        <v>-83084</v>
      </c>
      <c r="F31">
        <v>-161738</v>
      </c>
      <c r="G31">
        <v>-30118</v>
      </c>
      <c r="H31">
        <v>-193849</v>
      </c>
      <c r="I31">
        <v>-33547</v>
      </c>
      <c r="J31">
        <v>1490</v>
      </c>
      <c r="K31">
        <v>-59902</v>
      </c>
      <c r="L31">
        <v>-23889</v>
      </c>
      <c r="M31">
        <v>7.94</v>
      </c>
      <c r="N31">
        <v>-404885</v>
      </c>
      <c r="O31">
        <v>20285500</v>
      </c>
      <c r="P31" s="2">
        <v>1.9959330556308694</v>
      </c>
      <c r="Q31" s="3" t="str">
        <v>〇</v>
      </c>
      <c r="R31" s="2">
        <v>-1.9959330556308694</v>
      </c>
      <c r="S31" s="5">
        <v>16.106687000000001</v>
      </c>
    </row>
    <row r="32" spans="1:19" x14ac:dyDescent="0.4">
      <c r="A32">
        <v>20210803</v>
      </c>
      <c r="B32" s="1">
        <v>0.25</v>
      </c>
      <c r="C32">
        <v>-22002</v>
      </c>
      <c r="D32">
        <v>180304</v>
      </c>
      <c r="E32">
        <v>-220294</v>
      </c>
      <c r="F32">
        <v>-202324</v>
      </c>
      <c r="G32">
        <v>-20098</v>
      </c>
      <c r="H32">
        <v>-370566</v>
      </c>
      <c r="I32">
        <v>-54714</v>
      </c>
      <c r="J32">
        <v>-13102</v>
      </c>
      <c r="K32">
        <v>-315120</v>
      </c>
      <c r="L32">
        <v>-14121</v>
      </c>
      <c r="M32">
        <v>8.19</v>
      </c>
      <c r="N32">
        <v>-1052037</v>
      </c>
      <c r="O32">
        <v>20807050</v>
      </c>
      <c r="P32" s="2">
        <v>5.0561564469735014</v>
      </c>
      <c r="Q32" s="3" t="str">
        <v>〇</v>
      </c>
      <c r="R32" s="2">
        <v>-5.0561564469735014</v>
      </c>
      <c r="S32" s="5">
        <v>17.040973950000001</v>
      </c>
    </row>
    <row r="33" spans="1:19" x14ac:dyDescent="0.4">
      <c r="A33">
        <v>20210803</v>
      </c>
      <c r="B33" s="1">
        <v>0.27083333333333331</v>
      </c>
      <c r="C33">
        <v>-1975</v>
      </c>
      <c r="D33">
        <v>145902</v>
      </c>
      <c r="E33">
        <v>130601</v>
      </c>
      <c r="F33">
        <v>-270260</v>
      </c>
      <c r="G33">
        <v>-4746</v>
      </c>
      <c r="H33">
        <v>-443892</v>
      </c>
      <c r="I33">
        <v>-91444</v>
      </c>
      <c r="J33">
        <v>-29006</v>
      </c>
      <c r="K33">
        <v>-356802</v>
      </c>
      <c r="L33">
        <v>-27182</v>
      </c>
      <c r="M33">
        <v>7.78</v>
      </c>
      <c r="N33">
        <v>-948804</v>
      </c>
      <c r="O33">
        <v>21382450</v>
      </c>
      <c r="P33" s="2">
        <v>4.4373025541974842</v>
      </c>
      <c r="Q33" s="3" t="str">
        <v>〇</v>
      </c>
      <c r="R33" s="2">
        <v>-4.4373025541974842</v>
      </c>
      <c r="S33" s="5">
        <v>16.635546099999999</v>
      </c>
    </row>
    <row r="34" spans="1:19" x14ac:dyDescent="0.4">
      <c r="A34">
        <v>20210803</v>
      </c>
      <c r="B34" s="1">
        <v>0.29166666666666669</v>
      </c>
      <c r="C34">
        <v>-1165</v>
      </c>
      <c r="D34">
        <v>159766</v>
      </c>
      <c r="E34">
        <v>-57397</v>
      </c>
      <c r="F34">
        <v>-282108</v>
      </c>
      <c r="G34">
        <v>-12548</v>
      </c>
      <c r="H34">
        <v>-488202</v>
      </c>
      <c r="I34">
        <v>-141153</v>
      </c>
      <c r="J34">
        <v>-24522</v>
      </c>
      <c r="K34">
        <v>-451984</v>
      </c>
      <c r="L34">
        <v>-12904</v>
      </c>
      <c r="M34">
        <v>8.86</v>
      </c>
      <c r="N34">
        <v>-1312217</v>
      </c>
      <c r="O34">
        <v>22026450</v>
      </c>
      <c r="P34" s="2">
        <v>5.9574602353080044</v>
      </c>
      <c r="Q34" s="3" t="str">
        <v>〇</v>
      </c>
      <c r="R34" s="2">
        <v>-5.9574602353080044</v>
      </c>
      <c r="S34" s="5">
        <v>19.5154347</v>
      </c>
    </row>
    <row r="35" spans="1:19" x14ac:dyDescent="0.4">
      <c r="A35">
        <v>20210803</v>
      </c>
      <c r="B35" s="1">
        <v>0.3125</v>
      </c>
      <c r="C35">
        <v>6581</v>
      </c>
      <c r="D35">
        <v>132828</v>
      </c>
      <c r="E35">
        <v>297058</v>
      </c>
      <c r="F35">
        <v>-364398</v>
      </c>
      <c r="G35">
        <v>10</v>
      </c>
      <c r="H35">
        <v>-514202</v>
      </c>
      <c r="I35">
        <v>-84128</v>
      </c>
      <c r="J35">
        <v>-12924</v>
      </c>
      <c r="K35">
        <v>-343425</v>
      </c>
      <c r="L35">
        <v>-19109</v>
      </c>
      <c r="M35">
        <v>8.86</v>
      </c>
      <c r="N35">
        <v>-901709</v>
      </c>
      <c r="O35">
        <v>22360700</v>
      </c>
      <c r="P35" s="2">
        <v>4.0325615924367302</v>
      </c>
      <c r="Q35" s="3" t="str">
        <v>〇</v>
      </c>
      <c r="R35" s="2">
        <v>-4.0325615924367302</v>
      </c>
      <c r="S35" s="5">
        <v>19.811580200000002</v>
      </c>
    </row>
    <row r="36" spans="1:19" x14ac:dyDescent="0.4">
      <c r="A36">
        <v>20210803</v>
      </c>
      <c r="B36" s="1">
        <v>0.33333333333333331</v>
      </c>
      <c r="C36">
        <v>24734</v>
      </c>
      <c r="D36">
        <v>208735</v>
      </c>
      <c r="E36">
        <v>661978</v>
      </c>
      <c r="F36">
        <v>-232794</v>
      </c>
      <c r="G36">
        <v>11631</v>
      </c>
      <c r="H36">
        <v>-717245</v>
      </c>
      <c r="I36">
        <v>-25013</v>
      </c>
      <c r="J36">
        <v>15419</v>
      </c>
      <c r="K36">
        <v>-340419</v>
      </c>
      <c r="L36">
        <v>-19210</v>
      </c>
      <c r="M36">
        <v>8.86</v>
      </c>
      <c r="N36">
        <v>-412184</v>
      </c>
      <c r="O36">
        <v>23687750</v>
      </c>
      <c r="P36" s="2">
        <v>1.7400724002912897</v>
      </c>
      <c r="Q36" s="3" t="str">
        <v>〇</v>
      </c>
      <c r="R36" s="2">
        <v>-1.7400724002912897</v>
      </c>
      <c r="S36" s="5">
        <v>20.987346500000001</v>
      </c>
    </row>
    <row r="37" spans="1:19" x14ac:dyDescent="0.4">
      <c r="A37">
        <v>20210803</v>
      </c>
      <c r="B37" s="1">
        <v>0.35416666666666669</v>
      </c>
      <c r="C37">
        <v>9541</v>
      </c>
      <c r="D37">
        <v>177807</v>
      </c>
      <c r="E37">
        <v>-47068</v>
      </c>
      <c r="F37">
        <v>-327292</v>
      </c>
      <c r="G37">
        <v>34820</v>
      </c>
      <c r="H37">
        <v>-331022</v>
      </c>
      <c r="I37">
        <v>-82519</v>
      </c>
      <c r="J37">
        <v>26442</v>
      </c>
      <c r="K37">
        <v>-485333</v>
      </c>
      <c r="L37">
        <v>-41956</v>
      </c>
      <c r="M37">
        <v>9.6</v>
      </c>
      <c r="N37">
        <v>-1066580</v>
      </c>
      <c r="O37">
        <v>24094800</v>
      </c>
      <c r="P37" s="2">
        <v>4.4265982701661768</v>
      </c>
      <c r="Q37" s="3" t="str">
        <v>〇</v>
      </c>
      <c r="R37" s="2">
        <v>-4.4265982701661768</v>
      </c>
      <c r="S37" s="5">
        <v>23.131008000000001</v>
      </c>
    </row>
    <row r="38" spans="1:19" x14ac:dyDescent="0.4">
      <c r="A38">
        <v>20210803</v>
      </c>
      <c r="B38" s="1">
        <v>0.375</v>
      </c>
      <c r="C38">
        <v>110663</v>
      </c>
      <c r="D38">
        <v>178687</v>
      </c>
      <c r="E38">
        <v>151620</v>
      </c>
      <c r="F38">
        <v>-272722</v>
      </c>
      <c r="G38">
        <v>37472</v>
      </c>
      <c r="H38">
        <v>-625305</v>
      </c>
      <c r="I38">
        <v>13261</v>
      </c>
      <c r="J38">
        <v>12888</v>
      </c>
      <c r="K38">
        <v>-489036</v>
      </c>
      <c r="L38">
        <v>-76719</v>
      </c>
      <c r="M38">
        <v>9.74</v>
      </c>
      <c r="N38">
        <v>-959191</v>
      </c>
      <c r="O38">
        <v>24485050</v>
      </c>
      <c r="P38" s="2">
        <v>3.9174557536129191</v>
      </c>
      <c r="Q38" s="3" t="str">
        <v>〇</v>
      </c>
      <c r="R38" s="2">
        <v>-3.9174557536129191</v>
      </c>
      <c r="S38" s="5">
        <v>23.848438699999999</v>
      </c>
    </row>
    <row r="39" spans="1:19" x14ac:dyDescent="0.4">
      <c r="A39">
        <v>20210803</v>
      </c>
      <c r="B39" s="1">
        <v>0.39583333333333331</v>
      </c>
      <c r="C39">
        <v>77811</v>
      </c>
      <c r="D39">
        <v>226539</v>
      </c>
      <c r="E39">
        <v>339448</v>
      </c>
      <c r="F39">
        <v>-115481</v>
      </c>
      <c r="G39">
        <v>52142</v>
      </c>
      <c r="H39">
        <v>-457605</v>
      </c>
      <c r="I39">
        <v>90755</v>
      </c>
      <c r="J39">
        <v>25001</v>
      </c>
      <c r="K39">
        <v>-356079</v>
      </c>
      <c r="L39">
        <v>-82361</v>
      </c>
      <c r="M39">
        <v>9.74</v>
      </c>
      <c r="N39">
        <v>-199830</v>
      </c>
      <c r="O39">
        <v>24816700</v>
      </c>
      <c r="P39" s="2">
        <v>0.80522390164687485</v>
      </c>
      <c r="Q39" s="3" t="str">
        <v>〇</v>
      </c>
      <c r="R39" s="2">
        <v>-0.80522390164687485</v>
      </c>
      <c r="S39" s="5">
        <v>24.1714658</v>
      </c>
    </row>
    <row r="40" spans="1:19" x14ac:dyDescent="0.4">
      <c r="A40">
        <v>20210803</v>
      </c>
      <c r="B40" s="1">
        <v>0.6875</v>
      </c>
      <c r="C40">
        <v>49029</v>
      </c>
      <c r="D40">
        <v>-58003</v>
      </c>
      <c r="E40">
        <v>-673649</v>
      </c>
      <c r="F40">
        <v>20613</v>
      </c>
      <c r="G40">
        <v>-53626</v>
      </c>
      <c r="H40">
        <v>42643</v>
      </c>
      <c r="I40">
        <v>82145</v>
      </c>
      <c r="J40">
        <v>-122006</v>
      </c>
      <c r="K40">
        <v>-75996</v>
      </c>
      <c r="L40">
        <v>-52476</v>
      </c>
      <c r="M40">
        <v>15.47</v>
      </c>
      <c r="N40">
        <v>-841326</v>
      </c>
      <c r="O40">
        <v>24075550</v>
      </c>
      <c r="P40" s="2">
        <v>3.4945245279962451</v>
      </c>
      <c r="Q40" s="3" t="str">
        <v>〇</v>
      </c>
      <c r="R40" s="2">
        <v>-3.4945245279962451</v>
      </c>
      <c r="S40" s="5">
        <v>37.24487585</v>
      </c>
    </row>
    <row r="41" spans="1:19" x14ac:dyDescent="0.4">
      <c r="A41">
        <v>20210803</v>
      </c>
      <c r="B41" s="1">
        <v>0.70833333333333337</v>
      </c>
      <c r="C41">
        <v>-55082</v>
      </c>
      <c r="D41">
        <v>-80306</v>
      </c>
      <c r="E41">
        <v>-606889</v>
      </c>
      <c r="F41">
        <v>-8305</v>
      </c>
      <c r="G41">
        <v>-40478</v>
      </c>
      <c r="H41">
        <v>114411</v>
      </c>
      <c r="I41">
        <v>81362</v>
      </c>
      <c r="J41">
        <v>-116310</v>
      </c>
      <c r="K41">
        <v>-195850</v>
      </c>
      <c r="L41">
        <v>-45805</v>
      </c>
      <c r="M41">
        <v>14.87</v>
      </c>
      <c r="N41">
        <v>-953252</v>
      </c>
      <c r="O41">
        <v>23576300</v>
      </c>
      <c r="P41" s="2">
        <v>4.0432637860902689</v>
      </c>
      <c r="Q41" s="3" t="str">
        <v>〇</v>
      </c>
      <c r="R41" s="2">
        <v>-4.0432637860902689</v>
      </c>
      <c r="S41" s="5">
        <v>35.0579581</v>
      </c>
    </row>
    <row r="42" spans="1:19" x14ac:dyDescent="0.4">
      <c r="A42">
        <v>20210803</v>
      </c>
      <c r="B42" s="1">
        <v>0.72916666666666663</v>
      </c>
      <c r="C42">
        <v>-9138</v>
      </c>
      <c r="D42">
        <v>-287653</v>
      </c>
      <c r="E42">
        <v>-900611</v>
      </c>
      <c r="F42">
        <v>3281</v>
      </c>
      <c r="G42">
        <v>-41962</v>
      </c>
      <c r="H42">
        <v>57421</v>
      </c>
      <c r="I42">
        <v>87612</v>
      </c>
      <c r="J42">
        <v>-133519</v>
      </c>
      <c r="K42">
        <v>-408635</v>
      </c>
      <c r="L42">
        <v>-39577</v>
      </c>
      <c r="M42">
        <v>14.87</v>
      </c>
      <c r="N42">
        <v>-1672781</v>
      </c>
      <c r="O42">
        <v>22890700</v>
      </c>
      <c r="P42" s="2">
        <v>7.3076882751510439</v>
      </c>
      <c r="Q42" s="3" t="str">
        <v>〇</v>
      </c>
      <c r="R42" s="2">
        <v>-7.3076882751510439</v>
      </c>
      <c r="S42" s="5">
        <v>34.0384709</v>
      </c>
    </row>
    <row r="43" spans="1:19" x14ac:dyDescent="0.4">
      <c r="A43">
        <v>20210803</v>
      </c>
      <c r="B43" s="1">
        <v>0.75</v>
      </c>
      <c r="C43">
        <v>-56486</v>
      </c>
      <c r="D43">
        <v>-201922</v>
      </c>
      <c r="E43">
        <v>-643194</v>
      </c>
      <c r="F43">
        <v>139455</v>
      </c>
      <c r="G43">
        <v>-8380</v>
      </c>
      <c r="H43">
        <v>49539</v>
      </c>
      <c r="I43">
        <v>73682</v>
      </c>
      <c r="J43">
        <v>-137552</v>
      </c>
      <c r="K43">
        <v>-296474</v>
      </c>
      <c r="L43">
        <v>-41948</v>
      </c>
      <c r="M43">
        <v>15.21</v>
      </c>
      <c r="N43">
        <v>-1123280</v>
      </c>
      <c r="O43">
        <v>22584950</v>
      </c>
      <c r="P43" s="2">
        <v>4.9735775372537905</v>
      </c>
      <c r="Q43" s="3" t="str">
        <v>〇</v>
      </c>
      <c r="R43" s="2">
        <v>-4.9735775372537905</v>
      </c>
      <c r="S43" s="5">
        <v>34.351708950000003</v>
      </c>
    </row>
    <row r="44" spans="1:19" x14ac:dyDescent="0.4">
      <c r="A44">
        <v>20210803</v>
      </c>
      <c r="B44" s="1">
        <v>0.77083333333333337</v>
      </c>
      <c r="C44">
        <v>-94101</v>
      </c>
      <c r="D44">
        <v>-311598</v>
      </c>
      <c r="E44">
        <v>-669538</v>
      </c>
      <c r="F44">
        <v>93855</v>
      </c>
      <c r="G44">
        <v>-25015</v>
      </c>
      <c r="H44">
        <v>60261</v>
      </c>
      <c r="I44">
        <v>28622</v>
      </c>
      <c r="J44">
        <v>-124377</v>
      </c>
      <c r="K44">
        <v>-172724</v>
      </c>
      <c r="L44">
        <v>-23086</v>
      </c>
      <c r="M44">
        <v>17.010000000000002</v>
      </c>
      <c r="N44">
        <v>-1237701</v>
      </c>
      <c r="O44">
        <v>22591350</v>
      </c>
      <c r="P44" s="2">
        <v>5.4786500142753756</v>
      </c>
      <c r="Q44" s="3" t="str">
        <v>〇</v>
      </c>
      <c r="R44" s="2">
        <v>-5.4786500142753756</v>
      </c>
      <c r="S44" s="5">
        <v>38.427886350000009</v>
      </c>
    </row>
    <row r="45" spans="1:19" x14ac:dyDescent="0.4">
      <c r="A45">
        <v>20210803</v>
      </c>
      <c r="B45" s="1">
        <v>0.79166666666666663</v>
      </c>
      <c r="C45">
        <v>-116398</v>
      </c>
      <c r="D45">
        <v>-280825</v>
      </c>
      <c r="E45">
        <v>-676140</v>
      </c>
      <c r="F45">
        <v>120728</v>
      </c>
      <c r="G45">
        <v>-30498</v>
      </c>
      <c r="H45">
        <v>26036</v>
      </c>
      <c r="I45">
        <v>-22275</v>
      </c>
      <c r="J45">
        <v>-80244</v>
      </c>
      <c r="K45">
        <v>-105161</v>
      </c>
      <c r="L45">
        <v>-61745</v>
      </c>
      <c r="M45">
        <v>13.95</v>
      </c>
      <c r="N45">
        <v>-1226522</v>
      </c>
      <c r="O45">
        <v>22469500</v>
      </c>
      <c r="P45" s="2">
        <v>5.4586083357440085</v>
      </c>
      <c r="Q45" s="3" t="str">
        <v>〇</v>
      </c>
      <c r="R45" s="2">
        <v>-5.4586083357440085</v>
      </c>
      <c r="S45" s="5">
        <v>31.344952500000002</v>
      </c>
    </row>
    <row r="46" spans="1:19" x14ac:dyDescent="0.4">
      <c r="A46">
        <v>20210803</v>
      </c>
      <c r="B46" s="1">
        <v>0.8125</v>
      </c>
      <c r="C46">
        <v>-82804</v>
      </c>
      <c r="D46">
        <v>-263927</v>
      </c>
      <c r="E46">
        <v>-518644</v>
      </c>
      <c r="F46">
        <v>78610</v>
      </c>
      <c r="G46">
        <v>-22655</v>
      </c>
      <c r="H46">
        <v>-559</v>
      </c>
      <c r="I46">
        <v>-40386</v>
      </c>
      <c r="J46">
        <v>-46728</v>
      </c>
      <c r="K46">
        <v>-57454</v>
      </c>
      <c r="L46">
        <v>-59238</v>
      </c>
      <c r="M46">
        <v>10.7</v>
      </c>
      <c r="N46">
        <v>-1013785</v>
      </c>
      <c r="O46">
        <v>22335950</v>
      </c>
      <c r="P46" s="2">
        <v>4.53880403564657</v>
      </c>
      <c r="Q46" s="3" t="str">
        <v>〇</v>
      </c>
      <c r="R46" s="2">
        <v>-4.53880403564657</v>
      </c>
      <c r="S46" s="5">
        <v>23.899466499999996</v>
      </c>
    </row>
    <row r="47" spans="1:19" x14ac:dyDescent="0.4">
      <c r="A47">
        <v>20210803</v>
      </c>
      <c r="B47" s="1">
        <v>0.83333333333333337</v>
      </c>
      <c r="C47">
        <v>-27570</v>
      </c>
      <c r="D47">
        <v>-224642</v>
      </c>
      <c r="E47">
        <v>-287922</v>
      </c>
      <c r="F47">
        <v>135926</v>
      </c>
      <c r="G47">
        <v>-17296</v>
      </c>
      <c r="H47">
        <v>118885</v>
      </c>
      <c r="I47">
        <v>12877</v>
      </c>
      <c r="J47">
        <v>5305</v>
      </c>
      <c r="K47">
        <v>80521</v>
      </c>
      <c r="L47">
        <v>-52944</v>
      </c>
      <c r="M47">
        <v>10.27</v>
      </c>
      <c r="N47">
        <v>-256860</v>
      </c>
      <c r="O47">
        <v>21852450</v>
      </c>
      <c r="P47" s="2">
        <v>1.1754288420749162</v>
      </c>
      <c r="Q47" s="3" t="str">
        <v>〇</v>
      </c>
      <c r="R47" s="2">
        <v>-1.1754288420749162</v>
      </c>
      <c r="S47" s="5">
        <v>22.442466150000001</v>
      </c>
    </row>
    <row r="48" spans="1:19" x14ac:dyDescent="0.4">
      <c r="A48">
        <v>20210803</v>
      </c>
      <c r="B48" s="1">
        <v>0.85416666666666663</v>
      </c>
      <c r="C48">
        <v>-125628</v>
      </c>
      <c r="D48">
        <v>-299889</v>
      </c>
      <c r="E48">
        <v>48544</v>
      </c>
      <c r="F48">
        <v>118523</v>
      </c>
      <c r="G48">
        <v>-18098</v>
      </c>
      <c r="H48">
        <v>28102</v>
      </c>
      <c r="I48">
        <v>-20234</v>
      </c>
      <c r="J48">
        <v>-11992</v>
      </c>
      <c r="K48">
        <v>37039</v>
      </c>
      <c r="L48">
        <v>-43876</v>
      </c>
      <c r="M48">
        <v>10.27</v>
      </c>
      <c r="N48">
        <v>-287509</v>
      </c>
      <c r="O48">
        <v>21700800</v>
      </c>
      <c r="P48" s="2">
        <v>1.3248774238737742</v>
      </c>
      <c r="Q48" s="3" t="str">
        <v>〇</v>
      </c>
      <c r="R48" s="2">
        <v>-1.3248774238737742</v>
      </c>
      <c r="S48" s="5">
        <v>22.2867216</v>
      </c>
    </row>
    <row r="49" spans="1:19" x14ac:dyDescent="0.4">
      <c r="A49">
        <v>20210803</v>
      </c>
      <c r="B49" s="1">
        <v>0.875</v>
      </c>
      <c r="C49">
        <v>-24773</v>
      </c>
      <c r="D49">
        <v>-204364</v>
      </c>
      <c r="E49">
        <v>-272417</v>
      </c>
      <c r="F49">
        <v>134034</v>
      </c>
      <c r="G49">
        <v>-21772</v>
      </c>
      <c r="H49">
        <v>16012</v>
      </c>
      <c r="I49">
        <v>-4629</v>
      </c>
      <c r="J49">
        <v>-1129</v>
      </c>
      <c r="K49">
        <v>-23633</v>
      </c>
      <c r="L49">
        <v>-53988</v>
      </c>
      <c r="M49">
        <v>10.07</v>
      </c>
      <c r="N49">
        <v>-456659</v>
      </c>
      <c r="O49">
        <v>21498300</v>
      </c>
      <c r="P49" s="2">
        <v>2.1241633059358183</v>
      </c>
      <c r="Q49" s="3" t="str">
        <v>〇</v>
      </c>
      <c r="R49" s="2">
        <v>-2.1241633059358183</v>
      </c>
      <c r="S49" s="5">
        <v>21.648788100000001</v>
      </c>
    </row>
    <row r="50" spans="1:19" x14ac:dyDescent="0.4">
      <c r="A50">
        <v>20210803</v>
      </c>
      <c r="B50" s="1">
        <v>0.91666666666666663</v>
      </c>
      <c r="C50">
        <v>15657</v>
      </c>
      <c r="D50">
        <v>-107635</v>
      </c>
      <c r="E50">
        <v>-255132</v>
      </c>
      <c r="F50">
        <v>118204</v>
      </c>
      <c r="G50">
        <v>-41356</v>
      </c>
      <c r="H50">
        <v>109399</v>
      </c>
      <c r="I50">
        <v>13091</v>
      </c>
      <c r="J50">
        <v>-6081</v>
      </c>
      <c r="K50">
        <v>25052</v>
      </c>
      <c r="L50">
        <v>-48896</v>
      </c>
      <c r="M50">
        <v>9.9</v>
      </c>
      <c r="N50">
        <v>-177697</v>
      </c>
      <c r="O50">
        <v>20783300</v>
      </c>
      <c r="P50" s="2">
        <v>0.85499896551558219</v>
      </c>
      <c r="Q50" s="3" t="str">
        <v>〇</v>
      </c>
      <c r="R50" s="2">
        <v>-0.85499896551558219</v>
      </c>
      <c r="S50" s="5">
        <v>20.575467</v>
      </c>
    </row>
    <row r="51" spans="1:19" x14ac:dyDescent="0.4">
      <c r="A51">
        <v>20210803</v>
      </c>
      <c r="B51" s="1">
        <v>0.9375</v>
      </c>
      <c r="C51">
        <v>-3808</v>
      </c>
      <c r="D51">
        <v>-54897</v>
      </c>
      <c r="E51">
        <v>-140983</v>
      </c>
      <c r="F51">
        <v>47714</v>
      </c>
      <c r="G51">
        <v>-56562</v>
      </c>
      <c r="H51">
        <v>131070</v>
      </c>
      <c r="I51">
        <v>-60660</v>
      </c>
      <c r="J51">
        <v>-24649</v>
      </c>
      <c r="K51">
        <v>-50600</v>
      </c>
      <c r="L51">
        <v>-43717</v>
      </c>
      <c r="M51">
        <v>9.6300000000000008</v>
      </c>
      <c r="N51">
        <v>-257092</v>
      </c>
      <c r="O51">
        <v>20692450</v>
      </c>
      <c r="P51" s="2">
        <v>1.2424434999238854</v>
      </c>
      <c r="Q51" s="3" t="str">
        <v>〇</v>
      </c>
      <c r="R51" s="2">
        <v>-1.2424434999238854</v>
      </c>
      <c r="S51" s="5">
        <v>19.926829350000002</v>
      </c>
    </row>
    <row r="52" spans="1:19" x14ac:dyDescent="0.4">
      <c r="A52">
        <v>20210803</v>
      </c>
      <c r="B52" s="1">
        <v>0.95833333333333337</v>
      </c>
      <c r="C52">
        <v>-19222</v>
      </c>
      <c r="D52">
        <v>-39731</v>
      </c>
      <c r="E52">
        <v>-484789</v>
      </c>
      <c r="F52">
        <v>58536</v>
      </c>
      <c r="G52">
        <v>-45635</v>
      </c>
      <c r="H52">
        <v>-17014</v>
      </c>
      <c r="I52">
        <v>-28966</v>
      </c>
      <c r="J52">
        <v>-10493</v>
      </c>
      <c r="K52">
        <v>-144806</v>
      </c>
      <c r="L52">
        <v>-50801</v>
      </c>
      <c r="M52">
        <v>8.86</v>
      </c>
      <c r="N52">
        <v>-782921</v>
      </c>
      <c r="O52">
        <v>20075200</v>
      </c>
      <c r="P52" s="2">
        <v>3.8999412210090063</v>
      </c>
      <c r="Q52" s="3" t="str">
        <v>〇</v>
      </c>
      <c r="R52" s="2">
        <v>-3.8999412210090063</v>
      </c>
      <c r="S52" s="5">
        <v>17.786627200000002</v>
      </c>
    </row>
    <row r="53" spans="1:19" x14ac:dyDescent="0.4">
      <c r="A53">
        <v>20210803</v>
      </c>
      <c r="B53" s="1">
        <v>0.97916666666666663</v>
      </c>
      <c r="C53">
        <v>40760</v>
      </c>
      <c r="D53">
        <v>-56092</v>
      </c>
      <c r="E53">
        <v>-25781</v>
      </c>
      <c r="F53">
        <v>7749</v>
      </c>
      <c r="G53">
        <v>-19670</v>
      </c>
      <c r="H53">
        <v>45962</v>
      </c>
      <c r="I53">
        <v>-79909</v>
      </c>
      <c r="J53">
        <v>-12376</v>
      </c>
      <c r="K53">
        <v>-149236</v>
      </c>
      <c r="L53">
        <v>-42860</v>
      </c>
      <c r="M53">
        <v>7.65</v>
      </c>
      <c r="N53">
        <v>-291453</v>
      </c>
      <c r="O53">
        <v>18819300</v>
      </c>
      <c r="P53" s="2">
        <v>1.5486920342414436</v>
      </c>
      <c r="Q53" s="3" t="str">
        <v>〇</v>
      </c>
      <c r="R53" s="2">
        <v>-1.5486920342414436</v>
      </c>
      <c r="S53" s="5">
        <v>14.3967645</v>
      </c>
    </row>
    <row r="54" spans="1:19" x14ac:dyDescent="0.4">
      <c r="A54">
        <v>20210804</v>
      </c>
      <c r="B54" s="1">
        <v>0</v>
      </c>
      <c r="C54">
        <v>27570</v>
      </c>
      <c r="D54">
        <v>-13648</v>
      </c>
      <c r="E54">
        <v>-271918</v>
      </c>
      <c r="F54">
        <v>42802</v>
      </c>
      <c r="G54">
        <v>-24805</v>
      </c>
      <c r="H54">
        <v>-7157</v>
      </c>
      <c r="I54">
        <v>-3771</v>
      </c>
      <c r="J54">
        <v>-19634</v>
      </c>
      <c r="K54">
        <v>-27977</v>
      </c>
      <c r="L54">
        <v>-63738</v>
      </c>
      <c r="M54">
        <v>8.86</v>
      </c>
      <c r="N54">
        <v>-362276</v>
      </c>
      <c r="O54">
        <v>18615900</v>
      </c>
      <c r="P54" s="2">
        <v>1.946056865367777</v>
      </c>
      <c r="Q54" s="3" t="str">
        <v>〇</v>
      </c>
      <c r="R54" s="2">
        <v>-1.946056865367777</v>
      </c>
      <c r="S54" s="5">
        <v>16.493687399999999</v>
      </c>
    </row>
    <row r="55" spans="1:19" x14ac:dyDescent="0.4">
      <c r="A55">
        <v>20210804</v>
      </c>
      <c r="B55" s="1">
        <v>8.3333333333333329E-2</v>
      </c>
      <c r="C55">
        <v>-52660</v>
      </c>
      <c r="D55">
        <v>125443</v>
      </c>
      <c r="E55">
        <v>-97936</v>
      </c>
      <c r="F55">
        <v>125021</v>
      </c>
      <c r="G55">
        <v>-20290</v>
      </c>
      <c r="H55">
        <v>-71686</v>
      </c>
      <c r="I55">
        <v>-44022</v>
      </c>
      <c r="J55">
        <v>-11113</v>
      </c>
      <c r="K55">
        <v>37006</v>
      </c>
      <c r="L55">
        <v>-49996</v>
      </c>
      <c r="M55">
        <v>7.45</v>
      </c>
      <c r="N55">
        <v>-60233</v>
      </c>
      <c r="O55">
        <v>20214400</v>
      </c>
      <c r="P55" s="2">
        <v>0.29797075352224156</v>
      </c>
      <c r="Q55" s="3" t="str">
        <v>〇</v>
      </c>
      <c r="R55" s="2">
        <v>-0.29797075352224156</v>
      </c>
      <c r="S55" s="5">
        <v>15.059728</v>
      </c>
    </row>
    <row r="56" spans="1:19" x14ac:dyDescent="0.4">
      <c r="A56">
        <v>20210804</v>
      </c>
      <c r="B56" s="1">
        <v>0.10416666666666667</v>
      </c>
      <c r="C56">
        <v>17355</v>
      </c>
      <c r="D56">
        <v>64910</v>
      </c>
      <c r="E56">
        <v>-23197</v>
      </c>
      <c r="F56">
        <v>185380</v>
      </c>
      <c r="G56">
        <v>-18688</v>
      </c>
      <c r="H56">
        <v>-149867</v>
      </c>
      <c r="I56">
        <v>-99830</v>
      </c>
      <c r="J56">
        <v>3395</v>
      </c>
      <c r="K56">
        <v>39564</v>
      </c>
      <c r="L56">
        <v>-51378</v>
      </c>
      <c r="M56">
        <v>7.45</v>
      </c>
      <c r="N56">
        <v>-32356</v>
      </c>
      <c r="O56">
        <v>20258800</v>
      </c>
      <c r="P56" s="2">
        <v>0.15971330977155607</v>
      </c>
      <c r="Q56" s="3" t="str">
        <v>〇</v>
      </c>
      <c r="R56" s="2">
        <v>-0.15971330977155607</v>
      </c>
      <c r="S56" s="5">
        <v>15.092806</v>
      </c>
    </row>
    <row r="57" spans="1:19" x14ac:dyDescent="0.4">
      <c r="A57">
        <v>20210804</v>
      </c>
      <c r="B57" s="1">
        <v>0.64583333333333337</v>
      </c>
      <c r="C57">
        <v>-109495</v>
      </c>
      <c r="D57">
        <v>-135806</v>
      </c>
      <c r="E57">
        <v>-436772</v>
      </c>
      <c r="F57">
        <v>130955</v>
      </c>
      <c r="G57">
        <v>30457</v>
      </c>
      <c r="H57">
        <v>123111</v>
      </c>
      <c r="I57">
        <v>22513</v>
      </c>
      <c r="J57">
        <v>-1351</v>
      </c>
      <c r="K57">
        <v>402127</v>
      </c>
      <c r="L57">
        <v>-27236</v>
      </c>
      <c r="M57">
        <v>17.010000000000002</v>
      </c>
      <c r="N57">
        <v>-1497</v>
      </c>
      <c r="O57">
        <v>25336950</v>
      </c>
      <c r="P57" s="2">
        <v>5.9083670291807024E-3</v>
      </c>
      <c r="Q57" s="3" t="str">
        <v>〇</v>
      </c>
      <c r="R57" s="2">
        <v>-5.9083670291807024E-3</v>
      </c>
      <c r="S57" s="5">
        <v>43.098151950000009</v>
      </c>
    </row>
    <row r="58" spans="1:19" x14ac:dyDescent="0.4">
      <c r="A58">
        <v>20210804</v>
      </c>
      <c r="B58" s="1">
        <v>0.66666666666666663</v>
      </c>
      <c r="C58">
        <v>-10963</v>
      </c>
      <c r="D58">
        <v>-52345</v>
      </c>
      <c r="E58">
        <v>-611881</v>
      </c>
      <c r="F58">
        <v>123368</v>
      </c>
      <c r="G58">
        <v>640</v>
      </c>
      <c r="H58">
        <v>45679</v>
      </c>
      <c r="I58">
        <v>-47970</v>
      </c>
      <c r="J58">
        <v>-38076</v>
      </c>
      <c r="K58">
        <v>202313</v>
      </c>
      <c r="L58">
        <v>-27795</v>
      </c>
      <c r="M58">
        <v>17.010000000000002</v>
      </c>
      <c r="N58">
        <v>-417030</v>
      </c>
      <c r="O58">
        <v>25519400</v>
      </c>
      <c r="P58" s="2">
        <v>1.6341685149337366</v>
      </c>
      <c r="Q58" s="3" t="str">
        <v>〇</v>
      </c>
      <c r="R58" s="2">
        <v>-1.6341685149337366</v>
      </c>
      <c r="S58" s="5">
        <v>43.408499400000004</v>
      </c>
    </row>
    <row r="59" spans="1:19" x14ac:dyDescent="0.4">
      <c r="A59">
        <v>20210804</v>
      </c>
      <c r="B59" s="1">
        <v>0.6875</v>
      </c>
      <c r="C59">
        <v>-971</v>
      </c>
      <c r="D59">
        <v>-106867</v>
      </c>
      <c r="E59">
        <v>-810255</v>
      </c>
      <c r="F59">
        <v>124660</v>
      </c>
      <c r="G59">
        <v>-15297</v>
      </c>
      <c r="H59">
        <v>64522</v>
      </c>
      <c r="I59">
        <v>-154659</v>
      </c>
      <c r="J59">
        <v>-38273</v>
      </c>
      <c r="K59">
        <v>127530</v>
      </c>
      <c r="L59">
        <v>-35568</v>
      </c>
      <c r="M59">
        <v>20</v>
      </c>
      <c r="N59">
        <v>-845178</v>
      </c>
      <c r="O59">
        <v>24908400</v>
      </c>
      <c r="P59" s="2">
        <v>3.3931444813797755</v>
      </c>
      <c r="Q59" s="3" t="str">
        <v>〇</v>
      </c>
      <c r="R59" s="2">
        <v>-3.3931444813797755</v>
      </c>
      <c r="S59" s="5">
        <v>49.816800000000001</v>
      </c>
    </row>
    <row r="60" spans="1:19" x14ac:dyDescent="0.4">
      <c r="A60">
        <v>20210804</v>
      </c>
      <c r="B60" s="1">
        <v>0.70833333333333337</v>
      </c>
      <c r="C60">
        <v>11494</v>
      </c>
      <c r="D60">
        <v>-43910</v>
      </c>
      <c r="E60">
        <v>-824400</v>
      </c>
      <c r="F60">
        <v>-147371</v>
      </c>
      <c r="G60">
        <v>-55763</v>
      </c>
      <c r="H60">
        <v>-84295</v>
      </c>
      <c r="I60">
        <v>-209224</v>
      </c>
      <c r="J60">
        <v>-54427</v>
      </c>
      <c r="K60">
        <v>-53274</v>
      </c>
      <c r="L60">
        <v>-38622</v>
      </c>
      <c r="M60">
        <v>17.010000000000002</v>
      </c>
      <c r="N60">
        <v>-1499792</v>
      </c>
      <c r="O60">
        <v>24139650</v>
      </c>
      <c r="P60" s="2">
        <v>6.2129815469569776</v>
      </c>
      <c r="Q60" s="3" t="str">
        <v>〇</v>
      </c>
      <c r="R60" s="2">
        <v>-6.2129815469569776</v>
      </c>
      <c r="S60" s="5">
        <v>41.061544650000009</v>
      </c>
    </row>
    <row r="61" spans="1:19" x14ac:dyDescent="0.4">
      <c r="A61">
        <v>20210804</v>
      </c>
      <c r="B61" s="1">
        <v>0.72916666666666663</v>
      </c>
      <c r="C61">
        <v>10143</v>
      </c>
      <c r="D61">
        <v>-127388</v>
      </c>
      <c r="E61">
        <v>-698640</v>
      </c>
      <c r="F61">
        <v>-98399</v>
      </c>
      <c r="G61">
        <v>-71227</v>
      </c>
      <c r="H61">
        <v>-196892</v>
      </c>
      <c r="I61">
        <v>-226216</v>
      </c>
      <c r="J61">
        <v>-81037</v>
      </c>
      <c r="K61">
        <v>-178166</v>
      </c>
      <c r="L61">
        <v>-38137</v>
      </c>
      <c r="M61">
        <v>17.010000000000002</v>
      </c>
      <c r="N61">
        <v>-1705959</v>
      </c>
      <c r="O61">
        <v>23626400</v>
      </c>
      <c r="P61" s="2">
        <v>7.2205625909998981</v>
      </c>
      <c r="Q61" s="3" t="str">
        <v>〇</v>
      </c>
      <c r="R61" s="2">
        <v>-7.2205625909998981</v>
      </c>
      <c r="S61" s="5">
        <v>40.188506400000009</v>
      </c>
    </row>
    <row r="62" spans="1:19" x14ac:dyDescent="0.4">
      <c r="A62">
        <v>20210804</v>
      </c>
      <c r="B62" s="1">
        <v>0.75</v>
      </c>
      <c r="C62">
        <v>-4872</v>
      </c>
      <c r="D62">
        <v>-149075</v>
      </c>
      <c r="E62">
        <v>-568546</v>
      </c>
      <c r="F62">
        <v>-22555</v>
      </c>
      <c r="G62">
        <v>-62248</v>
      </c>
      <c r="H62">
        <v>-147330</v>
      </c>
      <c r="I62">
        <v>-172964</v>
      </c>
      <c r="J62">
        <v>-61782</v>
      </c>
      <c r="K62">
        <v>-119045</v>
      </c>
      <c r="L62">
        <v>-26692</v>
      </c>
      <c r="M62">
        <v>17.010000000000002</v>
      </c>
      <c r="N62">
        <v>-1335109</v>
      </c>
      <c r="O62">
        <v>22962300</v>
      </c>
      <c r="P62" s="2">
        <v>5.8143522208141167</v>
      </c>
      <c r="Q62" s="3" t="str">
        <v>〇</v>
      </c>
      <c r="R62" s="2">
        <v>-5.8143522208141167</v>
      </c>
      <c r="S62" s="5">
        <v>39.058872300000004</v>
      </c>
    </row>
    <row r="63" spans="1:19" x14ac:dyDescent="0.4">
      <c r="A63">
        <v>20210804</v>
      </c>
      <c r="B63" s="1">
        <v>0.77083333333333337</v>
      </c>
      <c r="C63">
        <v>-27826</v>
      </c>
      <c r="D63">
        <v>-255386</v>
      </c>
      <c r="E63">
        <v>-368967</v>
      </c>
      <c r="F63">
        <v>10665</v>
      </c>
      <c r="G63">
        <v>-38423</v>
      </c>
      <c r="H63">
        <v>-162440</v>
      </c>
      <c r="I63">
        <v>-162174</v>
      </c>
      <c r="J63">
        <v>-17303</v>
      </c>
      <c r="K63">
        <v>31808</v>
      </c>
      <c r="L63">
        <v>-31928</v>
      </c>
      <c r="M63">
        <v>20</v>
      </c>
      <c r="N63">
        <v>-1021974</v>
      </c>
      <c r="O63">
        <v>22919100</v>
      </c>
      <c r="P63" s="2">
        <v>4.4590494391141009</v>
      </c>
      <c r="Q63" s="3" t="str">
        <v>〇</v>
      </c>
      <c r="R63" s="2">
        <v>-4.4590494391141009</v>
      </c>
      <c r="S63" s="5">
        <v>45.838200000000001</v>
      </c>
    </row>
    <row r="64" spans="1:19" x14ac:dyDescent="0.4">
      <c r="A64">
        <v>20210804</v>
      </c>
      <c r="B64" s="1">
        <v>0.79166666666666663</v>
      </c>
      <c r="C64">
        <v>26798</v>
      </c>
      <c r="D64">
        <v>-144093</v>
      </c>
      <c r="E64">
        <v>-239714</v>
      </c>
      <c r="F64">
        <v>-58010</v>
      </c>
      <c r="G64">
        <v>-58061</v>
      </c>
      <c r="H64">
        <v>-139304</v>
      </c>
      <c r="I64">
        <v>-77747</v>
      </c>
      <c r="J64">
        <v>4917</v>
      </c>
      <c r="K64">
        <v>72490</v>
      </c>
      <c r="L64">
        <v>-33355</v>
      </c>
      <c r="M64">
        <v>17.010000000000002</v>
      </c>
      <c r="N64">
        <v>-646079</v>
      </c>
      <c r="O64">
        <v>22780800</v>
      </c>
      <c r="P64" s="2">
        <v>2.8360680924287118</v>
      </c>
      <c r="Q64" s="3" t="str">
        <v>〇</v>
      </c>
      <c r="R64" s="2">
        <v>-2.8360680924287118</v>
      </c>
      <c r="S64" s="5">
        <v>38.750140800000004</v>
      </c>
    </row>
    <row r="65" spans="1:19" x14ac:dyDescent="0.4">
      <c r="A65">
        <v>20210804</v>
      </c>
      <c r="B65" s="1">
        <v>0.8125</v>
      </c>
      <c r="C65">
        <v>-86285</v>
      </c>
      <c r="D65">
        <v>-100638</v>
      </c>
      <c r="E65">
        <v>-115594</v>
      </c>
      <c r="F65">
        <v>-51100</v>
      </c>
      <c r="G65">
        <v>-40458</v>
      </c>
      <c r="H65">
        <v>-106150</v>
      </c>
      <c r="I65">
        <v>-53586</v>
      </c>
      <c r="J65">
        <v>-456</v>
      </c>
      <c r="K65">
        <v>28525</v>
      </c>
      <c r="L65">
        <v>-31220</v>
      </c>
      <c r="M65">
        <v>15.01</v>
      </c>
      <c r="N65">
        <v>-556962</v>
      </c>
      <c r="O65">
        <v>22550850</v>
      </c>
      <c r="P65" s="2">
        <v>2.4698049075755457</v>
      </c>
      <c r="Q65" s="3" t="str">
        <v>〇</v>
      </c>
      <c r="R65" s="2">
        <v>-2.4698049075755457</v>
      </c>
      <c r="S65" s="5">
        <v>33.848825849999997</v>
      </c>
    </row>
    <row r="66" spans="1:19" x14ac:dyDescent="0.4">
      <c r="A66">
        <v>20210804</v>
      </c>
      <c r="B66" s="1">
        <v>0.83333333333333337</v>
      </c>
      <c r="C66">
        <v>7897</v>
      </c>
      <c r="D66">
        <v>-65296</v>
      </c>
      <c r="E66">
        <v>-176791</v>
      </c>
      <c r="F66">
        <v>-111556</v>
      </c>
      <c r="G66">
        <v>-4287</v>
      </c>
      <c r="H66">
        <v>-109665</v>
      </c>
      <c r="I66">
        <v>-46776</v>
      </c>
      <c r="J66">
        <v>7493</v>
      </c>
      <c r="K66">
        <v>30451</v>
      </c>
      <c r="L66">
        <v>-36063</v>
      </c>
      <c r="M66">
        <v>12.1</v>
      </c>
      <c r="N66">
        <v>-504593</v>
      </c>
      <c r="O66">
        <v>22017100</v>
      </c>
      <c r="P66" s="2">
        <v>2.2918231738058146</v>
      </c>
      <c r="Q66" s="3" t="str">
        <v>〇</v>
      </c>
      <c r="R66" s="2">
        <v>-2.2918231738058146</v>
      </c>
      <c r="S66" s="5">
        <v>26.640691</v>
      </c>
    </row>
    <row r="67" spans="1:19" x14ac:dyDescent="0.4">
      <c r="A67">
        <v>20210804</v>
      </c>
      <c r="B67" s="1">
        <v>0.85416666666666663</v>
      </c>
      <c r="C67">
        <v>-27746</v>
      </c>
      <c r="D67">
        <v>-152406</v>
      </c>
      <c r="E67">
        <v>93536</v>
      </c>
      <c r="F67">
        <v>-62052</v>
      </c>
      <c r="G67">
        <v>-19183</v>
      </c>
      <c r="H67">
        <v>-121087</v>
      </c>
      <c r="I67">
        <v>-69880</v>
      </c>
      <c r="J67">
        <v>-24504</v>
      </c>
      <c r="K67">
        <v>104400</v>
      </c>
      <c r="L67">
        <v>-30750</v>
      </c>
      <c r="M67">
        <v>10.220000000000001</v>
      </c>
      <c r="N67">
        <v>-309672</v>
      </c>
      <c r="O67">
        <v>21825150</v>
      </c>
      <c r="P67" s="2">
        <v>1.4188768462072425</v>
      </c>
      <c r="Q67" s="3" t="str">
        <v>〇</v>
      </c>
      <c r="R67" s="2">
        <v>-1.4188768462072425</v>
      </c>
      <c r="S67" s="5">
        <v>22.305303299999999</v>
      </c>
    </row>
    <row r="68" spans="1:19" x14ac:dyDescent="0.4">
      <c r="A68">
        <v>20210804</v>
      </c>
      <c r="B68" s="1">
        <v>0.95833333333333337</v>
      </c>
      <c r="C68">
        <v>20952</v>
      </c>
      <c r="D68">
        <v>-115623</v>
      </c>
      <c r="E68">
        <v>232952</v>
      </c>
      <c r="F68">
        <v>-32907</v>
      </c>
      <c r="G68">
        <v>-43888</v>
      </c>
      <c r="H68">
        <v>55559</v>
      </c>
      <c r="I68">
        <v>-48055</v>
      </c>
      <c r="J68">
        <v>-15841</v>
      </c>
      <c r="K68">
        <v>-137941</v>
      </c>
      <c r="L68">
        <v>-47601</v>
      </c>
      <c r="M68">
        <v>8.86</v>
      </c>
      <c r="N68">
        <v>-132393</v>
      </c>
      <c r="O68">
        <v>20094750</v>
      </c>
      <c r="P68" s="2">
        <v>0.65884372783936107</v>
      </c>
      <c r="Q68" s="3" t="str">
        <v>〇</v>
      </c>
      <c r="R68" s="2">
        <v>-0.65884372783936107</v>
      </c>
      <c r="S68" s="5">
        <v>17.803948500000001</v>
      </c>
    </row>
    <row r="69" spans="1:19" x14ac:dyDescent="0.4">
      <c r="A69">
        <v>20210804</v>
      </c>
      <c r="B69" s="1">
        <v>0.97916666666666663</v>
      </c>
      <c r="C69">
        <v>-66584</v>
      </c>
      <c r="D69">
        <v>-192391</v>
      </c>
      <c r="E69">
        <v>570600</v>
      </c>
      <c r="F69">
        <v>-64611</v>
      </c>
      <c r="G69">
        <v>-33668</v>
      </c>
      <c r="H69">
        <v>59237</v>
      </c>
      <c r="I69">
        <v>-106308</v>
      </c>
      <c r="J69">
        <v>-16647</v>
      </c>
      <c r="K69">
        <v>-176654</v>
      </c>
      <c r="L69">
        <v>-39375</v>
      </c>
      <c r="M69">
        <v>7.61</v>
      </c>
      <c r="N69">
        <v>-66401</v>
      </c>
      <c r="O69">
        <v>18818150</v>
      </c>
      <c r="P69" s="2">
        <v>0.35285615217223798</v>
      </c>
      <c r="Q69" s="3" t="str">
        <v>〇</v>
      </c>
      <c r="R69" s="2">
        <v>-0.35285615217223798</v>
      </c>
      <c r="S69" s="5">
        <v>14.320612150000001</v>
      </c>
    </row>
    <row r="70" spans="1:19" x14ac:dyDescent="0.4">
      <c r="A70">
        <v>20210805</v>
      </c>
      <c r="B70" s="1">
        <v>0</v>
      </c>
      <c r="C70">
        <v>-23318</v>
      </c>
      <c r="D70">
        <v>-70777</v>
      </c>
      <c r="E70">
        <v>278659</v>
      </c>
      <c r="F70">
        <v>-69904</v>
      </c>
      <c r="G70">
        <v>-45643</v>
      </c>
      <c r="H70">
        <v>-62706</v>
      </c>
      <c r="I70">
        <v>-117155</v>
      </c>
      <c r="J70">
        <v>-3789</v>
      </c>
      <c r="K70">
        <v>-143879</v>
      </c>
      <c r="L70">
        <v>-42570</v>
      </c>
      <c r="M70">
        <v>8.7200000000000006</v>
      </c>
      <c r="N70">
        <v>-301082</v>
      </c>
      <c r="O70">
        <v>19364200</v>
      </c>
      <c r="P70" s="2">
        <v>1.5548383098707925</v>
      </c>
      <c r="Q70" s="3" t="str">
        <v>〇</v>
      </c>
      <c r="R70" s="2">
        <v>-1.5548383098707925</v>
      </c>
      <c r="S70" s="5">
        <v>16.885582400000001</v>
      </c>
    </row>
    <row r="71" spans="1:19" x14ac:dyDescent="0.4">
      <c r="A71">
        <v>20210805</v>
      </c>
      <c r="B71" s="1">
        <v>0.52083333333333337</v>
      </c>
      <c r="C71">
        <v>46059</v>
      </c>
      <c r="D71">
        <v>176050</v>
      </c>
      <c r="E71">
        <v>387840</v>
      </c>
      <c r="F71">
        <v>-190563</v>
      </c>
      <c r="G71">
        <v>30056</v>
      </c>
      <c r="H71">
        <v>-453127</v>
      </c>
      <c r="I71">
        <v>-100843</v>
      </c>
      <c r="J71">
        <v>-11135</v>
      </c>
      <c r="K71">
        <v>-28751</v>
      </c>
      <c r="L71">
        <v>11244</v>
      </c>
      <c r="M71">
        <v>9.67</v>
      </c>
      <c r="N71">
        <v>-133170</v>
      </c>
      <c r="O71">
        <v>27707700</v>
      </c>
      <c r="P71" s="2">
        <v>0.4806245195378902</v>
      </c>
      <c r="Q71" s="3" t="str">
        <v>〇</v>
      </c>
      <c r="R71" s="2">
        <v>-0.4806245195378902</v>
      </c>
      <c r="S71" s="5">
        <v>26.793345899999998</v>
      </c>
    </row>
    <row r="72" spans="1:19" x14ac:dyDescent="0.4">
      <c r="A72">
        <v>20210805</v>
      </c>
      <c r="B72" s="1">
        <v>0.6875</v>
      </c>
      <c r="C72">
        <v>-35694</v>
      </c>
      <c r="D72">
        <v>-38088</v>
      </c>
      <c r="E72">
        <v>-615853</v>
      </c>
      <c r="F72">
        <v>104344</v>
      </c>
      <c r="G72">
        <v>32978</v>
      </c>
      <c r="H72">
        <v>-68246</v>
      </c>
      <c r="I72">
        <v>504287</v>
      </c>
      <c r="J72">
        <v>-106508</v>
      </c>
      <c r="K72">
        <v>11146</v>
      </c>
      <c r="L72">
        <v>23653</v>
      </c>
      <c r="M72">
        <v>25</v>
      </c>
      <c r="N72">
        <v>-187981</v>
      </c>
      <c r="O72">
        <v>25273400</v>
      </c>
      <c r="P72" s="2">
        <v>0.74378991350589951</v>
      </c>
      <c r="Q72" s="3" t="str">
        <v>〇</v>
      </c>
      <c r="R72" s="2">
        <v>-0.74378991350589951</v>
      </c>
      <c r="S72" s="5">
        <v>63.183500000000002</v>
      </c>
    </row>
    <row r="73" spans="1:19" x14ac:dyDescent="0.4">
      <c r="A73">
        <v>20210805</v>
      </c>
      <c r="B73" s="1">
        <v>0.70833333333333337</v>
      </c>
      <c r="C73">
        <v>-33151</v>
      </c>
      <c r="D73">
        <v>-111314</v>
      </c>
      <c r="E73">
        <v>-517714</v>
      </c>
      <c r="F73">
        <v>324738</v>
      </c>
      <c r="G73">
        <v>61644</v>
      </c>
      <c r="H73">
        <v>-122797</v>
      </c>
      <c r="I73">
        <v>-40072</v>
      </c>
      <c r="J73">
        <v>-129082</v>
      </c>
      <c r="K73">
        <v>-132848</v>
      </c>
      <c r="L73">
        <v>20135</v>
      </c>
      <c r="M73">
        <v>20.010000000000002</v>
      </c>
      <c r="N73">
        <v>-680461</v>
      </c>
      <c r="O73">
        <v>24638500</v>
      </c>
      <c r="P73" s="2">
        <v>2.761779329098768</v>
      </c>
      <c r="Q73" s="3" t="str">
        <v>〇</v>
      </c>
      <c r="R73" s="2">
        <v>-2.761779329098768</v>
      </c>
      <c r="S73" s="5">
        <v>49.301638500000003</v>
      </c>
    </row>
    <row r="74" spans="1:19" x14ac:dyDescent="0.4">
      <c r="A74">
        <v>20210805</v>
      </c>
      <c r="B74" s="1">
        <v>0.72916666666666663</v>
      </c>
      <c r="C74">
        <v>-29909</v>
      </c>
      <c r="D74">
        <v>-153638</v>
      </c>
      <c r="E74">
        <v>-236237</v>
      </c>
      <c r="F74">
        <v>314637</v>
      </c>
      <c r="G74">
        <v>75517</v>
      </c>
      <c r="H74">
        <v>-256951</v>
      </c>
      <c r="I74">
        <v>-103537</v>
      </c>
      <c r="J74">
        <v>-160732</v>
      </c>
      <c r="K74">
        <v>-309714</v>
      </c>
      <c r="L74">
        <v>19696</v>
      </c>
      <c r="M74">
        <v>20.81</v>
      </c>
      <c r="N74">
        <v>-840868</v>
      </c>
      <c r="O74">
        <v>24009400</v>
      </c>
      <c r="P74" s="2">
        <v>3.5022449540596599</v>
      </c>
      <c r="Q74" s="3" t="str">
        <v>〇</v>
      </c>
      <c r="R74" s="2">
        <v>-3.5022449540596599</v>
      </c>
      <c r="S74" s="5">
        <v>49.963561399999996</v>
      </c>
    </row>
    <row r="75" spans="1:19" x14ac:dyDescent="0.4">
      <c r="A75">
        <v>20210805</v>
      </c>
      <c r="B75" s="1">
        <v>0.75</v>
      </c>
      <c r="C75">
        <v>-67981</v>
      </c>
      <c r="D75">
        <v>-215613</v>
      </c>
      <c r="E75">
        <v>-196833</v>
      </c>
      <c r="F75">
        <v>236955</v>
      </c>
      <c r="G75">
        <v>79513</v>
      </c>
      <c r="H75">
        <v>-222447</v>
      </c>
      <c r="I75">
        <v>-64844</v>
      </c>
      <c r="J75">
        <v>-138428</v>
      </c>
      <c r="K75">
        <v>-280740</v>
      </c>
      <c r="L75">
        <v>17734</v>
      </c>
      <c r="M75">
        <v>30</v>
      </c>
      <c r="N75">
        <v>-852684</v>
      </c>
      <c r="O75">
        <v>23390400</v>
      </c>
      <c r="P75" s="2">
        <v>3.6454442848348041</v>
      </c>
      <c r="Q75" s="3" t="str">
        <v>〇</v>
      </c>
      <c r="R75" s="2">
        <v>-3.6454442848348041</v>
      </c>
      <c r="S75" s="5">
        <v>70.171199999999999</v>
      </c>
    </row>
    <row r="76" spans="1:19" x14ac:dyDescent="0.4">
      <c r="A76">
        <v>20210805</v>
      </c>
      <c r="B76" s="1">
        <v>0.77083333333333337</v>
      </c>
      <c r="C76">
        <v>-75492</v>
      </c>
      <c r="D76">
        <v>-216682</v>
      </c>
      <c r="E76">
        <v>-169712</v>
      </c>
      <c r="F76">
        <v>174374</v>
      </c>
      <c r="G76">
        <v>71143</v>
      </c>
      <c r="H76">
        <v>-242733</v>
      </c>
      <c r="I76">
        <v>-127095</v>
      </c>
      <c r="J76">
        <v>-90043</v>
      </c>
      <c r="K76">
        <v>-177221</v>
      </c>
      <c r="L76">
        <v>11911</v>
      </c>
      <c r="M76">
        <v>30</v>
      </c>
      <c r="N76">
        <v>-841550</v>
      </c>
      <c r="O76">
        <v>23450600</v>
      </c>
      <c r="P76" s="2">
        <v>3.5886075409584404</v>
      </c>
      <c r="Q76" s="3" t="str">
        <v>〇</v>
      </c>
      <c r="R76" s="2">
        <v>-3.5886075409584404</v>
      </c>
      <c r="S76" s="5">
        <v>70.351799999999997</v>
      </c>
    </row>
    <row r="77" spans="1:19" x14ac:dyDescent="0.4">
      <c r="A77">
        <v>20210805</v>
      </c>
      <c r="B77" s="1">
        <v>0.79166666666666663</v>
      </c>
      <c r="C77">
        <v>-47428</v>
      </c>
      <c r="D77">
        <v>-164380</v>
      </c>
      <c r="E77">
        <v>-176285</v>
      </c>
      <c r="F77">
        <v>121394</v>
      </c>
      <c r="G77">
        <v>80568</v>
      </c>
      <c r="H77">
        <v>69830</v>
      </c>
      <c r="I77">
        <v>-170952</v>
      </c>
      <c r="J77">
        <v>-55826</v>
      </c>
      <c r="K77">
        <v>-32156</v>
      </c>
      <c r="L77">
        <v>16665</v>
      </c>
      <c r="M77">
        <v>20.81</v>
      </c>
      <c r="N77">
        <v>-358570</v>
      </c>
      <c r="O77">
        <v>23478900</v>
      </c>
      <c r="P77" s="2">
        <v>1.5272010187870813</v>
      </c>
      <c r="Q77" s="3" t="str">
        <v>〇</v>
      </c>
      <c r="R77" s="2">
        <v>-1.5272010187870813</v>
      </c>
      <c r="S77" s="5">
        <v>48.859590899999993</v>
      </c>
    </row>
    <row r="78" spans="1:19" x14ac:dyDescent="0.4">
      <c r="A78">
        <v>20210805</v>
      </c>
      <c r="B78" s="1">
        <v>0.8125</v>
      </c>
      <c r="C78">
        <v>-19610</v>
      </c>
      <c r="D78">
        <v>-76447</v>
      </c>
      <c r="E78">
        <v>-191646</v>
      </c>
      <c r="F78">
        <v>119234</v>
      </c>
      <c r="G78">
        <v>80321</v>
      </c>
      <c r="H78">
        <v>-9838</v>
      </c>
      <c r="I78">
        <v>-134655</v>
      </c>
      <c r="J78">
        <v>-59332</v>
      </c>
      <c r="K78">
        <v>-19041</v>
      </c>
      <c r="L78">
        <v>19426</v>
      </c>
      <c r="M78">
        <v>16</v>
      </c>
      <c r="N78">
        <v>-291588</v>
      </c>
      <c r="O78">
        <v>23131750</v>
      </c>
      <c r="P78" s="2">
        <v>1.2605531358414301</v>
      </c>
      <c r="Q78" s="3" t="str">
        <v>〇</v>
      </c>
      <c r="R78" s="2">
        <v>-1.2605531358414301</v>
      </c>
      <c r="S78" s="5">
        <v>37.010800000000003</v>
      </c>
    </row>
    <row r="79" spans="1:19" x14ac:dyDescent="0.4">
      <c r="A79">
        <v>20210805</v>
      </c>
      <c r="B79" s="1">
        <v>0.83333333333333337</v>
      </c>
      <c r="C79">
        <v>-35453</v>
      </c>
      <c r="D79">
        <v>16619</v>
      </c>
      <c r="E79">
        <v>-282514</v>
      </c>
      <c r="F79">
        <v>222064</v>
      </c>
      <c r="G79">
        <v>54624</v>
      </c>
      <c r="H79">
        <v>-61806</v>
      </c>
      <c r="I79">
        <v>-120626</v>
      </c>
      <c r="J79">
        <v>-26541</v>
      </c>
      <c r="K79">
        <v>39657</v>
      </c>
      <c r="L79">
        <v>13361</v>
      </c>
      <c r="M79">
        <v>15.01</v>
      </c>
      <c r="N79">
        <v>-180615</v>
      </c>
      <c r="O79">
        <v>22484100</v>
      </c>
      <c r="P79" s="2">
        <v>0.80330099937289012</v>
      </c>
      <c r="Q79" s="3" t="str">
        <v>〇</v>
      </c>
      <c r="R79" s="2">
        <v>-0.80330099937289012</v>
      </c>
      <c r="S79" s="5">
        <v>33.748634099999997</v>
      </c>
    </row>
    <row r="80" spans="1:19" x14ac:dyDescent="0.4">
      <c r="A80">
        <v>20210805</v>
      </c>
      <c r="B80" s="1">
        <v>0.85416666666666663</v>
      </c>
      <c r="C80">
        <v>-87567</v>
      </c>
      <c r="D80">
        <v>-46818</v>
      </c>
      <c r="E80">
        <v>-63071</v>
      </c>
      <c r="F80">
        <v>120378</v>
      </c>
      <c r="G80">
        <v>38213</v>
      </c>
      <c r="H80">
        <v>16237</v>
      </c>
      <c r="I80">
        <v>-166526</v>
      </c>
      <c r="J80">
        <v>-60724</v>
      </c>
      <c r="K80">
        <v>73099</v>
      </c>
      <c r="L80">
        <v>24472</v>
      </c>
      <c r="M80">
        <v>12.71</v>
      </c>
      <c r="N80">
        <v>-152307</v>
      </c>
      <c r="O80">
        <v>22253650</v>
      </c>
      <c r="P80" s="2">
        <v>0.68441356811129861</v>
      </c>
      <c r="Q80" s="3" t="str">
        <v>〇</v>
      </c>
      <c r="R80" s="2">
        <v>-0.68441356811129861</v>
      </c>
      <c r="S80" s="5">
        <v>28.284389149999999</v>
      </c>
    </row>
    <row r="81" spans="1:19" x14ac:dyDescent="0.4">
      <c r="A81">
        <v>20210805</v>
      </c>
      <c r="B81" s="1">
        <v>0.95833333333333337</v>
      </c>
      <c r="C81">
        <v>-84334</v>
      </c>
      <c r="D81">
        <v>-11280</v>
      </c>
      <c r="E81">
        <v>-129521</v>
      </c>
      <c r="F81">
        <v>67541</v>
      </c>
      <c r="G81">
        <v>-14842</v>
      </c>
      <c r="H81">
        <v>152994</v>
      </c>
      <c r="I81">
        <v>-64227</v>
      </c>
      <c r="J81">
        <v>-29378</v>
      </c>
      <c r="K81">
        <v>4336</v>
      </c>
      <c r="L81">
        <v>16739</v>
      </c>
      <c r="M81">
        <v>8.89</v>
      </c>
      <c r="N81">
        <v>-91972</v>
      </c>
      <c r="O81">
        <v>19926950</v>
      </c>
      <c r="P81" s="2">
        <v>0.46154579601996293</v>
      </c>
      <c r="Q81" s="3" t="str">
        <v>〇</v>
      </c>
      <c r="R81" s="2">
        <v>-0.46154579601996293</v>
      </c>
      <c r="S81" s="5">
        <v>17.715058549999998</v>
      </c>
    </row>
    <row r="82" spans="1:19" x14ac:dyDescent="0.4">
      <c r="A82">
        <v>20210806</v>
      </c>
      <c r="B82" s="1">
        <v>0</v>
      </c>
      <c r="C82">
        <v>-92802</v>
      </c>
      <c r="D82">
        <v>42514</v>
      </c>
      <c r="E82">
        <v>75896</v>
      </c>
      <c r="F82">
        <v>-13087</v>
      </c>
      <c r="G82">
        <v>1217</v>
      </c>
      <c r="H82">
        <v>-64598</v>
      </c>
      <c r="I82">
        <v>-36905</v>
      </c>
      <c r="J82">
        <v>37164</v>
      </c>
      <c r="K82">
        <v>-47050</v>
      </c>
      <c r="L82">
        <v>10172</v>
      </c>
      <c r="M82">
        <v>8.86</v>
      </c>
      <c r="N82">
        <v>-87479</v>
      </c>
      <c r="O82">
        <v>19467200</v>
      </c>
      <c r="P82" s="2">
        <v>0.44936611325717102</v>
      </c>
      <c r="Q82" s="3" t="str">
        <v>〇</v>
      </c>
      <c r="R82" s="2">
        <v>-0.44936611325717102</v>
      </c>
      <c r="S82" s="5">
        <v>17.247939200000001</v>
      </c>
    </row>
    <row r="83" spans="1:19" x14ac:dyDescent="0.4">
      <c r="A83">
        <v>20210806</v>
      </c>
      <c r="B83" s="1">
        <v>4.1666666666666664E-2</v>
      </c>
      <c r="C83">
        <v>-47430</v>
      </c>
      <c r="D83">
        <v>-66358</v>
      </c>
      <c r="E83">
        <v>128952</v>
      </c>
      <c r="F83">
        <v>48124</v>
      </c>
      <c r="G83">
        <v>18298</v>
      </c>
      <c r="H83">
        <v>-13162</v>
      </c>
      <c r="I83">
        <v>-94419</v>
      </c>
      <c r="J83">
        <v>27643</v>
      </c>
      <c r="K83">
        <v>-22757</v>
      </c>
      <c r="L83">
        <v>10506</v>
      </c>
      <c r="M83">
        <v>7.87</v>
      </c>
      <c r="N83">
        <v>-10603</v>
      </c>
      <c r="O83">
        <v>20080300</v>
      </c>
      <c r="P83" s="2">
        <v>5.2802995971175729E-2</v>
      </c>
      <c r="Q83" s="3" t="str">
        <v>〇</v>
      </c>
      <c r="R83" s="2">
        <v>-5.2802995971175729E-2</v>
      </c>
      <c r="S83" s="5">
        <v>15.803196099999999</v>
      </c>
    </row>
    <row r="84" spans="1:19" x14ac:dyDescent="0.4">
      <c r="A84">
        <v>20210806</v>
      </c>
      <c r="B84" s="1">
        <v>6.25E-2</v>
      </c>
      <c r="C84">
        <v>-77622</v>
      </c>
      <c r="D84">
        <v>-76572</v>
      </c>
      <c r="E84">
        <v>146550</v>
      </c>
      <c r="F84">
        <v>53970</v>
      </c>
      <c r="G84">
        <v>-10335</v>
      </c>
      <c r="H84">
        <v>-51807</v>
      </c>
      <c r="I84">
        <v>-38030</v>
      </c>
      <c r="J84">
        <v>27032</v>
      </c>
      <c r="K84">
        <v>-29508</v>
      </c>
      <c r="L84">
        <v>15146</v>
      </c>
      <c r="M84">
        <v>7.81</v>
      </c>
      <c r="N84">
        <v>-41176</v>
      </c>
      <c r="O84">
        <v>19986950</v>
      </c>
      <c r="P84" s="2">
        <v>0.20601442441192877</v>
      </c>
      <c r="Q84" s="3" t="str">
        <v>〇</v>
      </c>
      <c r="R84" s="2">
        <v>-0.20601442441192877</v>
      </c>
      <c r="S84" s="5">
        <v>15.60980795</v>
      </c>
    </row>
    <row r="85" spans="1:19" x14ac:dyDescent="0.4">
      <c r="A85">
        <v>20210806</v>
      </c>
      <c r="B85" s="1">
        <v>0.6875</v>
      </c>
      <c r="C85">
        <v>-101126</v>
      </c>
      <c r="D85">
        <v>11505</v>
      </c>
      <c r="E85">
        <v>-507239</v>
      </c>
      <c r="F85">
        <v>52377</v>
      </c>
      <c r="G85">
        <v>29171</v>
      </c>
      <c r="H85">
        <v>143047</v>
      </c>
      <c r="I85">
        <v>108513</v>
      </c>
      <c r="J85">
        <v>-83531</v>
      </c>
      <c r="K85">
        <v>249626</v>
      </c>
      <c r="L85">
        <v>2163</v>
      </c>
      <c r="M85">
        <v>15.46</v>
      </c>
      <c r="N85">
        <v>-95494</v>
      </c>
      <c r="O85">
        <v>25315750</v>
      </c>
      <c r="P85" s="2">
        <v>0.37721181477933696</v>
      </c>
      <c r="Q85" s="3" t="str">
        <v>〇</v>
      </c>
      <c r="R85" s="2">
        <v>-0.37721181477933696</v>
      </c>
      <c r="S85" s="5">
        <v>39.138149499999997</v>
      </c>
    </row>
    <row r="86" spans="1:19" x14ac:dyDescent="0.4">
      <c r="A86">
        <v>20210806</v>
      </c>
      <c r="B86" s="1">
        <v>0.85416666666666663</v>
      </c>
      <c r="C86">
        <v>-14111</v>
      </c>
      <c r="D86">
        <v>40934</v>
      </c>
      <c r="E86">
        <v>-453649</v>
      </c>
      <c r="F86">
        <v>113407</v>
      </c>
      <c r="G86">
        <v>-28519</v>
      </c>
      <c r="H86">
        <v>220354</v>
      </c>
      <c r="I86">
        <v>-38614</v>
      </c>
      <c r="J86">
        <v>17190</v>
      </c>
      <c r="K86">
        <v>81243</v>
      </c>
      <c r="L86">
        <v>8974</v>
      </c>
      <c r="M86">
        <v>10.220000000000001</v>
      </c>
      <c r="N86">
        <v>-52791</v>
      </c>
      <c r="O86">
        <v>22241950</v>
      </c>
      <c r="P86" s="2">
        <v>0.23734879360847408</v>
      </c>
      <c r="Q86" s="3" t="str">
        <v>〇</v>
      </c>
      <c r="R86" s="2">
        <v>-0.23734879360847408</v>
      </c>
      <c r="S86" s="5">
        <v>22.7312729</v>
      </c>
    </row>
    <row r="87" spans="1:19" x14ac:dyDescent="0.4">
      <c r="A87">
        <v>20210806</v>
      </c>
      <c r="B87" s="1">
        <v>0.89583333333333337</v>
      </c>
      <c r="C87">
        <v>57719</v>
      </c>
      <c r="D87">
        <v>60769</v>
      </c>
      <c r="E87">
        <v>-348709</v>
      </c>
      <c r="F87">
        <v>25321</v>
      </c>
      <c r="G87">
        <v>-35719</v>
      </c>
      <c r="H87">
        <v>199863</v>
      </c>
      <c r="I87">
        <v>-59055</v>
      </c>
      <c r="J87">
        <v>15977</v>
      </c>
      <c r="K87">
        <v>42851</v>
      </c>
      <c r="L87">
        <v>6518</v>
      </c>
      <c r="M87">
        <v>9.65</v>
      </c>
      <c r="N87">
        <v>-34465</v>
      </c>
      <c r="O87">
        <v>21706150</v>
      </c>
      <c r="P87" s="2">
        <v>0.15877988496347809</v>
      </c>
      <c r="Q87" s="3" t="str">
        <v>〇</v>
      </c>
      <c r="R87" s="2">
        <v>-0.15877988496347809</v>
      </c>
      <c r="S87" s="5">
        <v>20.946434750000002</v>
      </c>
    </row>
    <row r="88" spans="1:19" x14ac:dyDescent="0.4">
      <c r="A88">
        <v>20210806</v>
      </c>
      <c r="B88" s="1">
        <v>0.91666666666666663</v>
      </c>
      <c r="C88">
        <v>63569</v>
      </c>
      <c r="D88">
        <v>101277</v>
      </c>
      <c r="E88">
        <v>-309760</v>
      </c>
      <c r="F88">
        <v>81355</v>
      </c>
      <c r="G88">
        <v>-59045</v>
      </c>
      <c r="H88">
        <v>88463</v>
      </c>
      <c r="I88">
        <v>-30888</v>
      </c>
      <c r="J88">
        <v>14110</v>
      </c>
      <c r="K88">
        <v>50291</v>
      </c>
      <c r="L88">
        <v>-3251</v>
      </c>
      <c r="M88">
        <v>9.61</v>
      </c>
      <c r="N88">
        <v>-3879</v>
      </c>
      <c r="O88">
        <v>20804850</v>
      </c>
      <c r="P88" s="2">
        <v>1.8644691021564682E-2</v>
      </c>
      <c r="Q88" s="3" t="str">
        <v>〇</v>
      </c>
      <c r="R88" s="2">
        <v>-1.8644691021564682E-2</v>
      </c>
      <c r="S88" s="5">
        <v>19.993460850000002</v>
      </c>
    </row>
    <row r="89" spans="1:19" x14ac:dyDescent="0.4">
      <c r="A89">
        <v>20210806</v>
      </c>
      <c r="B89" s="1">
        <v>0.9375</v>
      </c>
      <c r="C89">
        <v>12592</v>
      </c>
      <c r="D89">
        <v>52131</v>
      </c>
      <c r="E89">
        <v>-328693</v>
      </c>
      <c r="F89">
        <v>27728</v>
      </c>
      <c r="G89">
        <v>-60834</v>
      </c>
      <c r="H89">
        <v>66176</v>
      </c>
      <c r="I89">
        <v>-31292</v>
      </c>
      <c r="J89">
        <v>-281</v>
      </c>
      <c r="K89">
        <v>32278</v>
      </c>
      <c r="L89">
        <v>-992</v>
      </c>
      <c r="M89">
        <v>9.4600000000000009</v>
      </c>
      <c r="N89">
        <v>-231187</v>
      </c>
      <c r="O89">
        <v>20767550</v>
      </c>
      <c r="P89" s="2">
        <v>1.1132126803595033</v>
      </c>
      <c r="Q89" s="3" t="str">
        <v>〇</v>
      </c>
      <c r="R89" s="2">
        <v>-1.1132126803595033</v>
      </c>
      <c r="S89" s="5">
        <v>19.646102300000003</v>
      </c>
    </row>
    <row r="90" spans="1:19" x14ac:dyDescent="0.4">
      <c r="A90">
        <v>20210806</v>
      </c>
      <c r="B90" s="1">
        <v>0.95833333333333337</v>
      </c>
      <c r="C90">
        <v>45679</v>
      </c>
      <c r="D90">
        <v>66674</v>
      </c>
      <c r="E90">
        <v>-445080</v>
      </c>
      <c r="F90">
        <v>13417</v>
      </c>
      <c r="G90">
        <v>-92805</v>
      </c>
      <c r="H90">
        <v>38845</v>
      </c>
      <c r="I90">
        <v>2672</v>
      </c>
      <c r="J90">
        <v>-2998</v>
      </c>
      <c r="K90">
        <v>3133</v>
      </c>
      <c r="L90">
        <v>-1400</v>
      </c>
      <c r="M90">
        <v>8.86</v>
      </c>
      <c r="N90">
        <v>-371863</v>
      </c>
      <c r="O90">
        <v>19983850</v>
      </c>
      <c r="P90" s="2">
        <v>1.8608176102202529</v>
      </c>
      <c r="Q90" s="3" t="str">
        <v>〇</v>
      </c>
      <c r="R90" s="2">
        <v>-1.8608176102202529</v>
      </c>
      <c r="S90" s="5">
        <v>17.705691099999999</v>
      </c>
    </row>
    <row r="91" spans="1:19" x14ac:dyDescent="0.4">
      <c r="A91">
        <v>20210806</v>
      </c>
      <c r="B91" s="1">
        <v>0.97916666666666663</v>
      </c>
      <c r="C91">
        <v>56340</v>
      </c>
      <c r="D91">
        <v>102583</v>
      </c>
      <c r="E91">
        <v>-183603</v>
      </c>
      <c r="F91">
        <v>41049</v>
      </c>
      <c r="G91">
        <v>-62845</v>
      </c>
      <c r="H91">
        <v>21065</v>
      </c>
      <c r="I91">
        <v>-35454</v>
      </c>
      <c r="J91">
        <v>-6455</v>
      </c>
      <c r="K91">
        <v>27554</v>
      </c>
      <c r="L91">
        <v>4469</v>
      </c>
      <c r="M91">
        <v>8.66</v>
      </c>
      <c r="N91">
        <v>-35297</v>
      </c>
      <c r="O91">
        <v>19589100</v>
      </c>
      <c r="P91" s="2">
        <v>0.1801869406966119</v>
      </c>
      <c r="Q91" s="3" t="str">
        <v>〇</v>
      </c>
      <c r="R91" s="2">
        <v>-0.1801869406966119</v>
      </c>
      <c r="S91" s="5">
        <v>16.9641606</v>
      </c>
    </row>
    <row r="92" spans="1:19" x14ac:dyDescent="0.4">
      <c r="A92">
        <v>20210807</v>
      </c>
      <c r="B92" s="1">
        <v>0</v>
      </c>
      <c r="C92">
        <v>31636</v>
      </c>
      <c r="D92">
        <v>-45990</v>
      </c>
      <c r="E92">
        <v>-437153</v>
      </c>
      <c r="F92">
        <v>-77310</v>
      </c>
      <c r="G92">
        <v>-29777</v>
      </c>
      <c r="H92">
        <v>90936</v>
      </c>
      <c r="I92">
        <v>34817</v>
      </c>
      <c r="J92">
        <v>-756</v>
      </c>
      <c r="K92">
        <v>15290</v>
      </c>
      <c r="L92">
        <v>3534</v>
      </c>
      <c r="M92">
        <v>8.86</v>
      </c>
      <c r="N92">
        <v>-414773</v>
      </c>
      <c r="O92">
        <v>17648550</v>
      </c>
      <c r="P92" s="2">
        <v>2.3501817429760519</v>
      </c>
      <c r="Q92" s="3" t="str">
        <v>〇</v>
      </c>
      <c r="R92" s="2">
        <v>-2.3501817429760519</v>
      </c>
      <c r="S92" s="5">
        <v>15.636615300000001</v>
      </c>
    </row>
    <row r="93" spans="1:19" x14ac:dyDescent="0.4">
      <c r="A93">
        <v>20210807</v>
      </c>
      <c r="B93" s="1">
        <v>2.0833333333333332E-2</v>
      </c>
      <c r="C93">
        <v>23984</v>
      </c>
      <c r="D93">
        <v>-13672</v>
      </c>
      <c r="E93">
        <v>-298124</v>
      </c>
      <c r="F93">
        <v>-35657</v>
      </c>
      <c r="G93">
        <v>-35424</v>
      </c>
      <c r="H93">
        <v>69225</v>
      </c>
      <c r="I93">
        <v>42639</v>
      </c>
      <c r="J93">
        <v>-4439</v>
      </c>
      <c r="K93">
        <v>-5821</v>
      </c>
      <c r="L93">
        <v>4348</v>
      </c>
      <c r="M93">
        <v>9.06</v>
      </c>
      <c r="N93">
        <v>-252941</v>
      </c>
      <c r="O93">
        <v>18288450</v>
      </c>
      <c r="P93" s="2">
        <v>1.3830641743832857</v>
      </c>
      <c r="Q93" s="3" t="str">
        <v>〇</v>
      </c>
      <c r="R93" s="2">
        <v>-1.3830641743832857</v>
      </c>
      <c r="S93" s="5">
        <v>16.5693357</v>
      </c>
    </row>
    <row r="94" spans="1:19" x14ac:dyDescent="0.4">
      <c r="A94">
        <v>20210807</v>
      </c>
      <c r="B94" s="1">
        <v>4.1666666666666664E-2</v>
      </c>
      <c r="C94">
        <v>54922</v>
      </c>
      <c r="D94">
        <v>-36826</v>
      </c>
      <c r="E94">
        <v>-442033</v>
      </c>
      <c r="F94">
        <v>-105155</v>
      </c>
      <c r="G94">
        <v>-32400</v>
      </c>
      <c r="H94">
        <v>7260</v>
      </c>
      <c r="I94">
        <v>32690</v>
      </c>
      <c r="J94">
        <v>28971</v>
      </c>
      <c r="K94">
        <v>-6150</v>
      </c>
      <c r="L94">
        <v>-2894</v>
      </c>
      <c r="M94">
        <v>8.86</v>
      </c>
      <c r="N94">
        <v>-501615</v>
      </c>
      <c r="O94">
        <v>18651050</v>
      </c>
      <c r="P94" s="2">
        <v>2.6894732468145226</v>
      </c>
      <c r="Q94" s="3" t="str">
        <v>〇</v>
      </c>
      <c r="R94" s="2">
        <v>-2.6894732468145226</v>
      </c>
      <c r="S94" s="5">
        <v>16.524830300000001</v>
      </c>
    </row>
    <row r="95" spans="1:19" x14ac:dyDescent="0.4">
      <c r="A95">
        <v>20210807</v>
      </c>
      <c r="B95" s="1">
        <v>6.25E-2</v>
      </c>
      <c r="C95">
        <v>62669</v>
      </c>
      <c r="D95">
        <v>-51465</v>
      </c>
      <c r="E95">
        <v>-296417</v>
      </c>
      <c r="F95">
        <v>-27873</v>
      </c>
      <c r="G95">
        <v>-25985</v>
      </c>
      <c r="H95">
        <v>-38842</v>
      </c>
      <c r="I95">
        <v>47127</v>
      </c>
      <c r="J95">
        <v>30074</v>
      </c>
      <c r="K95">
        <v>40962</v>
      </c>
      <c r="L95">
        <v>194</v>
      </c>
      <c r="M95">
        <v>8.11</v>
      </c>
      <c r="N95">
        <v>-259556</v>
      </c>
      <c r="O95">
        <v>18668450</v>
      </c>
      <c r="P95" s="2">
        <v>1.3903457437548377</v>
      </c>
      <c r="Q95" s="3" t="str">
        <v>〇</v>
      </c>
      <c r="R95" s="2">
        <v>-1.3903457437548377</v>
      </c>
      <c r="S95" s="5">
        <v>15.140112950000001</v>
      </c>
    </row>
    <row r="96" spans="1:19" x14ac:dyDescent="0.4">
      <c r="A96">
        <v>20210807</v>
      </c>
      <c r="B96" s="1">
        <v>8.3333333333333329E-2</v>
      </c>
      <c r="C96">
        <v>45717</v>
      </c>
      <c r="D96">
        <v>-5648</v>
      </c>
      <c r="E96">
        <v>-382188</v>
      </c>
      <c r="F96">
        <v>-10501</v>
      </c>
      <c r="G96">
        <v>-29677</v>
      </c>
      <c r="H96">
        <v>-65271</v>
      </c>
      <c r="I96">
        <v>91375</v>
      </c>
      <c r="J96">
        <v>22697</v>
      </c>
      <c r="K96">
        <v>42356</v>
      </c>
      <c r="L96">
        <v>8761</v>
      </c>
      <c r="M96">
        <v>7.89</v>
      </c>
      <c r="N96">
        <v>-282379</v>
      </c>
      <c r="O96">
        <v>18686600</v>
      </c>
      <c r="P96" s="2">
        <v>1.5111309708561216</v>
      </c>
      <c r="Q96" s="3" t="str">
        <v>〇</v>
      </c>
      <c r="R96" s="2">
        <v>-1.5111309708561216</v>
      </c>
      <c r="S96" s="5">
        <v>14.743727399999999</v>
      </c>
    </row>
    <row r="97" spans="1:19" x14ac:dyDescent="0.4">
      <c r="A97">
        <v>20210807</v>
      </c>
      <c r="B97" s="1">
        <v>0.10416666666666667</v>
      </c>
      <c r="C97">
        <v>72988</v>
      </c>
      <c r="D97">
        <v>9331</v>
      </c>
      <c r="E97">
        <v>-295633</v>
      </c>
      <c r="F97">
        <v>-58004</v>
      </c>
      <c r="G97">
        <v>-31641</v>
      </c>
      <c r="H97">
        <v>-124862</v>
      </c>
      <c r="I97">
        <v>77484</v>
      </c>
      <c r="J97">
        <v>26952</v>
      </c>
      <c r="K97">
        <v>41846</v>
      </c>
      <c r="L97">
        <v>-1897</v>
      </c>
      <c r="M97">
        <v>7.89</v>
      </c>
      <c r="N97">
        <v>-283436</v>
      </c>
      <c r="O97">
        <v>18683550</v>
      </c>
      <c r="P97" s="2">
        <v>1.517035038844331</v>
      </c>
      <c r="Q97" s="3" t="str">
        <v>〇</v>
      </c>
      <c r="R97" s="2">
        <v>-1.517035038844331</v>
      </c>
      <c r="S97" s="5">
        <v>14.74132095</v>
      </c>
    </row>
    <row r="98" spans="1:19" x14ac:dyDescent="0.4">
      <c r="A98">
        <v>20210807</v>
      </c>
      <c r="B98" s="1">
        <v>0.125</v>
      </c>
      <c r="C98">
        <v>99801</v>
      </c>
      <c r="D98">
        <v>-7181</v>
      </c>
      <c r="E98">
        <v>-375943</v>
      </c>
      <c r="F98">
        <v>-126801</v>
      </c>
      <c r="G98">
        <v>-13819</v>
      </c>
      <c r="H98">
        <v>28287</v>
      </c>
      <c r="I98">
        <v>78541</v>
      </c>
      <c r="J98">
        <v>31271</v>
      </c>
      <c r="K98">
        <v>57537</v>
      </c>
      <c r="L98">
        <v>646</v>
      </c>
      <c r="M98">
        <v>8.11</v>
      </c>
      <c r="N98">
        <v>-227661</v>
      </c>
      <c r="O98">
        <v>18667800</v>
      </c>
      <c r="P98" s="2">
        <v>1.2195384565937069</v>
      </c>
      <c r="Q98" s="3" t="str">
        <v>〇</v>
      </c>
      <c r="R98" s="2">
        <v>-1.2195384565937069</v>
      </c>
      <c r="S98" s="5">
        <v>15.139585800000001</v>
      </c>
    </row>
    <row r="99" spans="1:19" x14ac:dyDescent="0.4">
      <c r="A99">
        <v>20210807</v>
      </c>
      <c r="B99" s="1">
        <v>0.14583333333333334</v>
      </c>
      <c r="C99">
        <v>31324</v>
      </c>
      <c r="D99">
        <v>17095</v>
      </c>
      <c r="E99">
        <v>-311444</v>
      </c>
      <c r="F99">
        <v>-65746</v>
      </c>
      <c r="G99">
        <v>4136</v>
      </c>
      <c r="H99">
        <v>-14064</v>
      </c>
      <c r="I99">
        <v>50188</v>
      </c>
      <c r="J99">
        <v>32301</v>
      </c>
      <c r="K99">
        <v>56508</v>
      </c>
      <c r="L99">
        <v>-1463</v>
      </c>
      <c r="M99">
        <v>7.9</v>
      </c>
      <c r="N99">
        <v>-201165</v>
      </c>
      <c r="O99">
        <v>18784800</v>
      </c>
      <c r="P99" s="2">
        <v>1.0708924236616839</v>
      </c>
      <c r="Q99" s="3" t="str">
        <v>〇</v>
      </c>
      <c r="R99" s="2">
        <v>-1.0708924236616839</v>
      </c>
      <c r="S99" s="5">
        <v>14.839992000000001</v>
      </c>
    </row>
    <row r="100" spans="1:19" x14ac:dyDescent="0.4">
      <c r="A100">
        <v>20210807</v>
      </c>
      <c r="B100" s="1">
        <v>0.16666666666666666</v>
      </c>
      <c r="C100">
        <v>28160</v>
      </c>
      <c r="D100">
        <v>11949</v>
      </c>
      <c r="E100">
        <v>-282957</v>
      </c>
      <c r="F100">
        <v>-41188</v>
      </c>
      <c r="G100">
        <v>-11941</v>
      </c>
      <c r="H100">
        <v>1112</v>
      </c>
      <c r="I100">
        <v>121752</v>
      </c>
      <c r="J100">
        <v>47052</v>
      </c>
      <c r="K100">
        <v>61136</v>
      </c>
      <c r="L100">
        <v>-4101</v>
      </c>
      <c r="M100">
        <v>8.66</v>
      </c>
      <c r="N100">
        <v>-69026</v>
      </c>
      <c r="O100">
        <v>18928500</v>
      </c>
      <c r="P100" s="2">
        <v>0.36466703647938292</v>
      </c>
      <c r="Q100" s="3" t="str">
        <v>〇</v>
      </c>
      <c r="R100" s="2">
        <v>-0.36466703647938292</v>
      </c>
      <c r="S100" s="5">
        <v>16.392081000000001</v>
      </c>
    </row>
    <row r="101" spans="1:19" x14ac:dyDescent="0.4">
      <c r="A101">
        <v>20210807</v>
      </c>
      <c r="B101" s="1">
        <v>0.1875</v>
      </c>
      <c r="C101">
        <v>112580</v>
      </c>
      <c r="D101">
        <v>33806</v>
      </c>
      <c r="E101">
        <v>-320800</v>
      </c>
      <c r="F101">
        <v>25561</v>
      </c>
      <c r="G101">
        <v>-11810</v>
      </c>
      <c r="H101">
        <v>-38753</v>
      </c>
      <c r="I101">
        <v>27288</v>
      </c>
      <c r="J101">
        <v>35571</v>
      </c>
      <c r="K101">
        <v>42693</v>
      </c>
      <c r="L101">
        <v>-8847</v>
      </c>
      <c r="M101">
        <v>8.4</v>
      </c>
      <c r="N101">
        <v>-102711</v>
      </c>
      <c r="O101">
        <v>19008200</v>
      </c>
      <c r="P101" s="2">
        <v>0.5403510064077609</v>
      </c>
      <c r="Q101" s="3" t="str">
        <v>〇</v>
      </c>
      <c r="R101" s="2">
        <v>-0.5403510064077609</v>
      </c>
      <c r="S101" s="5">
        <v>15.966888000000001</v>
      </c>
    </row>
    <row r="102" spans="1:19" x14ac:dyDescent="0.4">
      <c r="A102">
        <v>20210807</v>
      </c>
      <c r="B102" s="1">
        <v>0.20833333333333334</v>
      </c>
      <c r="C102">
        <v>22347</v>
      </c>
      <c r="D102">
        <v>91657</v>
      </c>
      <c r="E102">
        <v>-299450</v>
      </c>
      <c r="F102">
        <v>-42685</v>
      </c>
      <c r="G102">
        <v>-20124</v>
      </c>
      <c r="H102">
        <v>-25554</v>
      </c>
      <c r="I102">
        <v>-21029</v>
      </c>
      <c r="J102">
        <v>22206</v>
      </c>
      <c r="K102">
        <v>43355</v>
      </c>
      <c r="L102">
        <v>-6361</v>
      </c>
      <c r="M102">
        <v>7.89</v>
      </c>
      <c r="N102">
        <v>-235638</v>
      </c>
      <c r="O102">
        <v>18948400</v>
      </c>
      <c r="P102" s="2">
        <v>1.2435772941250975</v>
      </c>
      <c r="Q102" s="3" t="str">
        <v>〇</v>
      </c>
      <c r="R102" s="2">
        <v>-1.2435772941250975</v>
      </c>
      <c r="S102" s="5">
        <v>14.950287599999999</v>
      </c>
    </row>
    <row r="103" spans="1:19" x14ac:dyDescent="0.4">
      <c r="A103">
        <v>20210807</v>
      </c>
      <c r="B103" s="1">
        <v>0.22916666666666666</v>
      </c>
      <c r="C103">
        <v>8544</v>
      </c>
      <c r="D103">
        <v>116963</v>
      </c>
      <c r="E103">
        <v>-287450</v>
      </c>
      <c r="F103">
        <v>18939</v>
      </c>
      <c r="G103">
        <v>3628</v>
      </c>
      <c r="H103">
        <v>75607</v>
      </c>
      <c r="I103">
        <v>15359</v>
      </c>
      <c r="J103">
        <v>10744</v>
      </c>
      <c r="K103">
        <v>-4713</v>
      </c>
      <c r="L103">
        <v>-5107</v>
      </c>
      <c r="M103">
        <v>7.89</v>
      </c>
      <c r="N103">
        <v>-47486</v>
      </c>
      <c r="O103">
        <v>19029750</v>
      </c>
      <c r="P103" s="2">
        <v>0.24953559558060406</v>
      </c>
      <c r="Q103" s="3" t="str">
        <v>〇</v>
      </c>
      <c r="R103" s="2">
        <v>-0.24953559558060406</v>
      </c>
      <c r="S103" s="5">
        <v>15.014472749999999</v>
      </c>
    </row>
    <row r="104" spans="1:19" x14ac:dyDescent="0.4">
      <c r="A104">
        <v>20210807</v>
      </c>
      <c r="B104" s="1">
        <v>0.25</v>
      </c>
      <c r="C104">
        <v>-8291</v>
      </c>
      <c r="D104">
        <v>135480</v>
      </c>
      <c r="E104">
        <v>-160268</v>
      </c>
      <c r="F104">
        <v>-42599</v>
      </c>
      <c r="G104">
        <v>9969</v>
      </c>
      <c r="H104">
        <v>57496</v>
      </c>
      <c r="I104">
        <v>-12106</v>
      </c>
      <c r="J104">
        <v>49858</v>
      </c>
      <c r="K104">
        <v>-119930</v>
      </c>
      <c r="L104">
        <v>-2220</v>
      </c>
      <c r="M104">
        <v>7.75</v>
      </c>
      <c r="N104">
        <v>-92611</v>
      </c>
      <c r="O104">
        <v>19465250</v>
      </c>
      <c r="P104" s="2">
        <v>0.47577606247029963</v>
      </c>
      <c r="Q104" s="3" t="str">
        <v>〇</v>
      </c>
      <c r="R104" s="2">
        <v>-0.47577606247029963</v>
      </c>
      <c r="S104" s="5">
        <v>15.08556875</v>
      </c>
    </row>
    <row r="105" spans="1:19" x14ac:dyDescent="0.4">
      <c r="A105">
        <v>20210807</v>
      </c>
      <c r="B105" s="1">
        <v>0.27083333333333331</v>
      </c>
      <c r="C105">
        <v>-52836</v>
      </c>
      <c r="D105">
        <v>143325</v>
      </c>
      <c r="E105">
        <v>-87830</v>
      </c>
      <c r="F105">
        <v>81574</v>
      </c>
      <c r="G105">
        <v>7382</v>
      </c>
      <c r="H105">
        <v>-54237</v>
      </c>
      <c r="I105">
        <v>-126630</v>
      </c>
      <c r="J105">
        <v>52703</v>
      </c>
      <c r="K105">
        <v>-201431</v>
      </c>
      <c r="L105">
        <v>-8280</v>
      </c>
      <c r="M105">
        <v>7.75</v>
      </c>
      <c r="N105">
        <v>-246260</v>
      </c>
      <c r="O105">
        <v>19865800</v>
      </c>
      <c r="P105" s="2">
        <v>1.2396178356773953</v>
      </c>
      <c r="Q105" s="3" t="str">
        <v>〇</v>
      </c>
      <c r="R105" s="2">
        <v>-1.2396178356773953</v>
      </c>
      <c r="S105" s="5">
        <v>15.395994999999999</v>
      </c>
    </row>
    <row r="106" spans="1:19" x14ac:dyDescent="0.4">
      <c r="A106">
        <v>20210807</v>
      </c>
      <c r="B106" s="1">
        <v>0.75</v>
      </c>
      <c r="C106">
        <v>121113</v>
      </c>
      <c r="D106">
        <v>55760</v>
      </c>
      <c r="E106">
        <v>77560</v>
      </c>
      <c r="F106">
        <v>-116872</v>
      </c>
      <c r="G106">
        <v>21824</v>
      </c>
      <c r="H106">
        <v>-206563</v>
      </c>
      <c r="I106">
        <v>85885</v>
      </c>
      <c r="J106">
        <v>-124716</v>
      </c>
      <c r="K106">
        <v>-43455</v>
      </c>
      <c r="L106">
        <v>-493</v>
      </c>
      <c r="M106">
        <v>10.28</v>
      </c>
      <c r="N106">
        <v>-129957</v>
      </c>
      <c r="O106">
        <v>21534900</v>
      </c>
      <c r="P106" s="2">
        <v>0.60347157404956608</v>
      </c>
      <c r="Q106" s="3" t="str">
        <v>〇</v>
      </c>
      <c r="R106" s="2">
        <v>-0.60347157404956608</v>
      </c>
      <c r="S106" s="5">
        <v>22.137877199999998</v>
      </c>
    </row>
    <row r="107" spans="1:19" x14ac:dyDescent="0.4">
      <c r="A107">
        <v>20210807</v>
      </c>
      <c r="B107" s="1">
        <v>0.77083333333333337</v>
      </c>
      <c r="C107">
        <v>92585</v>
      </c>
      <c r="D107">
        <v>-17807</v>
      </c>
      <c r="E107">
        <v>-182750</v>
      </c>
      <c r="F107">
        <v>-225325</v>
      </c>
      <c r="G107">
        <v>-4467</v>
      </c>
      <c r="H107">
        <v>-255740</v>
      </c>
      <c r="I107">
        <v>-15958</v>
      </c>
      <c r="J107">
        <v>-94018</v>
      </c>
      <c r="K107">
        <v>177698</v>
      </c>
      <c r="L107">
        <v>-8424</v>
      </c>
      <c r="M107">
        <v>10.28</v>
      </c>
      <c r="N107">
        <v>-534206</v>
      </c>
      <c r="O107">
        <v>21419800</v>
      </c>
      <c r="P107" s="2">
        <v>2.4939822033819175</v>
      </c>
      <c r="Q107" s="3" t="str">
        <v>〇</v>
      </c>
      <c r="R107" s="2">
        <v>-2.4939822033819175</v>
      </c>
      <c r="S107" s="5">
        <v>22.019554400000001</v>
      </c>
    </row>
    <row r="108" spans="1:19" x14ac:dyDescent="0.4">
      <c r="A108">
        <v>20210807</v>
      </c>
      <c r="B108" s="1">
        <v>0.79166666666666663</v>
      </c>
      <c r="C108">
        <v>56264</v>
      </c>
      <c r="D108">
        <v>7197</v>
      </c>
      <c r="E108">
        <v>-295440</v>
      </c>
      <c r="F108">
        <v>-234126</v>
      </c>
      <c r="G108">
        <v>21639</v>
      </c>
      <c r="H108">
        <v>-207378</v>
      </c>
      <c r="I108">
        <v>38271</v>
      </c>
      <c r="J108">
        <v>-43767</v>
      </c>
      <c r="K108">
        <v>265721</v>
      </c>
      <c r="L108">
        <v>-5925</v>
      </c>
      <c r="M108">
        <v>10.4</v>
      </c>
      <c r="N108">
        <v>-397544</v>
      </c>
      <c r="O108">
        <v>21302800</v>
      </c>
      <c r="P108" s="2">
        <v>1.8661584392661998</v>
      </c>
      <c r="Q108" s="3" t="str">
        <v>〇</v>
      </c>
      <c r="R108" s="2">
        <v>-1.8661584392661998</v>
      </c>
      <c r="S108" s="5">
        <v>22.154911999999999</v>
      </c>
    </row>
    <row r="109" spans="1:19" x14ac:dyDescent="0.4">
      <c r="A109">
        <v>20210807</v>
      </c>
      <c r="B109" s="1">
        <v>0.8125</v>
      </c>
      <c r="C109">
        <v>137859</v>
      </c>
      <c r="D109">
        <v>-41883</v>
      </c>
      <c r="E109">
        <v>-208139</v>
      </c>
      <c r="F109">
        <v>-166282</v>
      </c>
      <c r="G109">
        <v>41698</v>
      </c>
      <c r="H109">
        <v>-161664</v>
      </c>
      <c r="I109">
        <v>76692</v>
      </c>
      <c r="J109">
        <v>-11665</v>
      </c>
      <c r="K109">
        <v>280816</v>
      </c>
      <c r="L109">
        <v>-2434</v>
      </c>
      <c r="M109">
        <v>10.28</v>
      </c>
      <c r="N109">
        <v>-55002</v>
      </c>
      <c r="O109">
        <v>20989250</v>
      </c>
      <c r="P109" s="2">
        <v>0.26204842955322366</v>
      </c>
      <c r="Q109" s="3" t="str">
        <v>〇</v>
      </c>
      <c r="R109" s="2">
        <v>-0.26204842955322366</v>
      </c>
      <c r="S109" s="5">
        <v>21.576948999999999</v>
      </c>
    </row>
    <row r="110" spans="1:19" x14ac:dyDescent="0.4">
      <c r="A110">
        <v>20210807</v>
      </c>
      <c r="B110" s="1">
        <v>0.89583333333333337</v>
      </c>
      <c r="C110">
        <v>63072</v>
      </c>
      <c r="D110">
        <v>-14616</v>
      </c>
      <c r="E110">
        <v>-200330</v>
      </c>
      <c r="F110">
        <v>-213595</v>
      </c>
      <c r="G110">
        <v>19709</v>
      </c>
      <c r="H110">
        <v>-98645</v>
      </c>
      <c r="I110">
        <v>142911</v>
      </c>
      <c r="J110">
        <v>-15807</v>
      </c>
      <c r="K110">
        <v>266519</v>
      </c>
      <c r="L110">
        <v>1001</v>
      </c>
      <c r="M110">
        <v>9.49</v>
      </c>
      <c r="N110">
        <v>-49781</v>
      </c>
      <c r="O110">
        <v>20705700</v>
      </c>
      <c r="P110" s="2">
        <v>0.24042171962309897</v>
      </c>
      <c r="Q110" s="3" t="str">
        <v>〇</v>
      </c>
      <c r="R110" s="2">
        <v>-0.24042171962309897</v>
      </c>
      <c r="S110" s="5">
        <v>19.649709300000001</v>
      </c>
    </row>
    <row r="111" spans="1:19" x14ac:dyDescent="0.4">
      <c r="A111">
        <v>20210807</v>
      </c>
      <c r="B111" s="1">
        <v>0.91666666666666663</v>
      </c>
      <c r="C111">
        <v>118384</v>
      </c>
      <c r="D111">
        <v>-84114</v>
      </c>
      <c r="E111">
        <v>-229199</v>
      </c>
      <c r="F111">
        <v>-218089</v>
      </c>
      <c r="G111">
        <v>34795</v>
      </c>
      <c r="H111">
        <v>-93982</v>
      </c>
      <c r="I111">
        <v>53700</v>
      </c>
      <c r="J111">
        <v>12104</v>
      </c>
      <c r="K111">
        <v>274132</v>
      </c>
      <c r="L111">
        <v>1040</v>
      </c>
      <c r="M111">
        <v>8.9499999999999993</v>
      </c>
      <c r="N111">
        <v>-131229</v>
      </c>
      <c r="O111">
        <v>20225950</v>
      </c>
      <c r="P111" s="2">
        <v>0.64881501239743988</v>
      </c>
      <c r="Q111" s="3" t="str">
        <v>〇</v>
      </c>
      <c r="R111" s="2">
        <v>-0.64881501239743988</v>
      </c>
      <c r="S111" s="5">
        <v>18.10222525</v>
      </c>
    </row>
    <row r="112" spans="1:19" x14ac:dyDescent="0.4">
      <c r="A112">
        <v>20210807</v>
      </c>
      <c r="B112" s="1">
        <v>0.9375</v>
      </c>
      <c r="C112">
        <v>44796</v>
      </c>
      <c r="D112">
        <v>-92528</v>
      </c>
      <c r="E112">
        <v>-274194</v>
      </c>
      <c r="F112">
        <v>-276069</v>
      </c>
      <c r="G112">
        <v>-937</v>
      </c>
      <c r="H112">
        <v>-187624</v>
      </c>
      <c r="I112">
        <v>44247</v>
      </c>
      <c r="J112">
        <v>979</v>
      </c>
      <c r="K112">
        <v>228023</v>
      </c>
      <c r="L112">
        <v>-681</v>
      </c>
      <c r="M112">
        <v>8.14</v>
      </c>
      <c r="N112">
        <v>-513988</v>
      </c>
      <c r="O112">
        <v>19896100</v>
      </c>
      <c r="P112" s="2">
        <v>2.5833605580993262</v>
      </c>
      <c r="Q112" s="3" t="str">
        <v>〇</v>
      </c>
      <c r="R112" s="2">
        <v>-2.5833605580993262</v>
      </c>
      <c r="S112" s="5">
        <v>16.195425400000001</v>
      </c>
    </row>
    <row r="113" spans="1:19" x14ac:dyDescent="0.4">
      <c r="A113">
        <v>20210807</v>
      </c>
      <c r="B113" s="1">
        <v>0.95833333333333337</v>
      </c>
      <c r="C113">
        <v>80925</v>
      </c>
      <c r="D113">
        <v>-47728</v>
      </c>
      <c r="E113">
        <v>-413480</v>
      </c>
      <c r="F113">
        <v>-175344</v>
      </c>
      <c r="G113">
        <v>46392</v>
      </c>
      <c r="H113">
        <v>-147860</v>
      </c>
      <c r="I113">
        <v>83385</v>
      </c>
      <c r="J113">
        <v>-1747</v>
      </c>
      <c r="K113">
        <v>101466</v>
      </c>
      <c r="L113">
        <v>3645</v>
      </c>
      <c r="M113">
        <v>7.89</v>
      </c>
      <c r="N113">
        <v>-470346</v>
      </c>
      <c r="O113">
        <v>19445150</v>
      </c>
      <c r="P113" s="2">
        <v>2.4188345165761129</v>
      </c>
      <c r="Q113" s="3" t="str">
        <v>〇</v>
      </c>
      <c r="R113" s="2">
        <v>-2.4188345165761129</v>
      </c>
      <c r="S113" s="5">
        <v>15.342223349999999</v>
      </c>
    </row>
    <row r="114" spans="1:19" x14ac:dyDescent="0.4">
      <c r="A114">
        <v>20210807</v>
      </c>
      <c r="B114" s="1">
        <v>0.97916666666666663</v>
      </c>
      <c r="C114">
        <v>120005</v>
      </c>
      <c r="D114">
        <v>-13602</v>
      </c>
      <c r="E114">
        <v>-424428</v>
      </c>
      <c r="F114">
        <v>-183658</v>
      </c>
      <c r="G114">
        <v>49849</v>
      </c>
      <c r="H114">
        <v>-115286</v>
      </c>
      <c r="I114">
        <v>40855</v>
      </c>
      <c r="J114">
        <v>11099</v>
      </c>
      <c r="K114">
        <v>108789</v>
      </c>
      <c r="L114">
        <v>9585</v>
      </c>
      <c r="M114">
        <v>7.6</v>
      </c>
      <c r="N114">
        <v>-396792</v>
      </c>
      <c r="O114">
        <v>18489400</v>
      </c>
      <c r="P114" s="2">
        <v>2.146051250987052</v>
      </c>
      <c r="Q114" s="3" t="str">
        <v>〇</v>
      </c>
      <c r="R114" s="2">
        <v>-2.146051250987052</v>
      </c>
      <c r="S114" s="5">
        <v>14.051944000000001</v>
      </c>
    </row>
    <row r="115" spans="1:19" x14ac:dyDescent="0.4">
      <c r="Q115" s="3"/>
    </row>
    <row r="116" spans="1:19" x14ac:dyDescent="0.4">
      <c r="B116" t="s">
        <v>53</v>
      </c>
    </row>
    <row r="117" spans="1:19" x14ac:dyDescent="0.4">
      <c r="B117" s="1" cm="1">
        <f t="array" ref="B117:B120">_xlfn.MODE.MULT(B2:B114)</f>
        <v>0.75</v>
      </c>
    </row>
    <row r="118" spans="1:19" x14ac:dyDescent="0.4">
      <c r="B118" s="1">
        <v>0.77083333333333337</v>
      </c>
    </row>
    <row r="119" spans="1:19" x14ac:dyDescent="0.4">
      <c r="B119" s="1">
        <v>0.79166666666666663</v>
      </c>
    </row>
    <row r="120" spans="1:19" x14ac:dyDescent="0.4">
      <c r="B120" s="1">
        <v>0.95833333333333337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E1506-3727-4C1C-B440-1E2ECA65E23A}">
  <dimension ref="A1:S379"/>
  <sheetViews>
    <sheetView zoomScale="85" zoomScaleNormal="85" workbookViewId="0">
      <selection activeCell="A2" sqref="A2"/>
    </sheetView>
  </sheetViews>
  <sheetFormatPr defaultRowHeight="18.75" x14ac:dyDescent="0.4"/>
  <cols>
    <col min="1" max="1" width="9.5" bestFit="1" customWidth="1"/>
    <col min="2" max="2" width="12.75" bestFit="1" customWidth="1"/>
    <col min="3" max="3" width="8.375" bestFit="1" customWidth="1"/>
    <col min="4" max="6" width="8.5" bestFit="1" customWidth="1"/>
    <col min="7" max="7" width="8.375" bestFit="1" customWidth="1"/>
    <col min="8" max="8" width="8.5" bestFit="1" customWidth="1"/>
    <col min="9" max="10" width="8.375" bestFit="1" customWidth="1"/>
    <col min="11" max="11" width="8.5" bestFit="1" customWidth="1"/>
    <col min="12" max="12" width="7.375" bestFit="1" customWidth="1"/>
    <col min="13" max="13" width="26" bestFit="1" customWidth="1"/>
    <col min="14" max="14" width="25" bestFit="1" customWidth="1"/>
    <col min="15" max="15" width="12.5" bestFit="1" customWidth="1"/>
    <col min="16" max="16" width="18.5" bestFit="1" customWidth="1"/>
    <col min="17" max="17" width="6.25" bestFit="1" customWidth="1"/>
    <col min="18" max="18" width="29.25" bestFit="1" customWidth="1"/>
    <col min="19" max="19" width="15.5" bestFit="1" customWidth="1"/>
  </cols>
  <sheetData>
    <row r="1" spans="1:19" x14ac:dyDescent="0.4">
      <c r="A1" t="s">
        <v>51</v>
      </c>
      <c r="B1" t="s">
        <v>52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49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50</v>
      </c>
    </row>
    <row r="2" spans="1:19" x14ac:dyDescent="0.4">
      <c r="A2" cm="1">
        <f t="array" ref="A2:S368">_xlfn._xlws.FILTER('8月1日~8月10日の全国の取引状況'!A2:S481,'8月1日~8月10日の全国の取引状況'!R2:R481&gt;0,"")</f>
        <v>20210801</v>
      </c>
      <c r="B2" s="1">
        <v>0</v>
      </c>
      <c r="C2">
        <v>15532</v>
      </c>
      <c r="D2">
        <v>-26679</v>
      </c>
      <c r="E2">
        <v>-33793</v>
      </c>
      <c r="F2">
        <v>210874</v>
      </c>
      <c r="G2">
        <v>-13087</v>
      </c>
      <c r="H2">
        <v>210470</v>
      </c>
      <c r="I2">
        <v>-89236</v>
      </c>
      <c r="J2">
        <v>-17860</v>
      </c>
      <c r="K2">
        <v>-110700</v>
      </c>
      <c r="L2">
        <v>-50207</v>
      </c>
      <c r="M2">
        <v>6.93</v>
      </c>
      <c r="N2">
        <v>95314</v>
      </c>
      <c r="O2">
        <v>17655400</v>
      </c>
      <c r="P2" s="2">
        <v>0.53985749402449112</v>
      </c>
      <c r="Q2" t="str">
        <v/>
      </c>
      <c r="R2" s="2">
        <v>0.53985749402449112</v>
      </c>
      <c r="S2" s="5">
        <v>12.2351922</v>
      </c>
    </row>
    <row r="3" spans="1:19" x14ac:dyDescent="0.4">
      <c r="A3">
        <v>20210801</v>
      </c>
      <c r="B3" s="1">
        <v>2.0833333333333332E-2</v>
      </c>
      <c r="C3">
        <v>13765</v>
      </c>
      <c r="D3">
        <v>8553</v>
      </c>
      <c r="E3">
        <v>-121859</v>
      </c>
      <c r="F3">
        <v>243887</v>
      </c>
      <c r="G3">
        <v>10507</v>
      </c>
      <c r="H3">
        <v>190937</v>
      </c>
      <c r="I3">
        <v>-90586</v>
      </c>
      <c r="J3">
        <v>-23970</v>
      </c>
      <c r="K3">
        <v>-93444</v>
      </c>
      <c r="L3">
        <v>-46398</v>
      </c>
      <c r="M3">
        <v>6.93</v>
      </c>
      <c r="N3">
        <v>91392</v>
      </c>
      <c r="O3">
        <v>18958700</v>
      </c>
      <c r="P3" s="2">
        <v>0.48205836898099552</v>
      </c>
      <c r="Q3" t="str">
        <v/>
      </c>
      <c r="R3" s="2">
        <v>0.48205836898099552</v>
      </c>
      <c r="S3" s="5">
        <v>13.1383791</v>
      </c>
    </row>
    <row r="4" spans="1:19" x14ac:dyDescent="0.4">
      <c r="A4">
        <v>20210801</v>
      </c>
      <c r="B4" s="1">
        <v>4.1666666666666664E-2</v>
      </c>
      <c r="C4">
        <v>40699</v>
      </c>
      <c r="D4">
        <v>-45666</v>
      </c>
      <c r="E4">
        <v>-152555</v>
      </c>
      <c r="F4">
        <v>236714</v>
      </c>
      <c r="G4">
        <v>10703</v>
      </c>
      <c r="H4">
        <v>199471</v>
      </c>
      <c r="I4">
        <v>-44477</v>
      </c>
      <c r="J4">
        <v>-10904</v>
      </c>
      <c r="K4">
        <v>-59007</v>
      </c>
      <c r="L4">
        <v>-41214</v>
      </c>
      <c r="M4">
        <v>7.03</v>
      </c>
      <c r="N4">
        <v>133764</v>
      </c>
      <c r="O4">
        <v>19205250</v>
      </c>
      <c r="P4" s="2">
        <v>0.69649705158745656</v>
      </c>
      <c r="Q4" t="str">
        <v/>
      </c>
      <c r="R4" s="2">
        <v>0.69649705158745656</v>
      </c>
      <c r="S4" s="5">
        <v>13.501290750000001</v>
      </c>
    </row>
    <row r="5" spans="1:19" x14ac:dyDescent="0.4">
      <c r="A5">
        <v>20210801</v>
      </c>
      <c r="B5" s="1">
        <v>6.25E-2</v>
      </c>
      <c r="C5">
        <v>43710</v>
      </c>
      <c r="D5">
        <v>-47171</v>
      </c>
      <c r="E5">
        <v>5069</v>
      </c>
      <c r="F5">
        <v>225977</v>
      </c>
      <c r="G5">
        <v>-2754</v>
      </c>
      <c r="H5">
        <v>156520</v>
      </c>
      <c r="I5">
        <v>-22997</v>
      </c>
      <c r="J5">
        <v>-16464</v>
      </c>
      <c r="K5">
        <v>-36193</v>
      </c>
      <c r="L5">
        <v>-42234</v>
      </c>
      <c r="M5">
        <v>6.99</v>
      </c>
      <c r="N5">
        <v>263463</v>
      </c>
      <c r="O5">
        <v>19286800</v>
      </c>
      <c r="P5" s="2">
        <v>1.3660275421531825</v>
      </c>
      <c r="Q5" t="str">
        <v/>
      </c>
      <c r="R5" s="2">
        <v>1.3660275421531825</v>
      </c>
      <c r="S5" s="5">
        <v>13.4814732</v>
      </c>
    </row>
    <row r="6" spans="1:19" x14ac:dyDescent="0.4">
      <c r="A6">
        <v>20210801</v>
      </c>
      <c r="B6" s="1">
        <v>8.3333333333333329E-2</v>
      </c>
      <c r="C6">
        <v>34667</v>
      </c>
      <c r="D6">
        <v>-60448</v>
      </c>
      <c r="E6">
        <v>-99797</v>
      </c>
      <c r="F6">
        <v>250335</v>
      </c>
      <c r="G6">
        <v>12366</v>
      </c>
      <c r="H6">
        <v>130315</v>
      </c>
      <c r="I6">
        <v>-6157</v>
      </c>
      <c r="J6">
        <v>-6901</v>
      </c>
      <c r="K6">
        <v>-82360</v>
      </c>
      <c r="L6">
        <v>-36874</v>
      </c>
      <c r="M6">
        <v>6.72</v>
      </c>
      <c r="N6">
        <v>135146</v>
      </c>
      <c r="O6">
        <v>19354300</v>
      </c>
      <c r="P6" s="2">
        <v>0.69827376861989321</v>
      </c>
      <c r="Q6" t="str">
        <v/>
      </c>
      <c r="R6" s="2">
        <v>0.69827376861989321</v>
      </c>
      <c r="S6" s="5">
        <v>13.006089599999999</v>
      </c>
    </row>
    <row r="7" spans="1:19" x14ac:dyDescent="0.4">
      <c r="A7">
        <v>20210801</v>
      </c>
      <c r="B7" s="1">
        <v>0.10416666666666667</v>
      </c>
      <c r="C7">
        <v>95393</v>
      </c>
      <c r="D7">
        <v>-46171</v>
      </c>
      <c r="E7">
        <v>-7859</v>
      </c>
      <c r="F7">
        <v>282793</v>
      </c>
      <c r="G7">
        <v>-210</v>
      </c>
      <c r="H7">
        <v>82810</v>
      </c>
      <c r="I7">
        <v>-39216</v>
      </c>
      <c r="J7">
        <v>-7439</v>
      </c>
      <c r="K7">
        <v>-76289</v>
      </c>
      <c r="L7">
        <v>-46219</v>
      </c>
      <c r="M7">
        <v>6.64</v>
      </c>
      <c r="N7">
        <v>237593</v>
      </c>
      <c r="O7">
        <v>19478100</v>
      </c>
      <c r="P7" s="2">
        <v>1.2197955652758738</v>
      </c>
      <c r="Q7" t="str">
        <v/>
      </c>
      <c r="R7" s="2">
        <v>1.2197955652758738</v>
      </c>
      <c r="S7" s="5">
        <v>12.933458399999999</v>
      </c>
    </row>
    <row r="8" spans="1:19" x14ac:dyDescent="0.4">
      <c r="A8">
        <v>20210801</v>
      </c>
      <c r="B8" s="1">
        <v>0.125</v>
      </c>
      <c r="C8">
        <v>50620</v>
      </c>
      <c r="D8">
        <v>-63868</v>
      </c>
      <c r="E8">
        <v>-100555</v>
      </c>
      <c r="F8">
        <v>220451</v>
      </c>
      <c r="G8">
        <v>9310</v>
      </c>
      <c r="H8">
        <v>124574</v>
      </c>
      <c r="I8">
        <v>-35978</v>
      </c>
      <c r="J8">
        <v>5124</v>
      </c>
      <c r="K8">
        <v>-78296</v>
      </c>
      <c r="L8">
        <v>-41617</v>
      </c>
      <c r="M8">
        <v>6.78</v>
      </c>
      <c r="N8">
        <v>89765</v>
      </c>
      <c r="O8">
        <v>19630600</v>
      </c>
      <c r="P8" s="2">
        <v>0.45727079151936262</v>
      </c>
      <c r="Q8" t="str">
        <v/>
      </c>
      <c r="R8" s="2">
        <v>0.45727079151936262</v>
      </c>
      <c r="S8" s="5">
        <v>13.3095468</v>
      </c>
    </row>
    <row r="9" spans="1:19" x14ac:dyDescent="0.4">
      <c r="A9">
        <v>20210801</v>
      </c>
      <c r="B9" s="1">
        <v>0.14583333333333334</v>
      </c>
      <c r="C9">
        <v>29282</v>
      </c>
      <c r="D9">
        <v>-42491</v>
      </c>
      <c r="E9">
        <v>-6132</v>
      </c>
      <c r="F9">
        <v>230161</v>
      </c>
      <c r="G9">
        <v>26846</v>
      </c>
      <c r="H9">
        <v>122642</v>
      </c>
      <c r="I9">
        <v>23671</v>
      </c>
      <c r="J9">
        <v>21113</v>
      </c>
      <c r="K9">
        <v>-20359</v>
      </c>
      <c r="L9">
        <v>-40148</v>
      </c>
      <c r="M9">
        <v>6.72</v>
      </c>
      <c r="N9">
        <v>344585</v>
      </c>
      <c r="O9">
        <v>19671400</v>
      </c>
      <c r="P9" s="2">
        <v>1.7517055217218906</v>
      </c>
      <c r="Q9" t="str">
        <v/>
      </c>
      <c r="R9" s="2">
        <v>1.7517055217218906</v>
      </c>
      <c r="S9" s="5">
        <v>13.2191808</v>
      </c>
    </row>
    <row r="10" spans="1:19" x14ac:dyDescent="0.4">
      <c r="A10">
        <v>20210801</v>
      </c>
      <c r="B10" s="1">
        <v>0.16666666666666666</v>
      </c>
      <c r="C10">
        <v>53859</v>
      </c>
      <c r="D10">
        <v>-55393</v>
      </c>
      <c r="E10">
        <v>-7903</v>
      </c>
      <c r="F10">
        <v>42878</v>
      </c>
      <c r="G10">
        <v>30778</v>
      </c>
      <c r="H10">
        <v>203201</v>
      </c>
      <c r="I10">
        <v>22149</v>
      </c>
      <c r="J10">
        <v>50012</v>
      </c>
      <c r="K10">
        <v>-23002</v>
      </c>
      <c r="L10">
        <v>-37405</v>
      </c>
      <c r="M10">
        <v>6.77</v>
      </c>
      <c r="N10">
        <v>279174</v>
      </c>
      <c r="O10">
        <v>19693950</v>
      </c>
      <c r="P10" s="2">
        <v>1.4175622462736017</v>
      </c>
      <c r="Q10" t="str">
        <v/>
      </c>
      <c r="R10" s="2">
        <v>1.4175622462736017</v>
      </c>
      <c r="S10" s="5">
        <v>13.332804149999998</v>
      </c>
    </row>
    <row r="11" spans="1:19" x14ac:dyDescent="0.4">
      <c r="A11">
        <v>20210801</v>
      </c>
      <c r="B11" s="1">
        <v>0.1875</v>
      </c>
      <c r="C11">
        <v>20961</v>
      </c>
      <c r="D11">
        <v>-21574</v>
      </c>
      <c r="E11">
        <v>32411</v>
      </c>
      <c r="F11">
        <v>50284</v>
      </c>
      <c r="G11">
        <v>5676</v>
      </c>
      <c r="H11">
        <v>129662</v>
      </c>
      <c r="I11">
        <v>-23372</v>
      </c>
      <c r="J11">
        <v>30798</v>
      </c>
      <c r="K11">
        <v>73523</v>
      </c>
      <c r="L11">
        <v>-43755</v>
      </c>
      <c r="M11">
        <v>6.77</v>
      </c>
      <c r="N11">
        <v>254614</v>
      </c>
      <c r="O11">
        <v>19808300</v>
      </c>
      <c r="P11" s="2">
        <v>1.2853904676322552</v>
      </c>
      <c r="Q11" t="str">
        <v/>
      </c>
      <c r="R11" s="2">
        <v>1.2853904676322552</v>
      </c>
      <c r="S11" s="5">
        <v>13.410219099999999</v>
      </c>
    </row>
    <row r="12" spans="1:19" x14ac:dyDescent="0.4">
      <c r="A12">
        <v>20210801</v>
      </c>
      <c r="B12" s="1">
        <v>0.20833333333333334</v>
      </c>
      <c r="C12">
        <v>44954</v>
      </c>
      <c r="D12">
        <v>39060</v>
      </c>
      <c r="E12">
        <v>-110005</v>
      </c>
      <c r="F12">
        <v>27209</v>
      </c>
      <c r="G12">
        <v>-8791</v>
      </c>
      <c r="H12">
        <v>98854</v>
      </c>
      <c r="I12">
        <v>-4221</v>
      </c>
      <c r="J12">
        <v>30755</v>
      </c>
      <c r="K12">
        <v>5202</v>
      </c>
      <c r="L12">
        <v>-42462</v>
      </c>
      <c r="M12">
        <v>6.77</v>
      </c>
      <c r="N12">
        <v>80555</v>
      </c>
      <c r="O12">
        <v>19812950</v>
      </c>
      <c r="P12" s="2">
        <v>0.4065775162204518</v>
      </c>
      <c r="Q12" t="str">
        <v/>
      </c>
      <c r="R12" s="2">
        <v>0.4065775162204518</v>
      </c>
      <c r="S12" s="5">
        <v>13.413367149999999</v>
      </c>
    </row>
    <row r="13" spans="1:19" x14ac:dyDescent="0.4">
      <c r="A13">
        <v>20210801</v>
      </c>
      <c r="B13" s="1">
        <v>0.22916666666666666</v>
      </c>
      <c r="C13">
        <v>-12639</v>
      </c>
      <c r="D13">
        <v>115350</v>
      </c>
      <c r="E13">
        <v>292527</v>
      </c>
      <c r="F13">
        <v>73221</v>
      </c>
      <c r="G13">
        <v>9436</v>
      </c>
      <c r="H13">
        <v>110068</v>
      </c>
      <c r="I13">
        <v>-1184</v>
      </c>
      <c r="J13">
        <v>13719</v>
      </c>
      <c r="K13">
        <v>-29512</v>
      </c>
      <c r="L13">
        <v>-41661</v>
      </c>
      <c r="M13">
        <v>6.6</v>
      </c>
      <c r="N13">
        <v>529325</v>
      </c>
      <c r="O13">
        <v>19937100</v>
      </c>
      <c r="P13" s="2">
        <v>2.654974896048071</v>
      </c>
      <c r="Q13" t="str">
        <v/>
      </c>
      <c r="R13" s="2">
        <v>2.654974896048071</v>
      </c>
      <c r="S13" s="5">
        <v>13.158486</v>
      </c>
    </row>
    <row r="14" spans="1:19" x14ac:dyDescent="0.4">
      <c r="A14">
        <v>20210801</v>
      </c>
      <c r="B14" s="1">
        <v>0.25</v>
      </c>
      <c r="C14">
        <v>-10985</v>
      </c>
      <c r="D14">
        <v>177670</v>
      </c>
      <c r="E14">
        <v>77890</v>
      </c>
      <c r="F14">
        <v>28840</v>
      </c>
      <c r="G14">
        <v>10269</v>
      </c>
      <c r="H14">
        <v>58511</v>
      </c>
      <c r="I14">
        <v>87364</v>
      </c>
      <c r="J14">
        <v>11226</v>
      </c>
      <c r="K14">
        <v>-107933</v>
      </c>
      <c r="L14">
        <v>-43681</v>
      </c>
      <c r="M14">
        <v>6.45</v>
      </c>
      <c r="N14">
        <v>289171</v>
      </c>
      <c r="O14">
        <v>19844000</v>
      </c>
      <c r="P14" s="2">
        <v>1.4572213263454949</v>
      </c>
      <c r="Q14" t="str">
        <v/>
      </c>
      <c r="R14" s="2">
        <v>1.4572213263454949</v>
      </c>
      <c r="S14" s="5">
        <v>12.799379999999999</v>
      </c>
    </row>
    <row r="15" spans="1:19" x14ac:dyDescent="0.4">
      <c r="A15">
        <v>20210801</v>
      </c>
      <c r="B15" s="1">
        <v>0.27083333333333331</v>
      </c>
      <c r="C15">
        <v>7457</v>
      </c>
      <c r="D15">
        <v>296590</v>
      </c>
      <c r="E15">
        <v>662476</v>
      </c>
      <c r="F15">
        <v>48279</v>
      </c>
      <c r="G15">
        <v>-6332</v>
      </c>
      <c r="H15">
        <v>31267</v>
      </c>
      <c r="I15">
        <v>224312</v>
      </c>
      <c r="J15">
        <v>8388</v>
      </c>
      <c r="K15">
        <v>-228477</v>
      </c>
      <c r="L15">
        <v>-47352</v>
      </c>
      <c r="M15">
        <v>6.45</v>
      </c>
      <c r="N15">
        <v>996608</v>
      </c>
      <c r="O15">
        <v>20183800</v>
      </c>
      <c r="P15" s="2">
        <v>4.9376628781498031</v>
      </c>
      <c r="Q15" t="str">
        <v/>
      </c>
      <c r="R15" s="2">
        <v>4.9376628781498031</v>
      </c>
      <c r="S15" s="5">
        <v>13.018551</v>
      </c>
    </row>
    <row r="16" spans="1:19" x14ac:dyDescent="0.4">
      <c r="A16">
        <v>20210801</v>
      </c>
      <c r="B16" s="1">
        <v>0.29166666666666669</v>
      </c>
      <c r="C16">
        <v>-17446</v>
      </c>
      <c r="D16">
        <v>402173</v>
      </c>
      <c r="E16">
        <v>558734</v>
      </c>
      <c r="F16">
        <v>-8664</v>
      </c>
      <c r="G16">
        <v>-19854</v>
      </c>
      <c r="H16">
        <v>65511</v>
      </c>
      <c r="I16">
        <v>292083</v>
      </c>
      <c r="J16">
        <v>38524</v>
      </c>
      <c r="K16">
        <v>-378919</v>
      </c>
      <c r="L16">
        <v>-37757</v>
      </c>
      <c r="M16">
        <v>6.33</v>
      </c>
      <c r="N16">
        <v>894385</v>
      </c>
      <c r="O16">
        <v>20648150</v>
      </c>
      <c r="P16" s="2">
        <v>4.3315502841658935</v>
      </c>
      <c r="Q16" t="str">
        <v/>
      </c>
      <c r="R16" s="2">
        <v>4.3315502841658935</v>
      </c>
      <c r="S16" s="5">
        <v>13.070278950000001</v>
      </c>
    </row>
    <row r="17" spans="1:19" x14ac:dyDescent="0.4">
      <c r="A17">
        <v>20210801</v>
      </c>
      <c r="B17" s="1">
        <v>0.3125</v>
      </c>
      <c r="C17">
        <v>-28851</v>
      </c>
      <c r="D17">
        <v>509884</v>
      </c>
      <c r="E17">
        <v>999224</v>
      </c>
      <c r="F17">
        <v>43190</v>
      </c>
      <c r="G17">
        <v>21010</v>
      </c>
      <c r="H17">
        <v>80202</v>
      </c>
      <c r="I17">
        <v>441912</v>
      </c>
      <c r="J17">
        <v>102728</v>
      </c>
      <c r="K17">
        <v>-543720</v>
      </c>
      <c r="L17">
        <v>-46136</v>
      </c>
      <c r="M17">
        <v>6.48</v>
      </c>
      <c r="N17">
        <v>1579443</v>
      </c>
      <c r="O17">
        <v>21270700</v>
      </c>
      <c r="P17" s="2">
        <v>7.4254396893379155</v>
      </c>
      <c r="Q17" t="str">
        <v/>
      </c>
      <c r="R17" s="2">
        <v>7.4254396893379155</v>
      </c>
      <c r="S17" s="5">
        <v>13.783413599999999</v>
      </c>
    </row>
    <row r="18" spans="1:19" x14ac:dyDescent="0.4">
      <c r="A18">
        <v>20210801</v>
      </c>
      <c r="B18" s="1">
        <v>0.33333333333333331</v>
      </c>
      <c r="C18">
        <v>-34378</v>
      </c>
      <c r="D18">
        <v>435225</v>
      </c>
      <c r="E18">
        <v>212331</v>
      </c>
      <c r="F18">
        <v>161624</v>
      </c>
      <c r="G18">
        <v>82525</v>
      </c>
      <c r="H18">
        <v>133925</v>
      </c>
      <c r="I18">
        <v>84545</v>
      </c>
      <c r="J18">
        <v>140183</v>
      </c>
      <c r="K18">
        <v>-617188</v>
      </c>
      <c r="L18">
        <v>-34092</v>
      </c>
      <c r="M18">
        <v>6.49</v>
      </c>
      <c r="N18">
        <v>564700</v>
      </c>
      <c r="O18">
        <v>21859100</v>
      </c>
      <c r="P18" s="2">
        <v>2.5833634504622789</v>
      </c>
      <c r="Q18" t="str">
        <v/>
      </c>
      <c r="R18" s="2">
        <v>2.5833634504622789</v>
      </c>
      <c r="S18" s="5">
        <v>14.1865559</v>
      </c>
    </row>
    <row r="19" spans="1:19" x14ac:dyDescent="0.4">
      <c r="A19">
        <v>20210801</v>
      </c>
      <c r="B19" s="1">
        <v>0.35416666666666669</v>
      </c>
      <c r="C19">
        <v>-2655</v>
      </c>
      <c r="D19">
        <v>443342</v>
      </c>
      <c r="E19">
        <v>526844</v>
      </c>
      <c r="F19">
        <v>282448</v>
      </c>
      <c r="G19">
        <v>40505</v>
      </c>
      <c r="H19">
        <v>110372</v>
      </c>
      <c r="I19">
        <v>135995</v>
      </c>
      <c r="J19">
        <v>156328</v>
      </c>
      <c r="K19">
        <v>-688292</v>
      </c>
      <c r="L19">
        <v>-48991</v>
      </c>
      <c r="M19">
        <v>6.45</v>
      </c>
      <c r="N19">
        <v>955896</v>
      </c>
      <c r="O19">
        <v>22280600</v>
      </c>
      <c r="P19" s="2">
        <v>4.2902614830839383</v>
      </c>
      <c r="Q19" t="str">
        <v/>
      </c>
      <c r="R19" s="2">
        <v>4.2902614830839383</v>
      </c>
      <c r="S19" s="5">
        <v>14.370987</v>
      </c>
    </row>
    <row r="20" spans="1:19" x14ac:dyDescent="0.4">
      <c r="A20">
        <v>20210801</v>
      </c>
      <c r="B20" s="1">
        <v>0.375</v>
      </c>
      <c r="C20">
        <v>-32268</v>
      </c>
      <c r="D20">
        <v>385856</v>
      </c>
      <c r="E20">
        <v>-60700</v>
      </c>
      <c r="F20">
        <v>452420</v>
      </c>
      <c r="G20">
        <v>93164</v>
      </c>
      <c r="H20">
        <v>43215</v>
      </c>
      <c r="I20">
        <v>201920</v>
      </c>
      <c r="J20">
        <v>151425</v>
      </c>
      <c r="K20">
        <v>-598216</v>
      </c>
      <c r="L20">
        <v>-19041</v>
      </c>
      <c r="M20">
        <v>6.64</v>
      </c>
      <c r="N20">
        <v>617775</v>
      </c>
      <c r="O20">
        <v>22607000</v>
      </c>
      <c r="P20" s="2">
        <v>2.7326712965010835</v>
      </c>
      <c r="Q20" t="str">
        <v/>
      </c>
      <c r="R20" s="2">
        <v>2.7326712965010835</v>
      </c>
      <c r="S20" s="5">
        <v>15.011048000000001</v>
      </c>
    </row>
    <row r="21" spans="1:19" x14ac:dyDescent="0.4">
      <c r="A21">
        <v>20210801</v>
      </c>
      <c r="B21" s="1">
        <v>0.39583333333333331</v>
      </c>
      <c r="C21">
        <v>-33867</v>
      </c>
      <c r="D21">
        <v>379460</v>
      </c>
      <c r="E21">
        <v>41409</v>
      </c>
      <c r="F21">
        <v>461133</v>
      </c>
      <c r="G21">
        <v>98592</v>
      </c>
      <c r="H21">
        <v>208498</v>
      </c>
      <c r="I21">
        <v>260687</v>
      </c>
      <c r="J21">
        <v>156399</v>
      </c>
      <c r="K21">
        <v>-395871</v>
      </c>
      <c r="L21">
        <v>-21961</v>
      </c>
      <c r="M21">
        <v>6.86</v>
      </c>
      <c r="N21">
        <v>1154479</v>
      </c>
      <c r="O21">
        <v>22793750</v>
      </c>
      <c r="P21" s="2">
        <v>5.0648927885933643</v>
      </c>
      <c r="Q21" t="str">
        <v/>
      </c>
      <c r="R21" s="2">
        <v>5.0648927885933643</v>
      </c>
      <c r="S21" s="5">
        <v>15.6365125</v>
      </c>
    </row>
    <row r="22" spans="1:19" x14ac:dyDescent="0.4">
      <c r="A22">
        <v>20210801</v>
      </c>
      <c r="B22" s="1">
        <v>0.41666666666666702</v>
      </c>
      <c r="C22">
        <v>-47269</v>
      </c>
      <c r="D22">
        <v>288527</v>
      </c>
      <c r="E22">
        <v>-128927</v>
      </c>
      <c r="F22">
        <v>578136</v>
      </c>
      <c r="G22">
        <v>106463</v>
      </c>
      <c r="H22">
        <v>121970</v>
      </c>
      <c r="I22">
        <v>358283</v>
      </c>
      <c r="J22">
        <v>196397</v>
      </c>
      <c r="K22">
        <v>-207222</v>
      </c>
      <c r="L22">
        <v>-28492</v>
      </c>
      <c r="M22">
        <v>6.92</v>
      </c>
      <c r="N22">
        <v>1237866</v>
      </c>
      <c r="O22">
        <v>23239550</v>
      </c>
      <c r="P22" s="2">
        <v>5.3265489219885929</v>
      </c>
      <c r="Q22" t="str">
        <v/>
      </c>
      <c r="R22" s="2">
        <v>5.3265489219885929</v>
      </c>
      <c r="S22" s="5">
        <v>16.0817686</v>
      </c>
    </row>
    <row r="23" spans="1:19" x14ac:dyDescent="0.4">
      <c r="A23">
        <v>20210801</v>
      </c>
      <c r="B23" s="1">
        <v>0.4375</v>
      </c>
      <c r="C23">
        <v>84481</v>
      </c>
      <c r="D23">
        <v>227765</v>
      </c>
      <c r="E23">
        <v>231594</v>
      </c>
      <c r="F23">
        <v>603095</v>
      </c>
      <c r="G23">
        <v>114636</v>
      </c>
      <c r="H23">
        <v>135684</v>
      </c>
      <c r="I23">
        <v>328888</v>
      </c>
      <c r="J23">
        <v>212545</v>
      </c>
      <c r="K23">
        <v>49061</v>
      </c>
      <c r="L23">
        <v>-35896</v>
      </c>
      <c r="M23">
        <v>6.92</v>
      </c>
      <c r="N23">
        <v>1951853</v>
      </c>
      <c r="O23">
        <v>23331400</v>
      </c>
      <c r="P23" s="2">
        <v>8.3657774501315831</v>
      </c>
      <c r="Q23" t="str">
        <v/>
      </c>
      <c r="R23" s="2">
        <v>8.3657774501315831</v>
      </c>
      <c r="S23" s="5">
        <v>16.145328800000001</v>
      </c>
    </row>
    <row r="24" spans="1:19" x14ac:dyDescent="0.4">
      <c r="A24">
        <v>20210801</v>
      </c>
      <c r="B24" s="1">
        <v>0.45833333333333331</v>
      </c>
      <c r="C24">
        <v>6947</v>
      </c>
      <c r="D24">
        <v>176200</v>
      </c>
      <c r="E24">
        <v>167566</v>
      </c>
      <c r="F24">
        <v>632852</v>
      </c>
      <c r="G24">
        <v>108975</v>
      </c>
      <c r="H24">
        <v>-35495</v>
      </c>
      <c r="I24">
        <v>361279</v>
      </c>
      <c r="J24">
        <v>193198</v>
      </c>
      <c r="K24">
        <v>283850</v>
      </c>
      <c r="L24">
        <v>-30061</v>
      </c>
      <c r="M24">
        <v>6.99</v>
      </c>
      <c r="N24">
        <v>1865311</v>
      </c>
      <c r="O24">
        <v>23482850</v>
      </c>
      <c r="P24" s="2">
        <v>7.9432905290456652</v>
      </c>
      <c r="Q24" t="str">
        <v/>
      </c>
      <c r="R24" s="2">
        <v>7.9432905290456652</v>
      </c>
      <c r="S24" s="5">
        <v>16.41451215</v>
      </c>
    </row>
    <row r="25" spans="1:19" x14ac:dyDescent="0.4">
      <c r="A25">
        <v>20210801</v>
      </c>
      <c r="B25" s="1">
        <v>0.47916666666666669</v>
      </c>
      <c r="C25">
        <v>4577</v>
      </c>
      <c r="D25">
        <v>145686</v>
      </c>
      <c r="E25">
        <v>29841</v>
      </c>
      <c r="F25">
        <v>565297</v>
      </c>
      <c r="G25">
        <v>141791</v>
      </c>
      <c r="H25">
        <v>-143991</v>
      </c>
      <c r="I25">
        <v>357910</v>
      </c>
      <c r="J25">
        <v>160985</v>
      </c>
      <c r="K25">
        <v>509954</v>
      </c>
      <c r="L25">
        <v>-31983</v>
      </c>
      <c r="M25">
        <v>6.99</v>
      </c>
      <c r="N25">
        <v>1740067</v>
      </c>
      <c r="O25">
        <v>23658950</v>
      </c>
      <c r="P25" s="2">
        <v>7.3547938517981564</v>
      </c>
      <c r="Q25" t="str">
        <v/>
      </c>
      <c r="R25" s="2">
        <v>7.3547938517981564</v>
      </c>
      <c r="S25" s="5">
        <v>16.537606050000001</v>
      </c>
    </row>
    <row r="26" spans="1:19" x14ac:dyDescent="0.4">
      <c r="A26">
        <v>20210801</v>
      </c>
      <c r="B26" s="1">
        <v>0.5</v>
      </c>
      <c r="C26">
        <v>53747</v>
      </c>
      <c r="D26">
        <v>245285</v>
      </c>
      <c r="E26">
        <v>-103007</v>
      </c>
      <c r="F26">
        <v>354168</v>
      </c>
      <c r="G26">
        <v>127001</v>
      </c>
      <c r="H26">
        <v>-166738</v>
      </c>
      <c r="I26">
        <v>357669</v>
      </c>
      <c r="J26">
        <v>127168</v>
      </c>
      <c r="K26">
        <v>762628</v>
      </c>
      <c r="L26">
        <v>-20188</v>
      </c>
      <c r="M26">
        <v>7.23</v>
      </c>
      <c r="N26">
        <v>1737733</v>
      </c>
      <c r="O26">
        <v>23236550</v>
      </c>
      <c r="P26" s="2">
        <v>7.4784466713001718</v>
      </c>
      <c r="Q26" t="str">
        <v/>
      </c>
      <c r="R26" s="2">
        <v>7.4784466713001718</v>
      </c>
      <c r="S26" s="5">
        <v>16.800025649999998</v>
      </c>
    </row>
    <row r="27" spans="1:19" x14ac:dyDescent="0.4">
      <c r="A27">
        <v>20210801</v>
      </c>
      <c r="B27" s="1">
        <v>0.52083333333333337</v>
      </c>
      <c r="C27">
        <v>48928</v>
      </c>
      <c r="D27">
        <v>375241</v>
      </c>
      <c r="E27">
        <v>-166399</v>
      </c>
      <c r="F27">
        <v>305022</v>
      </c>
      <c r="G27">
        <v>134336</v>
      </c>
      <c r="H27">
        <v>-308355</v>
      </c>
      <c r="I27">
        <v>397453</v>
      </c>
      <c r="J27">
        <v>95197</v>
      </c>
      <c r="K27">
        <v>989149</v>
      </c>
      <c r="L27">
        <v>-20847</v>
      </c>
      <c r="M27">
        <v>7.46</v>
      </c>
      <c r="N27">
        <v>1849725</v>
      </c>
      <c r="O27">
        <v>22936500</v>
      </c>
      <c r="P27" s="2">
        <v>8.0645477731999211</v>
      </c>
      <c r="Q27" t="str">
        <v/>
      </c>
      <c r="R27" s="2">
        <v>8.0645477731999211</v>
      </c>
      <c r="S27" s="5">
        <v>17.110628999999999</v>
      </c>
    </row>
    <row r="28" spans="1:19" x14ac:dyDescent="0.4">
      <c r="A28">
        <v>20210801</v>
      </c>
      <c r="B28" s="1">
        <v>0.54166666666666663</v>
      </c>
      <c r="C28">
        <v>62258</v>
      </c>
      <c r="D28">
        <v>407053</v>
      </c>
      <c r="E28">
        <v>402567</v>
      </c>
      <c r="F28">
        <v>163127</v>
      </c>
      <c r="G28">
        <v>116591</v>
      </c>
      <c r="H28">
        <v>-261833</v>
      </c>
      <c r="I28">
        <v>364111</v>
      </c>
      <c r="J28">
        <v>87111</v>
      </c>
      <c r="K28">
        <v>1112817</v>
      </c>
      <c r="L28">
        <v>-16827</v>
      </c>
      <c r="M28">
        <v>8.86</v>
      </c>
      <c r="N28">
        <v>2436975</v>
      </c>
      <c r="O28">
        <v>22399100</v>
      </c>
      <c r="P28" s="2">
        <v>10.879789812983557</v>
      </c>
      <c r="Q28" t="str">
        <v/>
      </c>
      <c r="R28" s="2">
        <v>10.879789812983557</v>
      </c>
      <c r="S28" s="5">
        <v>19.845602599999999</v>
      </c>
    </row>
    <row r="29" spans="1:19" x14ac:dyDescent="0.4">
      <c r="A29">
        <v>20210801</v>
      </c>
      <c r="B29" s="1">
        <v>0.5625</v>
      </c>
      <c r="C29">
        <v>64705</v>
      </c>
      <c r="D29">
        <v>236538</v>
      </c>
      <c r="E29">
        <v>-58709</v>
      </c>
      <c r="F29">
        <v>226852</v>
      </c>
      <c r="G29">
        <v>136501</v>
      </c>
      <c r="H29">
        <v>-340620</v>
      </c>
      <c r="I29">
        <v>391814</v>
      </c>
      <c r="J29">
        <v>81922</v>
      </c>
      <c r="K29">
        <v>1268927</v>
      </c>
      <c r="L29">
        <v>-29703</v>
      </c>
      <c r="M29">
        <v>8.19</v>
      </c>
      <c r="N29">
        <v>1978227</v>
      </c>
      <c r="O29">
        <v>22919300</v>
      </c>
      <c r="P29" s="2">
        <v>8.6312714611702805</v>
      </c>
      <c r="Q29" t="str">
        <v/>
      </c>
      <c r="R29" s="2">
        <v>8.6312714611702805</v>
      </c>
      <c r="S29" s="5">
        <v>18.770906700000001</v>
      </c>
    </row>
    <row r="30" spans="1:19" x14ac:dyDescent="0.4">
      <c r="A30">
        <v>20210801</v>
      </c>
      <c r="B30" s="1">
        <v>0.58333333333333337</v>
      </c>
      <c r="C30">
        <v>100381</v>
      </c>
      <c r="D30">
        <v>254229</v>
      </c>
      <c r="E30">
        <v>420549</v>
      </c>
      <c r="F30">
        <v>273965</v>
      </c>
      <c r="G30">
        <v>137682</v>
      </c>
      <c r="H30">
        <v>-143025</v>
      </c>
      <c r="I30">
        <v>356597</v>
      </c>
      <c r="J30">
        <v>39103</v>
      </c>
      <c r="K30">
        <v>1206885</v>
      </c>
      <c r="L30">
        <v>-12474</v>
      </c>
      <c r="M30">
        <v>8.86</v>
      </c>
      <c r="N30">
        <v>2633892</v>
      </c>
      <c r="O30">
        <v>22640100</v>
      </c>
      <c r="P30" s="2">
        <v>11.633747200763247</v>
      </c>
      <c r="Q30" t="str">
        <v/>
      </c>
      <c r="R30" s="2">
        <v>11.633747200763247</v>
      </c>
      <c r="S30" s="5">
        <v>20.059128600000001</v>
      </c>
    </row>
    <row r="31" spans="1:19" x14ac:dyDescent="0.4">
      <c r="A31">
        <v>20210801</v>
      </c>
      <c r="B31" s="1">
        <v>0.60416666666666663</v>
      </c>
      <c r="C31">
        <v>102458</v>
      </c>
      <c r="D31">
        <v>150159</v>
      </c>
      <c r="E31">
        <v>-59274</v>
      </c>
      <c r="F31">
        <v>294943</v>
      </c>
      <c r="G31">
        <v>93397</v>
      </c>
      <c r="H31">
        <v>-69286</v>
      </c>
      <c r="I31">
        <v>332504</v>
      </c>
      <c r="J31">
        <v>7666</v>
      </c>
      <c r="K31">
        <v>1185469</v>
      </c>
      <c r="L31">
        <v>-20058</v>
      </c>
      <c r="M31">
        <v>8.86</v>
      </c>
      <c r="N31">
        <v>2017978</v>
      </c>
      <c r="O31">
        <v>22330100</v>
      </c>
      <c r="P31" s="2">
        <v>9.0370307343003393</v>
      </c>
      <c r="Q31" t="str">
        <v/>
      </c>
      <c r="R31" s="2">
        <v>9.0370307343003393</v>
      </c>
      <c r="S31" s="5">
        <v>19.7844686</v>
      </c>
    </row>
    <row r="32" spans="1:19" x14ac:dyDescent="0.4">
      <c r="A32">
        <v>20210801</v>
      </c>
      <c r="B32" s="1">
        <v>0.625</v>
      </c>
      <c r="C32">
        <v>144934</v>
      </c>
      <c r="D32">
        <v>67029</v>
      </c>
      <c r="E32">
        <v>275797</v>
      </c>
      <c r="F32">
        <v>121998</v>
      </c>
      <c r="G32">
        <v>67898</v>
      </c>
      <c r="H32">
        <v>16578</v>
      </c>
      <c r="I32">
        <v>385299</v>
      </c>
      <c r="J32">
        <v>-15578</v>
      </c>
      <c r="K32">
        <v>1027700</v>
      </c>
      <c r="L32">
        <v>-22998</v>
      </c>
      <c r="M32">
        <v>8.32</v>
      </c>
      <c r="N32">
        <v>2068657</v>
      </c>
      <c r="O32">
        <v>22026650</v>
      </c>
      <c r="P32" s="2">
        <v>9.391609709147783</v>
      </c>
      <c r="Q32" t="str">
        <v/>
      </c>
      <c r="R32" s="2">
        <v>9.391609709147783</v>
      </c>
      <c r="S32" s="5">
        <v>18.326172799999998</v>
      </c>
    </row>
    <row r="33" spans="1:19" x14ac:dyDescent="0.4">
      <c r="A33">
        <v>20210801</v>
      </c>
      <c r="B33" s="1">
        <v>0.64583333333333337</v>
      </c>
      <c r="C33">
        <v>118830</v>
      </c>
      <c r="D33">
        <v>164760</v>
      </c>
      <c r="E33">
        <v>-276155</v>
      </c>
      <c r="F33">
        <v>-78732</v>
      </c>
      <c r="G33">
        <v>47308</v>
      </c>
      <c r="H33">
        <v>-8031</v>
      </c>
      <c r="I33">
        <v>336741</v>
      </c>
      <c r="J33">
        <v>-33498</v>
      </c>
      <c r="K33">
        <v>808929</v>
      </c>
      <c r="L33">
        <v>-38509</v>
      </c>
      <c r="M33">
        <v>8.64</v>
      </c>
      <c r="N33">
        <v>1041643</v>
      </c>
      <c r="O33">
        <v>21637500</v>
      </c>
      <c r="P33" s="2">
        <v>4.8140635470826112</v>
      </c>
      <c r="Q33" t="str">
        <v/>
      </c>
      <c r="R33" s="2">
        <v>4.8140635470826112</v>
      </c>
      <c r="S33" s="5">
        <v>18.694800000000001</v>
      </c>
    </row>
    <row r="34" spans="1:19" x14ac:dyDescent="0.4">
      <c r="A34">
        <v>20210801</v>
      </c>
      <c r="B34" s="1">
        <v>0.66666666666666663</v>
      </c>
      <c r="C34">
        <v>48602</v>
      </c>
      <c r="D34">
        <v>291105</v>
      </c>
      <c r="E34">
        <v>646155</v>
      </c>
      <c r="F34">
        <v>-19726</v>
      </c>
      <c r="G34">
        <v>25549</v>
      </c>
      <c r="H34">
        <v>39107</v>
      </c>
      <c r="I34">
        <v>225781</v>
      </c>
      <c r="J34">
        <v>-93611</v>
      </c>
      <c r="K34">
        <v>493286</v>
      </c>
      <c r="L34">
        <v>-27842</v>
      </c>
      <c r="M34">
        <v>9.56</v>
      </c>
      <c r="N34">
        <v>1628406</v>
      </c>
      <c r="O34">
        <v>22256200</v>
      </c>
      <c r="P34" s="2">
        <v>7.3166398576576412</v>
      </c>
      <c r="Q34" t="str">
        <v/>
      </c>
      <c r="R34" s="2">
        <v>7.3166398576576412</v>
      </c>
      <c r="S34" s="5">
        <v>21.276927199999999</v>
      </c>
    </row>
    <row r="35" spans="1:19" x14ac:dyDescent="0.4">
      <c r="A35">
        <v>20210801</v>
      </c>
      <c r="B35" s="1">
        <v>0.6875</v>
      </c>
      <c r="C35">
        <v>175565</v>
      </c>
      <c r="D35">
        <v>345303</v>
      </c>
      <c r="E35">
        <v>-372618</v>
      </c>
      <c r="F35">
        <v>-53745</v>
      </c>
      <c r="G35">
        <v>-1133</v>
      </c>
      <c r="H35">
        <v>153166</v>
      </c>
      <c r="I35">
        <v>90114</v>
      </c>
      <c r="J35">
        <v>-143315</v>
      </c>
      <c r="K35">
        <v>194524</v>
      </c>
      <c r="L35">
        <v>-45427</v>
      </c>
      <c r="M35">
        <v>9.6199999999999992</v>
      </c>
      <c r="N35">
        <v>342434</v>
      </c>
      <c r="O35">
        <v>21575850</v>
      </c>
      <c r="P35" s="2">
        <v>1.5871170776585859</v>
      </c>
      <c r="Q35" t="str">
        <v/>
      </c>
      <c r="R35" s="2">
        <v>1.5871170776585859</v>
      </c>
      <c r="S35" s="5">
        <v>20.755967699999996</v>
      </c>
    </row>
    <row r="36" spans="1:19" x14ac:dyDescent="0.4">
      <c r="A36">
        <v>20210801</v>
      </c>
      <c r="B36" s="1">
        <v>0.70833333333333337</v>
      </c>
      <c r="C36">
        <v>118596</v>
      </c>
      <c r="D36">
        <v>276464</v>
      </c>
      <c r="E36">
        <v>374292</v>
      </c>
      <c r="F36">
        <v>-3616</v>
      </c>
      <c r="G36">
        <v>4519</v>
      </c>
      <c r="H36">
        <v>105388</v>
      </c>
      <c r="I36">
        <v>-24690</v>
      </c>
      <c r="J36">
        <v>-194218</v>
      </c>
      <c r="K36">
        <v>17927</v>
      </c>
      <c r="L36">
        <v>-31498</v>
      </c>
      <c r="M36">
        <v>9.81</v>
      </c>
      <c r="N36">
        <v>643164</v>
      </c>
      <c r="O36">
        <v>21389200</v>
      </c>
      <c r="P36" s="2">
        <v>3.006956781927328</v>
      </c>
      <c r="Q36" t="str">
        <v/>
      </c>
      <c r="R36" s="2">
        <v>3.006956781927328</v>
      </c>
      <c r="S36" s="5">
        <v>20.982805200000001</v>
      </c>
    </row>
    <row r="37" spans="1:19" x14ac:dyDescent="0.4">
      <c r="A37">
        <v>20210801</v>
      </c>
      <c r="B37" s="1">
        <v>0.8125</v>
      </c>
      <c r="C37">
        <v>20817</v>
      </c>
      <c r="D37">
        <v>45141</v>
      </c>
      <c r="E37">
        <v>170922</v>
      </c>
      <c r="F37">
        <v>64403</v>
      </c>
      <c r="G37">
        <v>6996</v>
      </c>
      <c r="H37">
        <v>-93058</v>
      </c>
      <c r="I37">
        <v>-42247</v>
      </c>
      <c r="J37">
        <v>-8798</v>
      </c>
      <c r="K37">
        <v>65920</v>
      </c>
      <c r="L37">
        <v>-53073</v>
      </c>
      <c r="M37">
        <v>9.9</v>
      </c>
      <c r="N37">
        <v>177023</v>
      </c>
      <c r="O37">
        <v>20350550</v>
      </c>
      <c r="P37" s="2">
        <v>0.86986838193562332</v>
      </c>
      <c r="Q37" t="str">
        <v/>
      </c>
      <c r="R37" s="2">
        <v>0.86986838193562332</v>
      </c>
      <c r="S37" s="5">
        <v>20.1470445</v>
      </c>
    </row>
    <row r="38" spans="1:19" x14ac:dyDescent="0.4">
      <c r="A38">
        <v>20210801</v>
      </c>
      <c r="B38" s="1">
        <v>0.83333333333333337</v>
      </c>
      <c r="C38">
        <v>27584</v>
      </c>
      <c r="D38">
        <v>113869</v>
      </c>
      <c r="E38">
        <v>-209492</v>
      </c>
      <c r="F38">
        <v>187774</v>
      </c>
      <c r="G38">
        <v>16475</v>
      </c>
      <c r="H38">
        <v>-135078</v>
      </c>
      <c r="I38">
        <v>-9751</v>
      </c>
      <c r="J38">
        <v>23408</v>
      </c>
      <c r="K38">
        <v>138781</v>
      </c>
      <c r="L38">
        <v>-44304</v>
      </c>
      <c r="M38">
        <v>9.6300000000000008</v>
      </c>
      <c r="N38">
        <v>109266</v>
      </c>
      <c r="O38">
        <v>20245750</v>
      </c>
      <c r="P38" s="2">
        <v>0.53969845523134485</v>
      </c>
      <c r="Q38" t="str">
        <v/>
      </c>
      <c r="R38" s="2">
        <v>0.53969845523134485</v>
      </c>
      <c r="S38" s="5">
        <v>19.496657250000002</v>
      </c>
    </row>
    <row r="39" spans="1:19" x14ac:dyDescent="0.4">
      <c r="A39">
        <v>20210801</v>
      </c>
      <c r="B39" s="1">
        <v>0.85416666666666663</v>
      </c>
      <c r="C39">
        <v>-20291</v>
      </c>
      <c r="D39">
        <v>38536</v>
      </c>
      <c r="E39">
        <v>226051</v>
      </c>
      <c r="F39">
        <v>173839</v>
      </c>
      <c r="G39">
        <v>23548</v>
      </c>
      <c r="H39">
        <v>-285344</v>
      </c>
      <c r="I39">
        <v>-35686</v>
      </c>
      <c r="J39">
        <v>18378</v>
      </c>
      <c r="K39">
        <v>135916</v>
      </c>
      <c r="L39">
        <v>-43534</v>
      </c>
      <c r="M39">
        <v>9.57</v>
      </c>
      <c r="N39">
        <v>231413</v>
      </c>
      <c r="O39">
        <v>20350850</v>
      </c>
      <c r="P39" s="2">
        <v>1.1371171228720176</v>
      </c>
      <c r="Q39" t="str">
        <v/>
      </c>
      <c r="R39" s="2">
        <v>1.1371171228720176</v>
      </c>
      <c r="S39" s="5">
        <v>19.475763449999999</v>
      </c>
    </row>
    <row r="40" spans="1:19" x14ac:dyDescent="0.4">
      <c r="A40">
        <v>20210801</v>
      </c>
      <c r="B40" s="1">
        <v>0.875</v>
      </c>
      <c r="C40">
        <v>50984</v>
      </c>
      <c r="D40">
        <v>65873</v>
      </c>
      <c r="E40">
        <v>-78137</v>
      </c>
      <c r="F40">
        <v>221492</v>
      </c>
      <c r="G40">
        <v>43969</v>
      </c>
      <c r="H40">
        <v>-98171</v>
      </c>
      <c r="I40">
        <v>-14262</v>
      </c>
      <c r="J40">
        <v>40651</v>
      </c>
      <c r="K40">
        <v>130359</v>
      </c>
      <c r="L40">
        <v>-39816</v>
      </c>
      <c r="M40">
        <v>8.99</v>
      </c>
      <c r="N40">
        <v>322942</v>
      </c>
      <c r="O40">
        <v>20031600</v>
      </c>
      <c r="P40" s="2">
        <v>1.612162782803171</v>
      </c>
      <c r="Q40" t="str">
        <v/>
      </c>
      <c r="R40" s="2">
        <v>1.612162782803171</v>
      </c>
      <c r="S40" s="5">
        <v>18.0084084</v>
      </c>
    </row>
    <row r="41" spans="1:19" x14ac:dyDescent="0.4">
      <c r="A41">
        <v>20210801</v>
      </c>
      <c r="B41" s="1">
        <v>0.89583333333333337</v>
      </c>
      <c r="C41">
        <v>-38947</v>
      </c>
      <c r="D41">
        <v>33136</v>
      </c>
      <c r="E41">
        <v>16538</v>
      </c>
      <c r="F41">
        <v>230828</v>
      </c>
      <c r="G41">
        <v>31894</v>
      </c>
      <c r="H41">
        <v>-149316</v>
      </c>
      <c r="I41">
        <v>19636</v>
      </c>
      <c r="J41">
        <v>27974</v>
      </c>
      <c r="K41">
        <v>143016</v>
      </c>
      <c r="L41">
        <v>-41730</v>
      </c>
      <c r="M41">
        <v>8.73</v>
      </c>
      <c r="N41">
        <v>273029</v>
      </c>
      <c r="O41">
        <v>19546950</v>
      </c>
      <c r="P41" s="2">
        <v>1.3967856877927247</v>
      </c>
      <c r="Q41" t="str">
        <v/>
      </c>
      <c r="R41" s="2">
        <v>1.3967856877927247</v>
      </c>
      <c r="S41" s="5">
        <v>17.06448735</v>
      </c>
    </row>
    <row r="42" spans="1:19" x14ac:dyDescent="0.4">
      <c r="A42">
        <v>20210801</v>
      </c>
      <c r="B42" s="1">
        <v>0.91666666666666663</v>
      </c>
      <c r="C42">
        <v>1157</v>
      </c>
      <c r="D42">
        <v>84839</v>
      </c>
      <c r="E42">
        <v>-55661</v>
      </c>
      <c r="F42">
        <v>227187</v>
      </c>
      <c r="G42">
        <v>31653</v>
      </c>
      <c r="H42">
        <v>106698</v>
      </c>
      <c r="I42">
        <v>-13979</v>
      </c>
      <c r="J42">
        <v>28941</v>
      </c>
      <c r="K42">
        <v>192344</v>
      </c>
      <c r="L42">
        <v>-38509</v>
      </c>
      <c r="M42">
        <v>7.64</v>
      </c>
      <c r="N42">
        <v>564670</v>
      </c>
      <c r="O42">
        <v>19056000</v>
      </c>
      <c r="P42" s="2">
        <v>2.9632136859781695</v>
      </c>
      <c r="Q42" t="str">
        <v/>
      </c>
      <c r="R42" s="2">
        <v>2.9632136859781695</v>
      </c>
      <c r="S42" s="5">
        <v>14.558783999999999</v>
      </c>
    </row>
    <row r="43" spans="1:19" x14ac:dyDescent="0.4">
      <c r="A43">
        <v>20210801</v>
      </c>
      <c r="B43" s="1">
        <v>0.9375</v>
      </c>
      <c r="C43">
        <v>-37558</v>
      </c>
      <c r="D43">
        <v>20607</v>
      </c>
      <c r="E43">
        <v>326601</v>
      </c>
      <c r="F43">
        <v>201677</v>
      </c>
      <c r="G43">
        <v>27872</v>
      </c>
      <c r="H43">
        <v>128216</v>
      </c>
      <c r="I43">
        <v>-26670</v>
      </c>
      <c r="J43">
        <v>43508</v>
      </c>
      <c r="K43">
        <v>108969</v>
      </c>
      <c r="L43">
        <v>-29638</v>
      </c>
      <c r="M43">
        <v>7.32</v>
      </c>
      <c r="N43">
        <v>763584</v>
      </c>
      <c r="O43">
        <v>18547450</v>
      </c>
      <c r="P43" s="2">
        <v>4.1169217331762589</v>
      </c>
      <c r="Q43" t="str">
        <v/>
      </c>
      <c r="R43" s="2">
        <v>4.1169217331762589</v>
      </c>
      <c r="S43" s="5">
        <v>13.5767334</v>
      </c>
    </row>
    <row r="44" spans="1:19" x14ac:dyDescent="0.4">
      <c r="A44">
        <v>20210801</v>
      </c>
      <c r="B44" s="1">
        <v>0.95833333333333337</v>
      </c>
      <c r="C44">
        <v>-17484</v>
      </c>
      <c r="D44">
        <v>39913</v>
      </c>
      <c r="E44">
        <v>-85520</v>
      </c>
      <c r="F44">
        <v>152385</v>
      </c>
      <c r="G44">
        <v>7155</v>
      </c>
      <c r="H44">
        <v>93529</v>
      </c>
      <c r="I44">
        <v>-79047</v>
      </c>
      <c r="J44">
        <v>50906</v>
      </c>
      <c r="K44">
        <v>116450</v>
      </c>
      <c r="L44">
        <v>-40070</v>
      </c>
      <c r="M44">
        <v>7.29</v>
      </c>
      <c r="N44">
        <v>238217</v>
      </c>
      <c r="O44">
        <v>17925950</v>
      </c>
      <c r="P44" s="2">
        <v>1.3288947029306675</v>
      </c>
      <c r="Q44" t="str">
        <v/>
      </c>
      <c r="R44" s="2">
        <v>1.3288947029306675</v>
      </c>
      <c r="S44" s="5">
        <v>13.06801755</v>
      </c>
    </row>
    <row r="45" spans="1:19" x14ac:dyDescent="0.4">
      <c r="A45">
        <v>20210801</v>
      </c>
      <c r="B45" s="1">
        <v>0.97916666666666663</v>
      </c>
      <c r="C45">
        <v>13054</v>
      </c>
      <c r="D45">
        <v>34302</v>
      </c>
      <c r="E45">
        <v>349964</v>
      </c>
      <c r="F45">
        <v>164017</v>
      </c>
      <c r="G45">
        <v>25449</v>
      </c>
      <c r="H45">
        <v>59364</v>
      </c>
      <c r="I45">
        <v>-81881</v>
      </c>
      <c r="J45">
        <v>46776</v>
      </c>
      <c r="K45">
        <v>125385</v>
      </c>
      <c r="L45">
        <v>-37203</v>
      </c>
      <c r="M45">
        <v>7.1</v>
      </c>
      <c r="N45">
        <v>699227</v>
      </c>
      <c r="O45">
        <v>17375850</v>
      </c>
      <c r="P45" s="2">
        <v>4.0241311935818969</v>
      </c>
      <c r="Q45" t="str">
        <v/>
      </c>
      <c r="R45" s="2">
        <v>4.0241311935818969</v>
      </c>
      <c r="S45" s="5">
        <v>12.3368535</v>
      </c>
    </row>
    <row r="46" spans="1:19" x14ac:dyDescent="0.4">
      <c r="A46">
        <v>20210802</v>
      </c>
      <c r="B46" s="1">
        <v>0</v>
      </c>
      <c r="C46">
        <v>-29003</v>
      </c>
      <c r="D46">
        <v>48152</v>
      </c>
      <c r="E46">
        <v>87072</v>
      </c>
      <c r="F46">
        <v>134448</v>
      </c>
      <c r="G46">
        <v>11498</v>
      </c>
      <c r="H46">
        <v>52983</v>
      </c>
      <c r="I46">
        <v>-21068</v>
      </c>
      <c r="J46">
        <v>60916</v>
      </c>
      <c r="K46">
        <v>181490</v>
      </c>
      <c r="L46">
        <v>-33867</v>
      </c>
      <c r="M46">
        <v>6.77</v>
      </c>
      <c r="N46">
        <v>492621</v>
      </c>
      <c r="O46">
        <v>18084850</v>
      </c>
      <c r="P46" s="2">
        <v>2.7239429688385584</v>
      </c>
      <c r="Q46" t="str">
        <v/>
      </c>
      <c r="R46" s="2">
        <v>2.7239429688385584</v>
      </c>
      <c r="S46" s="5">
        <v>12.243443449999999</v>
      </c>
    </row>
    <row r="47" spans="1:19" x14ac:dyDescent="0.4">
      <c r="A47">
        <v>20210802</v>
      </c>
      <c r="B47" s="1">
        <v>2.0833333333333332E-2</v>
      </c>
      <c r="C47">
        <v>-8309</v>
      </c>
      <c r="D47">
        <v>9319</v>
      </c>
      <c r="E47">
        <v>219658</v>
      </c>
      <c r="F47">
        <v>122374</v>
      </c>
      <c r="G47">
        <v>-38571</v>
      </c>
      <c r="H47">
        <v>4665</v>
      </c>
      <c r="I47">
        <v>15802</v>
      </c>
      <c r="J47">
        <v>50503</v>
      </c>
      <c r="K47">
        <v>137443</v>
      </c>
      <c r="L47">
        <v>-36513</v>
      </c>
      <c r="M47">
        <v>6.81</v>
      </c>
      <c r="N47">
        <v>476371</v>
      </c>
      <c r="O47">
        <v>19075800</v>
      </c>
      <c r="P47" s="2">
        <v>2.4972530640916766</v>
      </c>
      <c r="Q47" t="str">
        <v/>
      </c>
      <c r="R47" s="2">
        <v>2.4972530640916766</v>
      </c>
      <c r="S47" s="5">
        <v>12.990619799999999</v>
      </c>
    </row>
    <row r="48" spans="1:19" x14ac:dyDescent="0.4">
      <c r="A48">
        <v>20210802</v>
      </c>
      <c r="B48" s="1">
        <v>4.1666666666666664E-2</v>
      </c>
      <c r="C48">
        <v>35107</v>
      </c>
      <c r="D48">
        <v>6703</v>
      </c>
      <c r="E48">
        <v>168606</v>
      </c>
      <c r="F48">
        <v>93090</v>
      </c>
      <c r="G48">
        <v>-91842</v>
      </c>
      <c r="H48">
        <v>-69038</v>
      </c>
      <c r="I48">
        <v>-25141</v>
      </c>
      <c r="J48">
        <v>67205</v>
      </c>
      <c r="K48">
        <v>174211</v>
      </c>
      <c r="L48">
        <v>-32362</v>
      </c>
      <c r="M48">
        <v>6.74</v>
      </c>
      <c r="N48">
        <v>326539</v>
      </c>
      <c r="O48">
        <v>19642250</v>
      </c>
      <c r="P48" s="2">
        <v>1.6624317478903894</v>
      </c>
      <c r="Q48" t="str">
        <v/>
      </c>
      <c r="R48" s="2">
        <v>1.6624317478903894</v>
      </c>
      <c r="S48" s="5">
        <v>13.2388765</v>
      </c>
    </row>
    <row r="49" spans="1:19" x14ac:dyDescent="0.4">
      <c r="A49">
        <v>20210802</v>
      </c>
      <c r="B49" s="1">
        <v>6.25E-2</v>
      </c>
      <c r="C49">
        <v>18994</v>
      </c>
      <c r="D49">
        <v>14761</v>
      </c>
      <c r="E49">
        <v>145659</v>
      </c>
      <c r="F49">
        <v>120218</v>
      </c>
      <c r="G49">
        <v>-70772</v>
      </c>
      <c r="H49">
        <v>-99904</v>
      </c>
      <c r="I49">
        <v>17711</v>
      </c>
      <c r="J49">
        <v>62719</v>
      </c>
      <c r="K49">
        <v>111037</v>
      </c>
      <c r="L49">
        <v>-37582</v>
      </c>
      <c r="M49">
        <v>6.72</v>
      </c>
      <c r="N49">
        <v>282841</v>
      </c>
      <c r="O49">
        <v>20003550</v>
      </c>
      <c r="P49" s="2">
        <v>1.4139540231608889</v>
      </c>
      <c r="Q49" t="str">
        <v/>
      </c>
      <c r="R49" s="2">
        <v>1.4139540231608889</v>
      </c>
      <c r="S49" s="5">
        <v>13.4423856</v>
      </c>
    </row>
    <row r="50" spans="1:19" x14ac:dyDescent="0.4">
      <c r="A50">
        <v>20210802</v>
      </c>
      <c r="B50" s="1">
        <v>8.3333333333333329E-2</v>
      </c>
      <c r="C50">
        <v>59061</v>
      </c>
      <c r="D50">
        <v>43656</v>
      </c>
      <c r="E50">
        <v>208287</v>
      </c>
      <c r="F50">
        <v>64406</v>
      </c>
      <c r="G50">
        <v>-102430</v>
      </c>
      <c r="H50">
        <v>-154895</v>
      </c>
      <c r="I50">
        <v>26900</v>
      </c>
      <c r="J50">
        <v>51154</v>
      </c>
      <c r="K50">
        <v>122401</v>
      </c>
      <c r="L50">
        <v>-27106</v>
      </c>
      <c r="M50">
        <v>6.72</v>
      </c>
      <c r="N50">
        <v>291434</v>
      </c>
      <c r="O50">
        <v>20228000</v>
      </c>
      <c r="P50" s="2">
        <v>1.440745501285347</v>
      </c>
      <c r="Q50" t="str">
        <v/>
      </c>
      <c r="R50" s="2">
        <v>1.440745501285347</v>
      </c>
      <c r="S50" s="5">
        <v>13.593216</v>
      </c>
    </row>
    <row r="51" spans="1:19" x14ac:dyDescent="0.4">
      <c r="A51">
        <v>20210802</v>
      </c>
      <c r="B51" s="1">
        <v>0.10416666666666667</v>
      </c>
      <c r="C51">
        <v>20861</v>
      </c>
      <c r="D51">
        <v>53336</v>
      </c>
      <c r="E51">
        <v>242898</v>
      </c>
      <c r="F51">
        <v>57401</v>
      </c>
      <c r="G51">
        <v>-103008</v>
      </c>
      <c r="H51">
        <v>-195557</v>
      </c>
      <c r="I51">
        <v>9547</v>
      </c>
      <c r="J51">
        <v>40924</v>
      </c>
      <c r="K51">
        <v>99930</v>
      </c>
      <c r="L51">
        <v>-39760</v>
      </c>
      <c r="M51">
        <v>6.66</v>
      </c>
      <c r="N51">
        <v>186572</v>
      </c>
      <c r="O51">
        <v>20377700</v>
      </c>
      <c r="P51" s="2">
        <v>0.91556947054868798</v>
      </c>
      <c r="Q51" t="str">
        <v/>
      </c>
      <c r="R51" s="2">
        <v>0.91556947054868798</v>
      </c>
      <c r="S51" s="5">
        <v>13.571548200000001</v>
      </c>
    </row>
    <row r="52" spans="1:19" x14ac:dyDescent="0.4">
      <c r="A52">
        <v>20210802</v>
      </c>
      <c r="B52" s="1">
        <v>0.125</v>
      </c>
      <c r="C52">
        <v>27576</v>
      </c>
      <c r="D52">
        <v>20810</v>
      </c>
      <c r="E52">
        <v>277215</v>
      </c>
      <c r="F52">
        <v>61041</v>
      </c>
      <c r="G52">
        <v>106196</v>
      </c>
      <c r="H52">
        <v>-48380</v>
      </c>
      <c r="I52">
        <v>24322</v>
      </c>
      <c r="J52">
        <v>50736</v>
      </c>
      <c r="K52">
        <v>101995</v>
      </c>
      <c r="L52">
        <v>-28089</v>
      </c>
      <c r="M52">
        <v>6.66</v>
      </c>
      <c r="N52">
        <v>593422</v>
      </c>
      <c r="O52">
        <v>20543800</v>
      </c>
      <c r="P52" s="2">
        <v>2.8885697874784606</v>
      </c>
      <c r="Q52" t="str">
        <v/>
      </c>
      <c r="R52" s="2">
        <v>2.8885697874784606</v>
      </c>
      <c r="S52" s="5">
        <v>13.6821708</v>
      </c>
    </row>
    <row r="53" spans="1:19" x14ac:dyDescent="0.4">
      <c r="A53">
        <v>20210802</v>
      </c>
      <c r="B53" s="1">
        <v>0.14583333333333334</v>
      </c>
      <c r="C53">
        <v>82701</v>
      </c>
      <c r="D53">
        <v>48420</v>
      </c>
      <c r="E53">
        <v>11550</v>
      </c>
      <c r="F53">
        <v>75806</v>
      </c>
      <c r="G53">
        <v>141408</v>
      </c>
      <c r="H53">
        <v>-55440</v>
      </c>
      <c r="I53">
        <v>70157</v>
      </c>
      <c r="J53">
        <v>60648</v>
      </c>
      <c r="K53">
        <v>140324</v>
      </c>
      <c r="L53">
        <v>-33456</v>
      </c>
      <c r="M53">
        <v>6.66</v>
      </c>
      <c r="N53">
        <v>542118</v>
      </c>
      <c r="O53">
        <v>20626500</v>
      </c>
      <c r="P53" s="2">
        <v>2.6282597629263327</v>
      </c>
      <c r="Q53" t="str">
        <v/>
      </c>
      <c r="R53" s="2">
        <v>2.6282597629263327</v>
      </c>
      <c r="S53" s="5">
        <v>13.737249</v>
      </c>
    </row>
    <row r="54" spans="1:19" x14ac:dyDescent="0.4">
      <c r="A54">
        <v>20210802</v>
      </c>
      <c r="B54" s="1">
        <v>0.16666666666666666</v>
      </c>
      <c r="C54">
        <v>29025</v>
      </c>
      <c r="D54">
        <v>25729</v>
      </c>
      <c r="E54">
        <v>45884</v>
      </c>
      <c r="F54">
        <v>55676</v>
      </c>
      <c r="G54">
        <v>160053</v>
      </c>
      <c r="H54">
        <v>-21837</v>
      </c>
      <c r="I54">
        <v>108214</v>
      </c>
      <c r="J54">
        <v>62028</v>
      </c>
      <c r="K54">
        <v>134369</v>
      </c>
      <c r="L54">
        <v>-26595</v>
      </c>
      <c r="M54">
        <v>6.66</v>
      </c>
      <c r="N54">
        <v>572546</v>
      </c>
      <c r="O54">
        <v>20683800</v>
      </c>
      <c r="P54" s="2">
        <v>2.7680890358638162</v>
      </c>
      <c r="Q54" t="str">
        <v/>
      </c>
      <c r="R54" s="2">
        <v>2.7680890358638162</v>
      </c>
      <c r="S54" s="5">
        <v>13.7754108</v>
      </c>
    </row>
    <row r="55" spans="1:19" x14ac:dyDescent="0.4">
      <c r="A55">
        <v>20210802</v>
      </c>
      <c r="B55" s="1">
        <v>0.1875</v>
      </c>
      <c r="C55">
        <v>62106</v>
      </c>
      <c r="D55">
        <v>32579</v>
      </c>
      <c r="E55">
        <v>-80457</v>
      </c>
      <c r="F55">
        <v>124411</v>
      </c>
      <c r="G55">
        <v>164099</v>
      </c>
      <c r="H55">
        <v>-97239</v>
      </c>
      <c r="I55">
        <v>-6293</v>
      </c>
      <c r="J55">
        <v>52529</v>
      </c>
      <c r="K55">
        <v>117322</v>
      </c>
      <c r="L55">
        <v>-33252</v>
      </c>
      <c r="M55">
        <v>6.72</v>
      </c>
      <c r="N55">
        <v>335805</v>
      </c>
      <c r="O55">
        <v>20730750</v>
      </c>
      <c r="P55" s="2">
        <v>1.6198400926160414</v>
      </c>
      <c r="Q55" t="str">
        <v/>
      </c>
      <c r="R55" s="2">
        <v>1.6198400926160414</v>
      </c>
      <c r="S55" s="5">
        <v>13.931063999999999</v>
      </c>
    </row>
    <row r="56" spans="1:19" x14ac:dyDescent="0.4">
      <c r="A56">
        <v>20210802</v>
      </c>
      <c r="B56" s="1">
        <v>0.20833333333333334</v>
      </c>
      <c r="C56">
        <v>28278</v>
      </c>
      <c r="D56">
        <v>95081</v>
      </c>
      <c r="E56">
        <v>-105101</v>
      </c>
      <c r="F56">
        <v>137415</v>
      </c>
      <c r="G56">
        <v>104355</v>
      </c>
      <c r="H56">
        <v>-83610</v>
      </c>
      <c r="I56">
        <v>-51094</v>
      </c>
      <c r="J56">
        <v>37713</v>
      </c>
      <c r="K56">
        <v>69761</v>
      </c>
      <c r="L56">
        <v>-27466</v>
      </c>
      <c r="M56">
        <v>6.77</v>
      </c>
      <c r="N56">
        <v>205332</v>
      </c>
      <c r="O56">
        <v>20773850</v>
      </c>
      <c r="P56" s="2">
        <v>0.98841572457681171</v>
      </c>
      <c r="Q56" t="str">
        <v/>
      </c>
      <c r="R56" s="2">
        <v>0.98841572457681171</v>
      </c>
      <c r="S56" s="5">
        <v>14.06389645</v>
      </c>
    </row>
    <row r="57" spans="1:19" x14ac:dyDescent="0.4">
      <c r="A57">
        <v>20210802</v>
      </c>
      <c r="B57" s="1">
        <v>0.22916666666666666</v>
      </c>
      <c r="C57">
        <v>8064</v>
      </c>
      <c r="D57">
        <v>224062</v>
      </c>
      <c r="E57">
        <v>26323</v>
      </c>
      <c r="F57">
        <v>100878</v>
      </c>
      <c r="G57">
        <v>105070</v>
      </c>
      <c r="H57">
        <v>-254338</v>
      </c>
      <c r="I57">
        <v>-55323</v>
      </c>
      <c r="J57">
        <v>52555</v>
      </c>
      <c r="K57">
        <v>4670</v>
      </c>
      <c r="L57">
        <v>-31857</v>
      </c>
      <c r="M57">
        <v>6.72</v>
      </c>
      <c r="N57">
        <v>180104</v>
      </c>
      <c r="O57">
        <v>20915350</v>
      </c>
      <c r="P57" s="2">
        <v>0.86110918535907843</v>
      </c>
      <c r="Q57" t="str">
        <v/>
      </c>
      <c r="R57" s="2">
        <v>0.86110918535907843</v>
      </c>
      <c r="S57" s="5">
        <v>14.055115199999999</v>
      </c>
    </row>
    <row r="58" spans="1:19" x14ac:dyDescent="0.4">
      <c r="A58">
        <v>20210802</v>
      </c>
      <c r="B58" s="1">
        <v>0.27083333333333331</v>
      </c>
      <c r="C58">
        <v>65481</v>
      </c>
      <c r="D58">
        <v>231089</v>
      </c>
      <c r="E58">
        <v>279375</v>
      </c>
      <c r="F58">
        <v>-78622</v>
      </c>
      <c r="G58">
        <v>79326</v>
      </c>
      <c r="H58">
        <v>-249705</v>
      </c>
      <c r="I58">
        <v>119412</v>
      </c>
      <c r="J58">
        <v>31839</v>
      </c>
      <c r="K58">
        <v>-223983</v>
      </c>
      <c r="L58">
        <v>-34890</v>
      </c>
      <c r="M58">
        <v>6.74</v>
      </c>
      <c r="N58">
        <v>219322</v>
      </c>
      <c r="O58">
        <v>22482050</v>
      </c>
      <c r="P58" s="2">
        <v>0.97554271074034615</v>
      </c>
      <c r="Q58" t="str">
        <v/>
      </c>
      <c r="R58" s="2">
        <v>0.97554271074034615</v>
      </c>
      <c r="S58" s="5">
        <v>15.152901699999999</v>
      </c>
    </row>
    <row r="59" spans="1:19" x14ac:dyDescent="0.4">
      <c r="A59">
        <v>20210802</v>
      </c>
      <c r="B59" s="1">
        <v>0.29166666666666669</v>
      </c>
      <c r="C59">
        <v>72005</v>
      </c>
      <c r="D59">
        <v>339033</v>
      </c>
      <c r="E59">
        <v>119961</v>
      </c>
      <c r="F59">
        <v>-164133</v>
      </c>
      <c r="G59">
        <v>85026</v>
      </c>
      <c r="H59">
        <v>-243943</v>
      </c>
      <c r="I59">
        <v>151680</v>
      </c>
      <c r="J59">
        <v>-28580</v>
      </c>
      <c r="K59">
        <v>-202955</v>
      </c>
      <c r="L59">
        <v>-10534</v>
      </c>
      <c r="M59">
        <v>8.01</v>
      </c>
      <c r="N59">
        <v>117560</v>
      </c>
      <c r="O59">
        <v>22591200</v>
      </c>
      <c r="P59" s="2">
        <v>0.52037961684195611</v>
      </c>
      <c r="Q59" t="str">
        <v/>
      </c>
      <c r="R59" s="2">
        <v>0.52037961684195611</v>
      </c>
      <c r="S59" s="5">
        <v>18.095551199999999</v>
      </c>
    </row>
    <row r="60" spans="1:19" x14ac:dyDescent="0.4">
      <c r="A60">
        <v>20210802</v>
      </c>
      <c r="B60" s="1">
        <v>0.3125</v>
      </c>
      <c r="C60">
        <v>93921</v>
      </c>
      <c r="D60">
        <v>379092</v>
      </c>
      <c r="E60">
        <v>360431</v>
      </c>
      <c r="F60">
        <v>-222581</v>
      </c>
      <c r="G60">
        <v>102247</v>
      </c>
      <c r="H60">
        <v>-141901</v>
      </c>
      <c r="I60">
        <v>347521</v>
      </c>
      <c r="J60">
        <v>-3830</v>
      </c>
      <c r="K60">
        <v>-130900</v>
      </c>
      <c r="L60">
        <v>-22551</v>
      </c>
      <c r="M60">
        <v>8.86</v>
      </c>
      <c r="N60">
        <v>761449</v>
      </c>
      <c r="O60">
        <v>23071100</v>
      </c>
      <c r="P60" s="2">
        <v>3.3004451456584212</v>
      </c>
      <c r="Q60" t="str">
        <v/>
      </c>
      <c r="R60" s="2">
        <v>3.3004451456584212</v>
      </c>
      <c r="S60" s="5">
        <v>20.4409946</v>
      </c>
    </row>
    <row r="61" spans="1:19" x14ac:dyDescent="0.4">
      <c r="A61">
        <v>20210802</v>
      </c>
      <c r="B61" s="1">
        <v>0.33333333333333331</v>
      </c>
      <c r="C61">
        <v>3191</v>
      </c>
      <c r="D61">
        <v>411197</v>
      </c>
      <c r="E61">
        <v>480616</v>
      </c>
      <c r="F61">
        <v>-141276</v>
      </c>
      <c r="G61">
        <v>93963</v>
      </c>
      <c r="H61">
        <v>-340379</v>
      </c>
      <c r="I61">
        <v>-90361</v>
      </c>
      <c r="J61">
        <v>70577</v>
      </c>
      <c r="K61">
        <v>13460</v>
      </c>
      <c r="L61">
        <v>-13448</v>
      </c>
      <c r="M61">
        <v>7.42</v>
      </c>
      <c r="N61">
        <v>487540</v>
      </c>
      <c r="O61">
        <v>24612400</v>
      </c>
      <c r="P61" s="2">
        <v>1.9808714306609676</v>
      </c>
      <c r="Q61" t="str">
        <v/>
      </c>
      <c r="R61" s="2">
        <v>1.9808714306609676</v>
      </c>
      <c r="S61" s="5">
        <v>18.262400800000002</v>
      </c>
    </row>
    <row r="62" spans="1:19" x14ac:dyDescent="0.4">
      <c r="A62">
        <v>20210802</v>
      </c>
      <c r="B62" s="1">
        <v>0.35416666666666669</v>
      </c>
      <c r="C62">
        <v>55181</v>
      </c>
      <c r="D62">
        <v>556422</v>
      </c>
      <c r="E62">
        <v>147260</v>
      </c>
      <c r="F62">
        <v>-99610</v>
      </c>
      <c r="G62">
        <v>115679</v>
      </c>
      <c r="H62">
        <v>-250837</v>
      </c>
      <c r="I62">
        <v>-202225</v>
      </c>
      <c r="J62">
        <v>68756</v>
      </c>
      <c r="K62">
        <v>151800</v>
      </c>
      <c r="L62">
        <v>-34607</v>
      </c>
      <c r="M62">
        <v>8.39</v>
      </c>
      <c r="N62">
        <v>507819</v>
      </c>
      <c r="O62">
        <v>24904100</v>
      </c>
      <c r="P62" s="2">
        <v>2.0390979798507072</v>
      </c>
      <c r="Q62" t="str">
        <v/>
      </c>
      <c r="R62" s="2">
        <v>2.0390979798507072</v>
      </c>
      <c r="S62" s="5">
        <v>20.894539900000002</v>
      </c>
    </row>
    <row r="63" spans="1:19" x14ac:dyDescent="0.4">
      <c r="A63">
        <v>20210802</v>
      </c>
      <c r="B63" s="1">
        <v>0.375</v>
      </c>
      <c r="C63">
        <v>-17008</v>
      </c>
      <c r="D63">
        <v>563521</v>
      </c>
      <c r="E63">
        <v>1013685</v>
      </c>
      <c r="F63">
        <v>-20837</v>
      </c>
      <c r="G63">
        <v>119167</v>
      </c>
      <c r="H63">
        <v>-402554</v>
      </c>
      <c r="I63">
        <v>-110820</v>
      </c>
      <c r="J63">
        <v>52313</v>
      </c>
      <c r="K63">
        <v>359804</v>
      </c>
      <c r="L63">
        <v>-46752</v>
      </c>
      <c r="M63">
        <v>9.59</v>
      </c>
      <c r="N63">
        <v>1510519</v>
      </c>
      <c r="O63">
        <v>25454750</v>
      </c>
      <c r="P63" s="2">
        <v>5.9341341007081194</v>
      </c>
      <c r="Q63" t="str">
        <v/>
      </c>
      <c r="R63" s="2">
        <v>5.9341341007081194</v>
      </c>
      <c r="S63" s="5">
        <v>24.411105249999999</v>
      </c>
    </row>
    <row r="64" spans="1:19" x14ac:dyDescent="0.4">
      <c r="A64">
        <v>20210802</v>
      </c>
      <c r="B64" s="1">
        <v>0.39583333333333331</v>
      </c>
      <c r="C64">
        <v>47850</v>
      </c>
      <c r="D64">
        <v>682866</v>
      </c>
      <c r="E64">
        <v>1087198</v>
      </c>
      <c r="F64">
        <v>15474</v>
      </c>
      <c r="G64">
        <v>91913</v>
      </c>
      <c r="H64">
        <v>-285968</v>
      </c>
      <c r="I64">
        <v>-56653</v>
      </c>
      <c r="J64">
        <v>57948</v>
      </c>
      <c r="K64">
        <v>448738</v>
      </c>
      <c r="L64">
        <v>-54878</v>
      </c>
      <c r="M64">
        <v>9.7899999999999991</v>
      </c>
      <c r="N64">
        <v>2034488</v>
      </c>
      <c r="O64">
        <v>25783200</v>
      </c>
      <c r="P64" s="2">
        <v>7.8907505662602002</v>
      </c>
      <c r="Q64" t="str">
        <v/>
      </c>
      <c r="R64" s="2">
        <v>7.8907505662602002</v>
      </c>
      <c r="S64" s="5">
        <v>25.241752799999997</v>
      </c>
    </row>
    <row r="65" spans="1:19" x14ac:dyDescent="0.4">
      <c r="A65">
        <v>20210802</v>
      </c>
      <c r="B65" s="1">
        <v>0.41666666666666669</v>
      </c>
      <c r="C65">
        <v>77315</v>
      </c>
      <c r="D65">
        <v>636119</v>
      </c>
      <c r="E65">
        <v>1108543</v>
      </c>
      <c r="F65">
        <v>-13906</v>
      </c>
      <c r="G65">
        <v>94516</v>
      </c>
      <c r="H65">
        <v>-188173</v>
      </c>
      <c r="I65">
        <v>-1414</v>
      </c>
      <c r="J65">
        <v>66404</v>
      </c>
      <c r="K65">
        <v>365908</v>
      </c>
      <c r="L65">
        <v>-52065</v>
      </c>
      <c r="M65">
        <v>9.85</v>
      </c>
      <c r="N65">
        <v>2093247</v>
      </c>
      <c r="O65">
        <v>25914750</v>
      </c>
      <c r="P65" s="2">
        <v>8.0774346655862015</v>
      </c>
      <c r="Q65" t="str">
        <v/>
      </c>
      <c r="R65" s="2">
        <v>8.0774346655862015</v>
      </c>
      <c r="S65" s="5">
        <v>25.526028749999998</v>
      </c>
    </row>
    <row r="66" spans="1:19" x14ac:dyDescent="0.4">
      <c r="A66">
        <v>20210802</v>
      </c>
      <c r="B66" s="1">
        <v>0.4375</v>
      </c>
      <c r="C66">
        <v>23039</v>
      </c>
      <c r="D66">
        <v>750767</v>
      </c>
      <c r="E66">
        <v>1013892</v>
      </c>
      <c r="F66">
        <v>-155134</v>
      </c>
      <c r="G66">
        <v>68494</v>
      </c>
      <c r="H66">
        <v>-165505</v>
      </c>
      <c r="I66">
        <v>-21582</v>
      </c>
      <c r="J66">
        <v>60975</v>
      </c>
      <c r="K66">
        <v>254571</v>
      </c>
      <c r="L66">
        <v>-44404</v>
      </c>
      <c r="M66">
        <v>9.85</v>
      </c>
      <c r="N66">
        <v>1785113</v>
      </c>
      <c r="O66">
        <v>26020500</v>
      </c>
      <c r="P66" s="2">
        <v>6.8604100612978227</v>
      </c>
      <c r="Q66" t="str">
        <v/>
      </c>
      <c r="R66" s="2">
        <v>6.8604100612978227</v>
      </c>
      <c r="S66" s="5">
        <v>25.6301925</v>
      </c>
    </row>
    <row r="67" spans="1:19" x14ac:dyDescent="0.4">
      <c r="A67">
        <v>20210802</v>
      </c>
      <c r="B67" s="1">
        <v>0.45833333333333331</v>
      </c>
      <c r="C67">
        <v>115914</v>
      </c>
      <c r="D67">
        <v>804124</v>
      </c>
      <c r="E67">
        <v>1303965</v>
      </c>
      <c r="F67">
        <v>-154032</v>
      </c>
      <c r="G67">
        <v>18041</v>
      </c>
      <c r="H67">
        <v>-96799</v>
      </c>
      <c r="I67">
        <v>4696</v>
      </c>
      <c r="J67">
        <v>72685</v>
      </c>
      <c r="K67">
        <v>180246</v>
      </c>
      <c r="L67">
        <v>-42454</v>
      </c>
      <c r="M67">
        <v>9.9700000000000006</v>
      </c>
      <c r="N67">
        <v>2206386</v>
      </c>
      <c r="O67">
        <v>26370600</v>
      </c>
      <c r="P67" s="2">
        <v>8.3668403449295798</v>
      </c>
      <c r="Q67" t="str">
        <v/>
      </c>
      <c r="R67" s="2">
        <v>8.3668403449295798</v>
      </c>
      <c r="S67" s="5">
        <v>26.291488200000003</v>
      </c>
    </row>
    <row r="68" spans="1:19" x14ac:dyDescent="0.4">
      <c r="A68">
        <v>20210802</v>
      </c>
      <c r="B68" s="1">
        <v>0.47916666666666669</v>
      </c>
      <c r="C68">
        <v>-22802</v>
      </c>
      <c r="D68">
        <v>807020</v>
      </c>
      <c r="E68">
        <v>1305572</v>
      </c>
      <c r="F68">
        <v>23208</v>
      </c>
      <c r="G68">
        <v>11543</v>
      </c>
      <c r="H68">
        <v>-129833</v>
      </c>
      <c r="I68">
        <v>50948</v>
      </c>
      <c r="J68">
        <v>42967</v>
      </c>
      <c r="K68">
        <v>306178</v>
      </c>
      <c r="L68">
        <v>-54991</v>
      </c>
      <c r="M68">
        <v>10.27</v>
      </c>
      <c r="N68">
        <v>2339810</v>
      </c>
      <c r="O68">
        <v>26291650</v>
      </c>
      <c r="P68" s="2">
        <v>8.8994414576491021</v>
      </c>
      <c r="Q68" t="str">
        <v/>
      </c>
      <c r="R68" s="2">
        <v>8.8994414576491021</v>
      </c>
      <c r="S68" s="5">
        <v>27.001524549999999</v>
      </c>
    </row>
    <row r="69" spans="1:19" x14ac:dyDescent="0.4">
      <c r="A69">
        <v>20210802</v>
      </c>
      <c r="B69" s="1">
        <v>0.5</v>
      </c>
      <c r="C69">
        <v>-23439</v>
      </c>
      <c r="D69">
        <v>687258</v>
      </c>
      <c r="E69">
        <v>1820161</v>
      </c>
      <c r="F69">
        <v>141345</v>
      </c>
      <c r="G69">
        <v>-12553</v>
      </c>
      <c r="H69">
        <v>35387</v>
      </c>
      <c r="I69">
        <v>-3661</v>
      </c>
      <c r="J69">
        <v>37777</v>
      </c>
      <c r="K69">
        <v>209595</v>
      </c>
      <c r="L69">
        <v>-48399</v>
      </c>
      <c r="M69">
        <v>9.84</v>
      </c>
      <c r="N69">
        <v>2843471</v>
      </c>
      <c r="O69">
        <v>26124350</v>
      </c>
      <c r="P69" s="2">
        <v>10.884370328831148</v>
      </c>
      <c r="Q69" t="str">
        <v/>
      </c>
      <c r="R69" s="2">
        <v>10.884370328831148</v>
      </c>
      <c r="S69" s="5">
        <v>25.706360400000001</v>
      </c>
    </row>
    <row r="70" spans="1:19" x14ac:dyDescent="0.4">
      <c r="A70">
        <v>20210802</v>
      </c>
      <c r="B70" s="1">
        <v>0.52083333333333337</v>
      </c>
      <c r="C70">
        <v>41098</v>
      </c>
      <c r="D70">
        <v>825979</v>
      </c>
      <c r="E70">
        <v>1234850</v>
      </c>
      <c r="F70">
        <v>271293</v>
      </c>
      <c r="G70">
        <v>-17515</v>
      </c>
      <c r="H70">
        <v>-57686</v>
      </c>
      <c r="I70">
        <v>94981</v>
      </c>
      <c r="J70">
        <v>27814</v>
      </c>
      <c r="K70">
        <v>258989</v>
      </c>
      <c r="L70">
        <v>-45678</v>
      </c>
      <c r="M70">
        <v>10.27</v>
      </c>
      <c r="N70">
        <v>2634125</v>
      </c>
      <c r="O70">
        <v>25890800</v>
      </c>
      <c r="P70" s="2">
        <v>10.173980719019884</v>
      </c>
      <c r="Q70" t="str">
        <v/>
      </c>
      <c r="R70" s="2">
        <v>10.173980719019884</v>
      </c>
      <c r="S70" s="5">
        <v>26.589851599999999</v>
      </c>
    </row>
    <row r="71" spans="1:19" x14ac:dyDescent="0.4">
      <c r="A71">
        <v>20210802</v>
      </c>
      <c r="B71" s="1">
        <v>0.54166666666666663</v>
      </c>
      <c r="C71">
        <v>-49757</v>
      </c>
      <c r="D71">
        <v>880162</v>
      </c>
      <c r="E71">
        <v>1549474</v>
      </c>
      <c r="F71">
        <v>314142</v>
      </c>
      <c r="G71">
        <v>-24641</v>
      </c>
      <c r="H71">
        <v>37554</v>
      </c>
      <c r="I71">
        <v>64392</v>
      </c>
      <c r="J71">
        <v>-7177</v>
      </c>
      <c r="K71">
        <v>127604</v>
      </c>
      <c r="L71">
        <v>-49305</v>
      </c>
      <c r="M71">
        <v>11.78</v>
      </c>
      <c r="N71">
        <v>2842448</v>
      </c>
      <c r="O71">
        <v>24961850</v>
      </c>
      <c r="P71" s="2">
        <v>11.387168819618738</v>
      </c>
      <c r="Q71" t="str">
        <v/>
      </c>
      <c r="R71" s="2">
        <v>11.387168819618738</v>
      </c>
      <c r="S71" s="5">
        <v>29.405059300000001</v>
      </c>
    </row>
    <row r="72" spans="1:19" x14ac:dyDescent="0.4">
      <c r="A72">
        <v>20210802</v>
      </c>
      <c r="B72" s="1">
        <v>0.5625</v>
      </c>
      <c r="C72">
        <v>-30309</v>
      </c>
      <c r="D72">
        <v>851701</v>
      </c>
      <c r="E72">
        <v>1416128</v>
      </c>
      <c r="F72">
        <v>414085</v>
      </c>
      <c r="G72">
        <v>-7657</v>
      </c>
      <c r="H72">
        <v>100138</v>
      </c>
      <c r="I72">
        <v>117625</v>
      </c>
      <c r="J72">
        <v>-2354</v>
      </c>
      <c r="K72">
        <v>109193</v>
      </c>
      <c r="L72">
        <v>-41857</v>
      </c>
      <c r="M72">
        <v>12.76</v>
      </c>
      <c r="N72">
        <v>2926693</v>
      </c>
      <c r="O72">
        <v>24921900</v>
      </c>
      <c r="P72" s="2">
        <v>11.743458564555672</v>
      </c>
      <c r="Q72" t="str">
        <v/>
      </c>
      <c r="R72" s="2">
        <v>11.743458564555672</v>
      </c>
      <c r="S72" s="5">
        <v>31.8003444</v>
      </c>
    </row>
    <row r="73" spans="1:19" x14ac:dyDescent="0.4">
      <c r="A73">
        <v>20210802</v>
      </c>
      <c r="B73" s="1">
        <v>0.58333333333333337</v>
      </c>
      <c r="C73">
        <v>-42818</v>
      </c>
      <c r="D73">
        <v>983039</v>
      </c>
      <c r="E73">
        <v>1370652</v>
      </c>
      <c r="F73">
        <v>356919</v>
      </c>
      <c r="G73">
        <v>-6407</v>
      </c>
      <c r="H73">
        <v>132944</v>
      </c>
      <c r="I73">
        <v>85536</v>
      </c>
      <c r="J73">
        <v>-30578</v>
      </c>
      <c r="K73">
        <v>204217</v>
      </c>
      <c r="L73">
        <v>-42615</v>
      </c>
      <c r="M73">
        <v>15.01</v>
      </c>
      <c r="N73">
        <v>3010889</v>
      </c>
      <c r="O73">
        <v>24721200</v>
      </c>
      <c r="P73" s="2">
        <v>12.179380450787178</v>
      </c>
      <c r="Q73" t="str">
        <v/>
      </c>
      <c r="R73" s="2">
        <v>12.179380450787178</v>
      </c>
      <c r="S73" s="5">
        <v>37.106521200000003</v>
      </c>
    </row>
    <row r="74" spans="1:19" x14ac:dyDescent="0.4">
      <c r="A74">
        <v>20210802</v>
      </c>
      <c r="B74" s="1">
        <v>0.60416666666666663</v>
      </c>
      <c r="C74">
        <v>-79234</v>
      </c>
      <c r="D74">
        <v>800360</v>
      </c>
      <c r="E74">
        <v>1130853</v>
      </c>
      <c r="F74">
        <v>259687</v>
      </c>
      <c r="G74">
        <v>31744</v>
      </c>
      <c r="H74">
        <v>166723</v>
      </c>
      <c r="I74">
        <v>211546</v>
      </c>
      <c r="J74">
        <v>-16618</v>
      </c>
      <c r="K74">
        <v>197951</v>
      </c>
      <c r="L74">
        <v>-57546</v>
      </c>
      <c r="M74">
        <v>15.47</v>
      </c>
      <c r="N74">
        <v>2645466</v>
      </c>
      <c r="O74">
        <v>24825950</v>
      </c>
      <c r="P74" s="2">
        <v>10.656051430056051</v>
      </c>
      <c r="Q74" t="str">
        <v/>
      </c>
      <c r="R74" s="2">
        <v>10.656051430056051</v>
      </c>
      <c r="S74" s="5">
        <v>38.405744650000003</v>
      </c>
    </row>
    <row r="75" spans="1:19" x14ac:dyDescent="0.4">
      <c r="A75">
        <v>20210802</v>
      </c>
      <c r="B75" s="1">
        <v>0.625</v>
      </c>
      <c r="C75">
        <v>-39758</v>
      </c>
      <c r="D75">
        <v>778623</v>
      </c>
      <c r="E75">
        <v>1367991</v>
      </c>
      <c r="F75">
        <v>342223</v>
      </c>
      <c r="G75">
        <v>57330</v>
      </c>
      <c r="H75">
        <v>141996</v>
      </c>
      <c r="I75">
        <v>181092</v>
      </c>
      <c r="J75">
        <v>-29828</v>
      </c>
      <c r="K75">
        <v>51411</v>
      </c>
      <c r="L75">
        <v>-54138</v>
      </c>
      <c r="M75">
        <v>15.01</v>
      </c>
      <c r="N75">
        <v>2796942</v>
      </c>
      <c r="O75">
        <v>24518200</v>
      </c>
      <c r="P75" s="2">
        <v>11.407615567211296</v>
      </c>
      <c r="Q75" t="str">
        <v/>
      </c>
      <c r="R75" s="2">
        <v>11.407615567211296</v>
      </c>
      <c r="S75" s="5">
        <v>36.8018182</v>
      </c>
    </row>
    <row r="76" spans="1:19" x14ac:dyDescent="0.4">
      <c r="A76">
        <v>20210802</v>
      </c>
      <c r="B76" s="1">
        <v>0.64583333333333337</v>
      </c>
      <c r="C76">
        <v>-14042</v>
      </c>
      <c r="D76">
        <v>569480</v>
      </c>
      <c r="E76">
        <v>1009909</v>
      </c>
      <c r="F76">
        <v>236453</v>
      </c>
      <c r="G76">
        <v>23724</v>
      </c>
      <c r="H76">
        <v>159678</v>
      </c>
      <c r="I76">
        <v>24907</v>
      </c>
      <c r="J76">
        <v>-94996</v>
      </c>
      <c r="K76">
        <v>-34919</v>
      </c>
      <c r="L76">
        <v>-63688</v>
      </c>
      <c r="M76">
        <v>17.010000000000002</v>
      </c>
      <c r="N76">
        <v>1816506</v>
      </c>
      <c r="O76">
        <v>24074700</v>
      </c>
      <c r="P76" s="2">
        <v>7.5452902839910774</v>
      </c>
      <c r="Q76" t="str">
        <v/>
      </c>
      <c r="R76" s="2">
        <v>7.5452902839910774</v>
      </c>
      <c r="S76" s="5">
        <v>40.951064700000003</v>
      </c>
    </row>
    <row r="77" spans="1:19" x14ac:dyDescent="0.4">
      <c r="A77">
        <v>20210802</v>
      </c>
      <c r="B77" s="1">
        <v>0.66666666666666663</v>
      </c>
      <c r="C77">
        <v>-31367</v>
      </c>
      <c r="D77">
        <v>443970</v>
      </c>
      <c r="E77">
        <v>1038898</v>
      </c>
      <c r="F77">
        <v>90145</v>
      </c>
      <c r="G77">
        <v>-18522</v>
      </c>
      <c r="H77">
        <v>121942</v>
      </c>
      <c r="I77">
        <v>-44646</v>
      </c>
      <c r="J77">
        <v>-117204</v>
      </c>
      <c r="K77">
        <v>-12172</v>
      </c>
      <c r="L77">
        <v>-61957</v>
      </c>
      <c r="M77">
        <v>15.47</v>
      </c>
      <c r="N77">
        <v>1409087</v>
      </c>
      <c r="O77">
        <v>24469500</v>
      </c>
      <c r="P77" s="2">
        <v>5.7585443102637974</v>
      </c>
      <c r="Q77" t="str">
        <v/>
      </c>
      <c r="R77" s="2">
        <v>5.7585443102637974</v>
      </c>
      <c r="S77" s="5">
        <v>37.854316500000003</v>
      </c>
    </row>
    <row r="78" spans="1:19" x14ac:dyDescent="0.4">
      <c r="A78">
        <v>20210802</v>
      </c>
      <c r="B78" s="1">
        <v>0.6875</v>
      </c>
      <c r="C78">
        <v>21299</v>
      </c>
      <c r="D78">
        <v>195866</v>
      </c>
      <c r="E78">
        <v>698529</v>
      </c>
      <c r="F78">
        <v>62510</v>
      </c>
      <c r="G78">
        <v>-25073</v>
      </c>
      <c r="H78">
        <v>146861</v>
      </c>
      <c r="I78">
        <v>7080</v>
      </c>
      <c r="J78">
        <v>-160687</v>
      </c>
      <c r="K78">
        <v>17796</v>
      </c>
      <c r="L78">
        <v>-66750</v>
      </c>
      <c r="M78">
        <v>16.21</v>
      </c>
      <c r="N78">
        <v>897431</v>
      </c>
      <c r="O78">
        <v>24022000</v>
      </c>
      <c r="P78" s="2">
        <v>3.7358712846557323</v>
      </c>
      <c r="Q78" t="str">
        <v/>
      </c>
      <c r="R78" s="2">
        <v>3.7358712846557323</v>
      </c>
      <c r="S78" s="5">
        <v>38.939661999999998</v>
      </c>
    </row>
    <row r="79" spans="1:19" x14ac:dyDescent="0.4">
      <c r="A79">
        <v>20210802</v>
      </c>
      <c r="B79" s="1">
        <v>0.70833333333333337</v>
      </c>
      <c r="C79">
        <v>-34625</v>
      </c>
      <c r="D79">
        <v>37942</v>
      </c>
      <c r="E79">
        <v>634970</v>
      </c>
      <c r="F79">
        <v>126135</v>
      </c>
      <c r="G79">
        <v>-47999</v>
      </c>
      <c r="H79">
        <v>183984</v>
      </c>
      <c r="I79">
        <v>-47259</v>
      </c>
      <c r="J79">
        <v>-155646</v>
      </c>
      <c r="K79">
        <v>4306</v>
      </c>
      <c r="L79">
        <v>-60028</v>
      </c>
      <c r="M79">
        <v>15</v>
      </c>
      <c r="N79">
        <v>641780</v>
      </c>
      <c r="O79">
        <v>23658900</v>
      </c>
      <c r="P79" s="2">
        <v>2.7126366821787995</v>
      </c>
      <c r="Q79" t="str">
        <v/>
      </c>
      <c r="R79" s="2">
        <v>2.7126366821787995</v>
      </c>
      <c r="S79" s="5">
        <v>35.488349999999997</v>
      </c>
    </row>
    <row r="80" spans="1:19" x14ac:dyDescent="0.4">
      <c r="A80">
        <v>20210803</v>
      </c>
      <c r="B80" s="1">
        <v>0.41666666666666669</v>
      </c>
      <c r="C80">
        <v>102445</v>
      </c>
      <c r="D80">
        <v>240029</v>
      </c>
      <c r="E80">
        <v>370727</v>
      </c>
      <c r="F80">
        <v>-4820</v>
      </c>
      <c r="G80">
        <v>45547</v>
      </c>
      <c r="H80">
        <v>-342829</v>
      </c>
      <c r="I80">
        <v>165225</v>
      </c>
      <c r="J80">
        <v>91766</v>
      </c>
      <c r="K80">
        <v>-275612</v>
      </c>
      <c r="L80">
        <v>-92963</v>
      </c>
      <c r="M80">
        <v>9.76</v>
      </c>
      <c r="N80">
        <v>299515</v>
      </c>
      <c r="O80">
        <v>25190450</v>
      </c>
      <c r="P80" s="2">
        <v>1.1890021813822302</v>
      </c>
      <c r="Q80" t="str">
        <v/>
      </c>
      <c r="R80" s="2">
        <v>1.1890021813822302</v>
      </c>
      <c r="S80" s="5">
        <v>24.585879200000001</v>
      </c>
    </row>
    <row r="81" spans="1:19" x14ac:dyDescent="0.4">
      <c r="A81">
        <v>20210803</v>
      </c>
      <c r="B81" s="1">
        <v>0.4375</v>
      </c>
      <c r="C81">
        <v>116802</v>
      </c>
      <c r="D81">
        <v>287183</v>
      </c>
      <c r="E81">
        <v>136713</v>
      </c>
      <c r="F81">
        <v>141317</v>
      </c>
      <c r="G81">
        <v>57325</v>
      </c>
      <c r="H81">
        <v>-232080</v>
      </c>
      <c r="I81">
        <v>251785</v>
      </c>
      <c r="J81">
        <v>107295</v>
      </c>
      <c r="K81">
        <v>-188460</v>
      </c>
      <c r="L81">
        <v>-83044</v>
      </c>
      <c r="M81">
        <v>9.84</v>
      </c>
      <c r="N81">
        <v>594836</v>
      </c>
      <c r="O81">
        <v>25444550</v>
      </c>
      <c r="P81" s="2">
        <v>2.337773707925666</v>
      </c>
      <c r="Q81" t="str">
        <v/>
      </c>
      <c r="R81" s="2">
        <v>2.337773707925666</v>
      </c>
      <c r="S81" s="5">
        <v>25.037437199999999</v>
      </c>
    </row>
    <row r="82" spans="1:19" x14ac:dyDescent="0.4">
      <c r="A82">
        <v>20210803</v>
      </c>
      <c r="B82" s="1">
        <v>0.45833333333333331</v>
      </c>
      <c r="C82">
        <v>219276</v>
      </c>
      <c r="D82">
        <v>237035</v>
      </c>
      <c r="E82">
        <v>221008</v>
      </c>
      <c r="F82">
        <v>93107</v>
      </c>
      <c r="G82">
        <v>-604</v>
      </c>
      <c r="H82">
        <v>55475</v>
      </c>
      <c r="I82">
        <v>214328</v>
      </c>
      <c r="J82">
        <v>115101</v>
      </c>
      <c r="K82">
        <v>-154812</v>
      </c>
      <c r="L82">
        <v>-57193</v>
      </c>
      <c r="M82">
        <v>9.8800000000000008</v>
      </c>
      <c r="N82">
        <v>942721</v>
      </c>
      <c r="O82">
        <v>25843150</v>
      </c>
      <c r="P82" s="2">
        <v>3.6478563952149794</v>
      </c>
      <c r="Q82" t="str">
        <v/>
      </c>
      <c r="R82" s="2">
        <v>3.6478563952149794</v>
      </c>
      <c r="S82" s="5">
        <v>25.533032200000005</v>
      </c>
    </row>
    <row r="83" spans="1:19" x14ac:dyDescent="0.4">
      <c r="A83">
        <v>20210803</v>
      </c>
      <c r="B83" s="1">
        <v>0.47916666666666669</v>
      </c>
      <c r="C83">
        <v>192320</v>
      </c>
      <c r="D83">
        <v>279655</v>
      </c>
      <c r="E83">
        <v>7666</v>
      </c>
      <c r="F83">
        <v>157610</v>
      </c>
      <c r="G83">
        <v>-7433</v>
      </c>
      <c r="H83">
        <v>-75278</v>
      </c>
      <c r="I83">
        <v>313097</v>
      </c>
      <c r="J83">
        <v>121514</v>
      </c>
      <c r="K83">
        <v>-26457</v>
      </c>
      <c r="L83">
        <v>-60494</v>
      </c>
      <c r="M83">
        <v>9.8800000000000008</v>
      </c>
      <c r="N83">
        <v>902200</v>
      </c>
      <c r="O83">
        <v>26105900</v>
      </c>
      <c r="P83" s="2">
        <v>3.4559237566986774</v>
      </c>
      <c r="Q83" t="str">
        <v/>
      </c>
      <c r="R83" s="2">
        <v>3.4559237566986774</v>
      </c>
      <c r="S83" s="5">
        <v>25.792629200000004</v>
      </c>
    </row>
    <row r="84" spans="1:19" x14ac:dyDescent="0.4">
      <c r="A84">
        <v>20210803</v>
      </c>
      <c r="B84" s="1">
        <v>0.5</v>
      </c>
      <c r="C84">
        <v>176392</v>
      </c>
      <c r="D84">
        <v>195851</v>
      </c>
      <c r="E84">
        <v>28091</v>
      </c>
      <c r="F84">
        <v>155312</v>
      </c>
      <c r="G84">
        <v>-28167</v>
      </c>
      <c r="H84">
        <v>-121624</v>
      </c>
      <c r="I84">
        <v>327316</v>
      </c>
      <c r="J84">
        <v>107403</v>
      </c>
      <c r="K84">
        <v>195753</v>
      </c>
      <c r="L84">
        <v>-80340</v>
      </c>
      <c r="M84">
        <v>9.6300000000000008</v>
      </c>
      <c r="N84">
        <v>955987</v>
      </c>
      <c r="O84">
        <v>26154650</v>
      </c>
      <c r="P84" s="2">
        <v>3.6551320702054895</v>
      </c>
      <c r="Q84" t="str">
        <v/>
      </c>
      <c r="R84" s="2">
        <v>3.6551320702054895</v>
      </c>
      <c r="S84" s="5">
        <v>25.186927950000005</v>
      </c>
    </row>
    <row r="85" spans="1:19" x14ac:dyDescent="0.4">
      <c r="A85">
        <v>20210803</v>
      </c>
      <c r="B85" s="1">
        <v>0.52083333333333337</v>
      </c>
      <c r="C85">
        <v>195798</v>
      </c>
      <c r="D85">
        <v>318595</v>
      </c>
      <c r="E85">
        <v>-194078</v>
      </c>
      <c r="F85">
        <v>-4948</v>
      </c>
      <c r="G85">
        <v>2527</v>
      </c>
      <c r="H85">
        <v>-95941</v>
      </c>
      <c r="I85">
        <v>396345</v>
      </c>
      <c r="J85">
        <v>113007</v>
      </c>
      <c r="K85">
        <v>132053</v>
      </c>
      <c r="L85">
        <v>-71063</v>
      </c>
      <c r="M85">
        <v>9.74</v>
      </c>
      <c r="N85">
        <v>792295</v>
      </c>
      <c r="O85">
        <v>26134850</v>
      </c>
      <c r="P85" s="2">
        <v>3.03156513238071</v>
      </c>
      <c r="Q85" t="str">
        <v/>
      </c>
      <c r="R85" s="2">
        <v>3.03156513238071</v>
      </c>
      <c r="S85" s="5">
        <v>25.455343899999999</v>
      </c>
    </row>
    <row r="86" spans="1:19" x14ac:dyDescent="0.4">
      <c r="A86">
        <v>20210803</v>
      </c>
      <c r="B86" s="1">
        <v>0.54166666666666663</v>
      </c>
      <c r="C86">
        <v>154336</v>
      </c>
      <c r="D86">
        <v>317493</v>
      </c>
      <c r="E86">
        <v>92725</v>
      </c>
      <c r="F86">
        <v>54724</v>
      </c>
      <c r="G86">
        <v>3312</v>
      </c>
      <c r="H86">
        <v>-176751</v>
      </c>
      <c r="I86">
        <v>400467</v>
      </c>
      <c r="J86">
        <v>80241</v>
      </c>
      <c r="K86">
        <v>168515</v>
      </c>
      <c r="L86">
        <v>-86871</v>
      </c>
      <c r="M86">
        <v>10.01</v>
      </c>
      <c r="N86">
        <v>1008191</v>
      </c>
      <c r="O86">
        <v>25752700</v>
      </c>
      <c r="P86" s="2">
        <v>3.9148943605913167</v>
      </c>
      <c r="Q86" t="str">
        <v/>
      </c>
      <c r="R86" s="2">
        <v>3.9148943605913167</v>
      </c>
      <c r="S86" s="5">
        <v>25.778452699999999</v>
      </c>
    </row>
    <row r="87" spans="1:19" x14ac:dyDescent="0.4">
      <c r="A87">
        <v>20210803</v>
      </c>
      <c r="B87" s="1">
        <v>0.5625</v>
      </c>
      <c r="C87">
        <v>200104</v>
      </c>
      <c r="D87">
        <v>358062</v>
      </c>
      <c r="E87">
        <v>-107902</v>
      </c>
      <c r="F87">
        <v>57254</v>
      </c>
      <c r="G87">
        <v>20035</v>
      </c>
      <c r="H87">
        <v>-140971</v>
      </c>
      <c r="I87">
        <v>354398</v>
      </c>
      <c r="J87">
        <v>21700</v>
      </c>
      <c r="K87">
        <v>220404</v>
      </c>
      <c r="L87">
        <v>-69645</v>
      </c>
      <c r="M87">
        <v>10.27</v>
      </c>
      <c r="N87">
        <v>913439</v>
      </c>
      <c r="O87">
        <v>25896850</v>
      </c>
      <c r="P87" s="2">
        <v>3.5272204920675683</v>
      </c>
      <c r="Q87" t="str">
        <v/>
      </c>
      <c r="R87" s="2">
        <v>3.5272204920675683</v>
      </c>
      <c r="S87" s="5">
        <v>26.596064949999999</v>
      </c>
    </row>
    <row r="88" spans="1:19" x14ac:dyDescent="0.4">
      <c r="A88">
        <v>20210803</v>
      </c>
      <c r="B88" s="1">
        <v>0.58333333333333337</v>
      </c>
      <c r="C88">
        <v>119411</v>
      </c>
      <c r="D88">
        <v>266768</v>
      </c>
      <c r="E88">
        <v>185464</v>
      </c>
      <c r="F88">
        <v>53863</v>
      </c>
      <c r="G88">
        <v>4392</v>
      </c>
      <c r="H88">
        <v>-73837</v>
      </c>
      <c r="I88">
        <v>233846</v>
      </c>
      <c r="J88">
        <v>-38150</v>
      </c>
      <c r="K88">
        <v>172381</v>
      </c>
      <c r="L88">
        <v>-59508</v>
      </c>
      <c r="M88">
        <v>10.27</v>
      </c>
      <c r="N88">
        <v>864630</v>
      </c>
      <c r="O88">
        <v>25691750</v>
      </c>
      <c r="P88" s="2">
        <v>3.3653993986396413</v>
      </c>
      <c r="Q88" t="str">
        <v/>
      </c>
      <c r="R88" s="2">
        <v>3.3653993986396413</v>
      </c>
      <c r="S88" s="5">
        <v>26.385427249999999</v>
      </c>
    </row>
    <row r="89" spans="1:19" x14ac:dyDescent="0.4">
      <c r="A89">
        <v>20210803</v>
      </c>
      <c r="B89" s="1">
        <v>0.60416666666666663</v>
      </c>
      <c r="C89">
        <v>121076</v>
      </c>
      <c r="D89">
        <v>253743</v>
      </c>
      <c r="E89">
        <v>-47045</v>
      </c>
      <c r="F89">
        <v>81498</v>
      </c>
      <c r="G89">
        <v>-30133</v>
      </c>
      <c r="H89">
        <v>30002</v>
      </c>
      <c r="I89">
        <v>233617</v>
      </c>
      <c r="J89">
        <v>-28522</v>
      </c>
      <c r="K89">
        <v>181414</v>
      </c>
      <c r="L89">
        <v>-61367</v>
      </c>
      <c r="M89">
        <v>10.84</v>
      </c>
      <c r="N89">
        <v>734283</v>
      </c>
      <c r="O89">
        <v>25295450</v>
      </c>
      <c r="P89" s="2">
        <v>2.9028263976327757</v>
      </c>
      <c r="Q89" t="str">
        <v/>
      </c>
      <c r="R89" s="2">
        <v>2.9028263976327757</v>
      </c>
      <c r="S89" s="5">
        <v>27.420267800000001</v>
      </c>
    </row>
    <row r="90" spans="1:19" x14ac:dyDescent="0.4">
      <c r="A90">
        <v>20210803</v>
      </c>
      <c r="B90" s="1">
        <v>0.625</v>
      </c>
      <c r="C90">
        <v>126607</v>
      </c>
      <c r="D90">
        <v>172626</v>
      </c>
      <c r="E90">
        <v>307710</v>
      </c>
      <c r="F90">
        <v>9565</v>
      </c>
      <c r="G90">
        <v>9606</v>
      </c>
      <c r="H90">
        <v>88818</v>
      </c>
      <c r="I90">
        <v>184290</v>
      </c>
      <c r="J90">
        <v>-57265</v>
      </c>
      <c r="K90">
        <v>164065</v>
      </c>
      <c r="L90">
        <v>-77414</v>
      </c>
      <c r="M90">
        <v>11.03</v>
      </c>
      <c r="N90">
        <v>928608</v>
      </c>
      <c r="O90">
        <v>24928800</v>
      </c>
      <c r="P90" s="2">
        <v>3.7250409165302782</v>
      </c>
      <c r="Q90" t="str">
        <v/>
      </c>
      <c r="R90" s="2">
        <v>3.7250409165302782</v>
      </c>
      <c r="S90" s="5">
        <v>27.496466399999999</v>
      </c>
    </row>
    <row r="91" spans="1:19" x14ac:dyDescent="0.4">
      <c r="A91">
        <v>20210803</v>
      </c>
      <c r="B91" s="1">
        <v>0.64583333333333337</v>
      </c>
      <c r="C91">
        <v>93736</v>
      </c>
      <c r="D91">
        <v>78272</v>
      </c>
      <c r="E91">
        <v>-115316</v>
      </c>
      <c r="F91">
        <v>3809</v>
      </c>
      <c r="G91">
        <v>-794</v>
      </c>
      <c r="H91">
        <v>154318</v>
      </c>
      <c r="I91">
        <v>132952</v>
      </c>
      <c r="J91">
        <v>-95008</v>
      </c>
      <c r="K91">
        <v>135737</v>
      </c>
      <c r="L91">
        <v>-88454</v>
      </c>
      <c r="M91">
        <v>15.03</v>
      </c>
      <c r="N91">
        <v>299252</v>
      </c>
      <c r="O91">
        <v>24402100</v>
      </c>
      <c r="P91" s="2">
        <v>1.2263370775466047</v>
      </c>
      <c r="Q91" t="str">
        <v/>
      </c>
      <c r="R91" s="2">
        <v>1.2263370775466047</v>
      </c>
      <c r="S91" s="5">
        <v>36.676356300000002</v>
      </c>
    </row>
    <row r="92" spans="1:19" x14ac:dyDescent="0.4">
      <c r="A92">
        <v>20210803</v>
      </c>
      <c r="B92" s="1">
        <v>0.66666666666666663</v>
      </c>
      <c r="C92">
        <v>88193</v>
      </c>
      <c r="D92">
        <v>142099</v>
      </c>
      <c r="E92">
        <v>-142782</v>
      </c>
      <c r="F92">
        <v>297438</v>
      </c>
      <c r="G92">
        <v>-31995</v>
      </c>
      <c r="H92">
        <v>142687</v>
      </c>
      <c r="I92">
        <v>114323</v>
      </c>
      <c r="J92">
        <v>-128626</v>
      </c>
      <c r="K92">
        <v>-63071</v>
      </c>
      <c r="L92">
        <v>-62510</v>
      </c>
      <c r="M92">
        <v>14.87</v>
      </c>
      <c r="N92">
        <v>355756</v>
      </c>
      <c r="O92">
        <v>24663900</v>
      </c>
      <c r="P92" s="2">
        <v>1.4424158385332408</v>
      </c>
      <c r="Q92" t="str">
        <v/>
      </c>
      <c r="R92" s="2">
        <v>1.4424158385332408</v>
      </c>
      <c r="S92" s="5">
        <v>36.675219300000002</v>
      </c>
    </row>
    <row r="93" spans="1:19" x14ac:dyDescent="0.4">
      <c r="A93">
        <v>20210803</v>
      </c>
      <c r="B93" s="1">
        <v>0.89583333333333337</v>
      </c>
      <c r="C93">
        <v>-39164</v>
      </c>
      <c r="D93">
        <v>-112336</v>
      </c>
      <c r="E93">
        <v>181827</v>
      </c>
      <c r="F93">
        <v>62484</v>
      </c>
      <c r="G93">
        <v>-6002</v>
      </c>
      <c r="H93">
        <v>-61667</v>
      </c>
      <c r="I93">
        <v>36005</v>
      </c>
      <c r="J93">
        <v>5203</v>
      </c>
      <c r="K93">
        <v>15991</v>
      </c>
      <c r="L93">
        <v>-47524</v>
      </c>
      <c r="M93">
        <v>9.92</v>
      </c>
      <c r="N93">
        <v>34817</v>
      </c>
      <c r="O93">
        <v>21403700</v>
      </c>
      <c r="P93" s="2">
        <v>0.16266813681746614</v>
      </c>
      <c r="Q93" t="str">
        <v/>
      </c>
      <c r="R93" s="2">
        <v>0.16266813681746614</v>
      </c>
      <c r="S93" s="5">
        <v>21.2324704</v>
      </c>
    </row>
    <row r="94" spans="1:19" x14ac:dyDescent="0.4">
      <c r="A94">
        <v>20210804</v>
      </c>
      <c r="B94" s="1">
        <v>2.0833333333333332E-2</v>
      </c>
      <c r="C94">
        <v>-67436</v>
      </c>
      <c r="D94">
        <v>40209</v>
      </c>
      <c r="E94">
        <v>-61229</v>
      </c>
      <c r="F94">
        <v>161739</v>
      </c>
      <c r="G94">
        <v>-12755</v>
      </c>
      <c r="H94">
        <v>-14004</v>
      </c>
      <c r="I94">
        <v>29147</v>
      </c>
      <c r="J94">
        <v>-23076</v>
      </c>
      <c r="K94">
        <v>40655</v>
      </c>
      <c r="L94">
        <v>-57505</v>
      </c>
      <c r="M94">
        <v>8.86</v>
      </c>
      <c r="N94">
        <v>35745</v>
      </c>
      <c r="O94">
        <v>19541150</v>
      </c>
      <c r="P94" s="2">
        <v>0.18292168065850781</v>
      </c>
      <c r="Q94" t="str">
        <v/>
      </c>
      <c r="R94" s="2">
        <v>0.18292168065850781</v>
      </c>
      <c r="S94" s="5">
        <v>17.313458900000001</v>
      </c>
    </row>
    <row r="95" spans="1:19" x14ac:dyDescent="0.4">
      <c r="A95">
        <v>20210804</v>
      </c>
      <c r="B95" s="1">
        <v>4.1666666666666664E-2</v>
      </c>
      <c r="C95">
        <v>-42889</v>
      </c>
      <c r="D95">
        <v>55577</v>
      </c>
      <c r="E95">
        <v>-114608</v>
      </c>
      <c r="F95">
        <v>137277</v>
      </c>
      <c r="G95">
        <v>-24778</v>
      </c>
      <c r="H95">
        <v>57683</v>
      </c>
      <c r="I95">
        <v>84586</v>
      </c>
      <c r="J95">
        <v>-17387</v>
      </c>
      <c r="K95">
        <v>12249</v>
      </c>
      <c r="L95">
        <v>-59241</v>
      </c>
      <c r="M95">
        <v>8.86</v>
      </c>
      <c r="N95">
        <v>88469</v>
      </c>
      <c r="O95">
        <v>19738150</v>
      </c>
      <c r="P95" s="2">
        <v>0.44821323173651029</v>
      </c>
      <c r="Q95" t="str">
        <v/>
      </c>
      <c r="R95" s="2">
        <v>0.44821323173651029</v>
      </c>
      <c r="S95" s="5">
        <v>17.488000899999999</v>
      </c>
    </row>
    <row r="96" spans="1:19" x14ac:dyDescent="0.4">
      <c r="A96">
        <v>20210804</v>
      </c>
      <c r="B96" s="1">
        <v>6.25E-2</v>
      </c>
      <c r="C96">
        <v>-10565</v>
      </c>
      <c r="D96">
        <v>65175</v>
      </c>
      <c r="E96">
        <v>-7385</v>
      </c>
      <c r="F96">
        <v>180062</v>
      </c>
      <c r="G96">
        <v>-28092</v>
      </c>
      <c r="H96">
        <v>-30428</v>
      </c>
      <c r="I96">
        <v>-33956</v>
      </c>
      <c r="J96">
        <v>-15370</v>
      </c>
      <c r="K96">
        <v>26716</v>
      </c>
      <c r="L96">
        <v>-54676</v>
      </c>
      <c r="M96">
        <v>7.59</v>
      </c>
      <c r="N96">
        <v>91481</v>
      </c>
      <c r="O96">
        <v>20064950</v>
      </c>
      <c r="P96" s="2">
        <v>0.45592438555790071</v>
      </c>
      <c r="Q96" t="str">
        <v/>
      </c>
      <c r="R96" s="2">
        <v>0.45592438555790071</v>
      </c>
      <c r="S96" s="5">
        <v>15.22929705</v>
      </c>
    </row>
    <row r="97" spans="1:19" x14ac:dyDescent="0.4">
      <c r="A97">
        <v>20210804</v>
      </c>
      <c r="B97" s="1">
        <v>0.125</v>
      </c>
      <c r="C97">
        <v>-37571</v>
      </c>
      <c r="D97">
        <v>66056</v>
      </c>
      <c r="E97">
        <v>-41858</v>
      </c>
      <c r="F97">
        <v>133601</v>
      </c>
      <c r="G97">
        <v>-10729</v>
      </c>
      <c r="H97">
        <v>-48074</v>
      </c>
      <c r="I97">
        <v>-45430</v>
      </c>
      <c r="J97">
        <v>-5802</v>
      </c>
      <c r="K97">
        <v>77798</v>
      </c>
      <c r="L97">
        <v>-45768</v>
      </c>
      <c r="M97">
        <v>7.58</v>
      </c>
      <c r="N97">
        <v>42223</v>
      </c>
      <c r="O97">
        <v>20455700</v>
      </c>
      <c r="P97" s="2">
        <v>0.20641190475026522</v>
      </c>
      <c r="Q97" t="str">
        <v/>
      </c>
      <c r="R97" s="2">
        <v>0.20641190475026522</v>
      </c>
      <c r="S97" s="5">
        <v>15.505420600000001</v>
      </c>
    </row>
    <row r="98" spans="1:19" x14ac:dyDescent="0.4">
      <c r="A98">
        <v>20210804</v>
      </c>
      <c r="B98" s="1">
        <v>0.14583333333333334</v>
      </c>
      <c r="C98">
        <v>-19943</v>
      </c>
      <c r="D98">
        <v>46717</v>
      </c>
      <c r="E98">
        <v>2496</v>
      </c>
      <c r="F98">
        <v>109315</v>
      </c>
      <c r="G98">
        <v>2954</v>
      </c>
      <c r="H98">
        <v>-42176</v>
      </c>
      <c r="I98">
        <v>-43040</v>
      </c>
      <c r="J98">
        <v>2549</v>
      </c>
      <c r="K98">
        <v>106056</v>
      </c>
      <c r="L98">
        <v>-51331</v>
      </c>
      <c r="M98">
        <v>7.58</v>
      </c>
      <c r="N98">
        <v>113597</v>
      </c>
      <c r="O98">
        <v>20547400</v>
      </c>
      <c r="P98" s="2">
        <v>0.55285340237694303</v>
      </c>
      <c r="Q98" t="str">
        <v/>
      </c>
      <c r="R98" s="2">
        <v>0.55285340237694303</v>
      </c>
      <c r="S98" s="5">
        <v>15.5749292</v>
      </c>
    </row>
    <row r="99" spans="1:19" x14ac:dyDescent="0.4">
      <c r="A99">
        <v>20210804</v>
      </c>
      <c r="B99" s="1">
        <v>0.16666666666666666</v>
      </c>
      <c r="C99">
        <v>-19672</v>
      </c>
      <c r="D99">
        <v>61363</v>
      </c>
      <c r="E99">
        <v>8464</v>
      </c>
      <c r="F99">
        <v>162608</v>
      </c>
      <c r="G99">
        <v>6381</v>
      </c>
      <c r="H99">
        <v>-93025</v>
      </c>
      <c r="I99">
        <v>-29176</v>
      </c>
      <c r="J99">
        <v>19960</v>
      </c>
      <c r="K99">
        <v>189826</v>
      </c>
      <c r="L99">
        <v>-50853</v>
      </c>
      <c r="M99">
        <v>7.63</v>
      </c>
      <c r="N99">
        <v>255876</v>
      </c>
      <c r="O99">
        <v>20614150</v>
      </c>
      <c r="P99" s="2">
        <v>1.2412638891247032</v>
      </c>
      <c r="Q99" t="str">
        <v/>
      </c>
      <c r="R99" s="2">
        <v>1.2412638891247032</v>
      </c>
      <c r="S99" s="5">
        <v>15.72859645</v>
      </c>
    </row>
    <row r="100" spans="1:19" x14ac:dyDescent="0.4">
      <c r="A100">
        <v>20210804</v>
      </c>
      <c r="B100" s="1">
        <v>0.1875</v>
      </c>
      <c r="C100">
        <v>-9018</v>
      </c>
      <c r="D100">
        <v>53849</v>
      </c>
      <c r="E100">
        <v>21527</v>
      </c>
      <c r="F100">
        <v>126053</v>
      </c>
      <c r="G100">
        <v>-11551</v>
      </c>
      <c r="H100">
        <v>-151519</v>
      </c>
      <c r="I100">
        <v>-57437</v>
      </c>
      <c r="J100">
        <v>24234</v>
      </c>
      <c r="K100">
        <v>117739</v>
      </c>
      <c r="L100">
        <v>-44545</v>
      </c>
      <c r="M100">
        <v>7.63</v>
      </c>
      <c r="N100">
        <v>69332</v>
      </c>
      <c r="O100">
        <v>20630000</v>
      </c>
      <c r="P100" s="2">
        <v>0.33607367910809499</v>
      </c>
      <c r="Q100" t="str">
        <v/>
      </c>
      <c r="R100" s="2">
        <v>0.33607367910809499</v>
      </c>
      <c r="S100" s="5">
        <v>15.740690000000001</v>
      </c>
    </row>
    <row r="101" spans="1:19" x14ac:dyDescent="0.4">
      <c r="A101">
        <v>20210804</v>
      </c>
      <c r="B101" s="1">
        <v>0.20833333333333334</v>
      </c>
      <c r="C101">
        <v>-4103</v>
      </c>
      <c r="D101">
        <v>123928</v>
      </c>
      <c r="E101">
        <v>42018</v>
      </c>
      <c r="F101">
        <v>103390</v>
      </c>
      <c r="G101">
        <v>-8801</v>
      </c>
      <c r="H101">
        <v>-106946</v>
      </c>
      <c r="I101">
        <v>-82397</v>
      </c>
      <c r="J101">
        <v>48669</v>
      </c>
      <c r="K101">
        <v>140507</v>
      </c>
      <c r="L101">
        <v>-47874</v>
      </c>
      <c r="M101">
        <v>7.93</v>
      </c>
      <c r="N101">
        <v>208391</v>
      </c>
      <c r="O101">
        <v>20621150</v>
      </c>
      <c r="P101" s="2">
        <v>1.0105692456531279</v>
      </c>
      <c r="Q101" t="str">
        <v/>
      </c>
      <c r="R101" s="2">
        <v>1.0105692456531279</v>
      </c>
      <c r="S101" s="5">
        <v>16.352571950000002</v>
      </c>
    </row>
    <row r="102" spans="1:19" x14ac:dyDescent="0.4">
      <c r="A102">
        <v>20210804</v>
      </c>
      <c r="B102" s="1">
        <v>0.22916666666666666</v>
      </c>
      <c r="C102">
        <v>13659</v>
      </c>
      <c r="D102">
        <v>216923</v>
      </c>
      <c r="E102">
        <v>-22015</v>
      </c>
      <c r="F102">
        <v>56129</v>
      </c>
      <c r="G102">
        <v>-21194</v>
      </c>
      <c r="H102">
        <v>-73132</v>
      </c>
      <c r="I102">
        <v>-117699</v>
      </c>
      <c r="J102">
        <v>75268</v>
      </c>
      <c r="K102">
        <v>99377</v>
      </c>
      <c r="L102">
        <v>-50734</v>
      </c>
      <c r="M102">
        <v>7.65</v>
      </c>
      <c r="N102">
        <v>176582</v>
      </c>
      <c r="O102">
        <v>20661400</v>
      </c>
      <c r="P102" s="2">
        <v>0.85464682935328684</v>
      </c>
      <c r="Q102" t="str">
        <v/>
      </c>
      <c r="R102" s="2">
        <v>0.85464682935328684</v>
      </c>
      <c r="S102" s="5">
        <v>15.805971</v>
      </c>
    </row>
    <row r="103" spans="1:19" x14ac:dyDescent="0.4">
      <c r="A103">
        <v>20210804</v>
      </c>
      <c r="B103" s="1">
        <v>0.25</v>
      </c>
      <c r="C103">
        <v>21088</v>
      </c>
      <c r="D103">
        <v>224887</v>
      </c>
      <c r="E103">
        <v>179410</v>
      </c>
      <c r="F103">
        <v>-3177</v>
      </c>
      <c r="G103">
        <v>-18735</v>
      </c>
      <c r="H103">
        <v>-128289</v>
      </c>
      <c r="I103">
        <v>-180454</v>
      </c>
      <c r="J103">
        <v>94971</v>
      </c>
      <c r="K103">
        <v>-69463</v>
      </c>
      <c r="L103">
        <v>-53142</v>
      </c>
      <c r="M103">
        <v>7.93</v>
      </c>
      <c r="N103">
        <v>67096</v>
      </c>
      <c r="O103">
        <v>21245450</v>
      </c>
      <c r="P103" s="2">
        <v>0.31581350359724081</v>
      </c>
      <c r="Q103" t="str">
        <v/>
      </c>
      <c r="R103" s="2">
        <v>0.31581350359724081</v>
      </c>
      <c r="S103" s="5">
        <v>16.847641849999999</v>
      </c>
    </row>
    <row r="104" spans="1:19" x14ac:dyDescent="0.4">
      <c r="A104">
        <v>20210804</v>
      </c>
      <c r="B104" s="1">
        <v>0.27083333333333331</v>
      </c>
      <c r="C104">
        <v>42972</v>
      </c>
      <c r="D104">
        <v>296166</v>
      </c>
      <c r="E104">
        <v>159842</v>
      </c>
      <c r="F104">
        <v>44885</v>
      </c>
      <c r="G104">
        <v>-15340</v>
      </c>
      <c r="H104">
        <v>-135404</v>
      </c>
      <c r="I104">
        <v>-166174</v>
      </c>
      <c r="J104">
        <v>108770</v>
      </c>
      <c r="K104">
        <v>-183094</v>
      </c>
      <c r="L104">
        <v>-55960</v>
      </c>
      <c r="M104">
        <v>7.93</v>
      </c>
      <c r="N104">
        <v>96663</v>
      </c>
      <c r="O104">
        <v>21758950</v>
      </c>
      <c r="P104" s="2">
        <v>0.44424478203222123</v>
      </c>
      <c r="Q104" t="str">
        <v/>
      </c>
      <c r="R104" s="2">
        <v>0.44424478203222123</v>
      </c>
      <c r="S104" s="5">
        <v>17.254847349999999</v>
      </c>
    </row>
    <row r="105" spans="1:19" x14ac:dyDescent="0.4">
      <c r="A105">
        <v>20210804</v>
      </c>
      <c r="B105" s="1">
        <v>0.29166666666666669</v>
      </c>
      <c r="C105">
        <v>80862</v>
      </c>
      <c r="D105">
        <v>336427</v>
      </c>
      <c r="E105">
        <v>132926</v>
      </c>
      <c r="F105">
        <v>176681</v>
      </c>
      <c r="G105">
        <v>15020</v>
      </c>
      <c r="H105">
        <v>-113968</v>
      </c>
      <c r="I105">
        <v>-214040</v>
      </c>
      <c r="J105">
        <v>99244</v>
      </c>
      <c r="K105">
        <v>-174813</v>
      </c>
      <c r="L105">
        <v>-52013</v>
      </c>
      <c r="M105">
        <v>7.94</v>
      </c>
      <c r="N105">
        <v>286326</v>
      </c>
      <c r="O105">
        <v>22741350</v>
      </c>
      <c r="P105" s="2">
        <v>1.2590545416169225</v>
      </c>
      <c r="Q105" t="str">
        <v/>
      </c>
      <c r="R105" s="2">
        <v>1.2590545416169225</v>
      </c>
      <c r="S105" s="5">
        <v>18.056631899999999</v>
      </c>
    </row>
    <row r="106" spans="1:19" x14ac:dyDescent="0.4">
      <c r="A106">
        <v>20210804</v>
      </c>
      <c r="B106" s="1">
        <v>0.3125</v>
      </c>
      <c r="C106">
        <v>49526</v>
      </c>
      <c r="D106">
        <v>571013</v>
      </c>
      <c r="E106">
        <v>-293823</v>
      </c>
      <c r="F106">
        <v>213188</v>
      </c>
      <c r="G106">
        <v>18706</v>
      </c>
      <c r="H106">
        <v>-70085</v>
      </c>
      <c r="I106">
        <v>-141429</v>
      </c>
      <c r="J106">
        <v>133336</v>
      </c>
      <c r="K106">
        <v>-127934</v>
      </c>
      <c r="L106">
        <v>-57741</v>
      </c>
      <c r="M106">
        <v>8.39</v>
      </c>
      <c r="N106">
        <v>294757</v>
      </c>
      <c r="O106">
        <v>23067650</v>
      </c>
      <c r="P106" s="2">
        <v>1.2777937934726771</v>
      </c>
      <c r="Q106" t="str">
        <v/>
      </c>
      <c r="R106" s="2">
        <v>1.2777937934726771</v>
      </c>
      <c r="S106" s="5">
        <v>19.35375835</v>
      </c>
    </row>
    <row r="107" spans="1:19" x14ac:dyDescent="0.4">
      <c r="A107">
        <v>20210804</v>
      </c>
      <c r="B107" s="1">
        <v>0.33333333333333331</v>
      </c>
      <c r="C107">
        <v>-20354</v>
      </c>
      <c r="D107">
        <v>488750</v>
      </c>
      <c r="E107">
        <v>135465</v>
      </c>
      <c r="F107">
        <v>313796</v>
      </c>
      <c r="G107">
        <v>50749</v>
      </c>
      <c r="H107">
        <v>-147727</v>
      </c>
      <c r="I107">
        <v>-106529</v>
      </c>
      <c r="J107">
        <v>148428</v>
      </c>
      <c r="K107">
        <v>-29611</v>
      </c>
      <c r="L107">
        <v>-38821</v>
      </c>
      <c r="M107">
        <v>7.46</v>
      </c>
      <c r="N107">
        <v>794146</v>
      </c>
      <c r="O107">
        <v>24340550</v>
      </c>
      <c r="P107" s="2">
        <v>3.2626460782521347</v>
      </c>
      <c r="Q107" t="str">
        <v/>
      </c>
      <c r="R107" s="2">
        <v>3.2626460782521347</v>
      </c>
      <c r="S107" s="5">
        <v>18.158050299999999</v>
      </c>
    </row>
    <row r="108" spans="1:19" x14ac:dyDescent="0.4">
      <c r="A108">
        <v>20210804</v>
      </c>
      <c r="B108" s="1">
        <v>0.35416666666666669</v>
      </c>
      <c r="C108">
        <v>59867</v>
      </c>
      <c r="D108">
        <v>557428</v>
      </c>
      <c r="E108">
        <v>-57785</v>
      </c>
      <c r="F108">
        <v>122293</v>
      </c>
      <c r="G108">
        <v>57523</v>
      </c>
      <c r="H108">
        <v>-174298</v>
      </c>
      <c r="I108">
        <v>-125906</v>
      </c>
      <c r="J108">
        <v>115358</v>
      </c>
      <c r="K108">
        <v>-3688</v>
      </c>
      <c r="L108">
        <v>-38128</v>
      </c>
      <c r="M108">
        <v>8.86</v>
      </c>
      <c r="N108">
        <v>512664</v>
      </c>
      <c r="O108">
        <v>24946300</v>
      </c>
      <c r="P108" s="2">
        <v>2.0550702909850358</v>
      </c>
      <c r="Q108" t="str">
        <v/>
      </c>
      <c r="R108" s="2">
        <v>2.0550702909850358</v>
      </c>
      <c r="S108" s="5">
        <v>22.102421799999998</v>
      </c>
    </row>
    <row r="109" spans="1:19" x14ac:dyDescent="0.4">
      <c r="A109">
        <v>20210804</v>
      </c>
      <c r="B109" s="1">
        <v>0.375</v>
      </c>
      <c r="C109">
        <v>-35694</v>
      </c>
      <c r="D109">
        <v>481157</v>
      </c>
      <c r="E109">
        <v>83895</v>
      </c>
      <c r="F109">
        <v>268893</v>
      </c>
      <c r="G109">
        <v>58984</v>
      </c>
      <c r="H109">
        <v>-207465</v>
      </c>
      <c r="I109">
        <v>-97083</v>
      </c>
      <c r="J109">
        <v>129251</v>
      </c>
      <c r="K109">
        <v>3646</v>
      </c>
      <c r="L109">
        <v>-44252</v>
      </c>
      <c r="M109">
        <v>9.6</v>
      </c>
      <c r="N109">
        <v>641332</v>
      </c>
      <c r="O109">
        <v>25455350</v>
      </c>
      <c r="P109" s="2">
        <v>2.5194389391621015</v>
      </c>
      <c r="Q109" t="str">
        <v/>
      </c>
      <c r="R109" s="2">
        <v>2.5194389391621015</v>
      </c>
      <c r="S109" s="5">
        <v>24.437135999999999</v>
      </c>
    </row>
    <row r="110" spans="1:19" x14ac:dyDescent="0.4">
      <c r="A110">
        <v>20210804</v>
      </c>
      <c r="B110" s="1">
        <v>0.39583333333333331</v>
      </c>
      <c r="C110">
        <v>-14575</v>
      </c>
      <c r="D110">
        <v>464545</v>
      </c>
      <c r="E110">
        <v>-154047</v>
      </c>
      <c r="F110">
        <v>270538</v>
      </c>
      <c r="G110">
        <v>53025</v>
      </c>
      <c r="H110">
        <v>-225589</v>
      </c>
      <c r="I110">
        <v>-26407</v>
      </c>
      <c r="J110">
        <v>114698</v>
      </c>
      <c r="K110">
        <v>59280</v>
      </c>
      <c r="L110">
        <v>-60468</v>
      </c>
      <c r="M110">
        <v>9.65</v>
      </c>
      <c r="N110">
        <v>481000</v>
      </c>
      <c r="O110">
        <v>25856650</v>
      </c>
      <c r="P110" s="2">
        <v>1.8602564524019933</v>
      </c>
      <c r="Q110" t="str">
        <v/>
      </c>
      <c r="R110" s="2">
        <v>1.8602564524019933</v>
      </c>
      <c r="S110" s="5">
        <v>24.95166725</v>
      </c>
    </row>
    <row r="111" spans="1:19" x14ac:dyDescent="0.4">
      <c r="A111">
        <v>20210804</v>
      </c>
      <c r="B111" s="1">
        <v>0.41666666666666669</v>
      </c>
      <c r="C111">
        <v>-62488</v>
      </c>
      <c r="D111">
        <v>388196</v>
      </c>
      <c r="E111">
        <v>-27739</v>
      </c>
      <c r="F111">
        <v>281093</v>
      </c>
      <c r="G111">
        <v>38205</v>
      </c>
      <c r="H111">
        <v>-214299</v>
      </c>
      <c r="I111">
        <v>-20161</v>
      </c>
      <c r="J111">
        <v>102253</v>
      </c>
      <c r="K111">
        <v>-54390</v>
      </c>
      <c r="L111">
        <v>-52530</v>
      </c>
      <c r="M111">
        <v>9.74</v>
      </c>
      <c r="N111">
        <v>378140</v>
      </c>
      <c r="O111">
        <v>26318500</v>
      </c>
      <c r="P111" s="2">
        <v>1.4367840112468415</v>
      </c>
      <c r="Q111" t="str">
        <v/>
      </c>
      <c r="R111" s="2">
        <v>1.4367840112468415</v>
      </c>
      <c r="S111" s="5">
        <v>25.634219000000002</v>
      </c>
    </row>
    <row r="112" spans="1:19" x14ac:dyDescent="0.4">
      <c r="A112">
        <v>20210804</v>
      </c>
      <c r="B112" s="1">
        <v>0.4375</v>
      </c>
      <c r="C112">
        <v>-35851</v>
      </c>
      <c r="D112">
        <v>335977</v>
      </c>
      <c r="E112">
        <v>158682</v>
      </c>
      <c r="F112">
        <v>306876</v>
      </c>
      <c r="G112">
        <v>46719</v>
      </c>
      <c r="H112">
        <v>-236732</v>
      </c>
      <c r="I112">
        <v>-31631</v>
      </c>
      <c r="J112">
        <v>91013</v>
      </c>
      <c r="K112">
        <v>11089</v>
      </c>
      <c r="L112">
        <v>-56046</v>
      </c>
      <c r="M112">
        <v>9.83</v>
      </c>
      <c r="N112">
        <v>590096</v>
      </c>
      <c r="O112">
        <v>26526200</v>
      </c>
      <c r="P112" s="2">
        <v>2.2245779644276227</v>
      </c>
      <c r="Q112" t="str">
        <v/>
      </c>
      <c r="R112" s="2">
        <v>2.2245779644276227</v>
      </c>
      <c r="S112" s="5">
        <v>26.075254600000001</v>
      </c>
    </row>
    <row r="113" spans="1:19" x14ac:dyDescent="0.4">
      <c r="A113">
        <v>20210804</v>
      </c>
      <c r="B113" s="1">
        <v>0.45833333333333331</v>
      </c>
      <c r="C113">
        <v>-2340</v>
      </c>
      <c r="D113">
        <v>230006</v>
      </c>
      <c r="E113">
        <v>228727</v>
      </c>
      <c r="F113">
        <v>300148</v>
      </c>
      <c r="G113">
        <v>40117</v>
      </c>
      <c r="H113">
        <v>-252619</v>
      </c>
      <c r="I113">
        <v>-67601</v>
      </c>
      <c r="J113">
        <v>91725</v>
      </c>
      <c r="K113">
        <v>-28334</v>
      </c>
      <c r="L113">
        <v>-61331</v>
      </c>
      <c r="M113">
        <v>10.01</v>
      </c>
      <c r="N113">
        <v>478498</v>
      </c>
      <c r="O113">
        <v>26841900</v>
      </c>
      <c r="P113" s="2">
        <v>1.7826532398973247</v>
      </c>
      <c r="Q113" t="str">
        <v/>
      </c>
      <c r="R113" s="2">
        <v>1.7826532398973247</v>
      </c>
      <c r="S113" s="5">
        <v>26.8687419</v>
      </c>
    </row>
    <row r="114" spans="1:19" x14ac:dyDescent="0.4">
      <c r="A114">
        <v>20210804</v>
      </c>
      <c r="B114" s="1">
        <v>0.47916666666666669</v>
      </c>
      <c r="C114">
        <v>39394</v>
      </c>
      <c r="D114">
        <v>109786</v>
      </c>
      <c r="E114">
        <v>221715</v>
      </c>
      <c r="F114">
        <v>210891</v>
      </c>
      <c r="G114">
        <v>39149</v>
      </c>
      <c r="H114">
        <v>-171463</v>
      </c>
      <c r="I114">
        <v>27971</v>
      </c>
      <c r="J114">
        <v>75391</v>
      </c>
      <c r="K114">
        <v>27593</v>
      </c>
      <c r="L114">
        <v>-52393</v>
      </c>
      <c r="M114">
        <v>9.89</v>
      </c>
      <c r="N114">
        <v>528034</v>
      </c>
      <c r="O114">
        <v>27010300</v>
      </c>
      <c r="P114" s="2">
        <v>1.95493570971074</v>
      </c>
      <c r="Q114" t="str">
        <v/>
      </c>
      <c r="R114" s="2">
        <v>1.95493570971074</v>
      </c>
      <c r="S114" s="5">
        <v>26.713186700000001</v>
      </c>
    </row>
    <row r="115" spans="1:19" x14ac:dyDescent="0.4">
      <c r="A115">
        <v>20210804</v>
      </c>
      <c r="B115" s="1">
        <v>0.5</v>
      </c>
      <c r="C115">
        <v>23225</v>
      </c>
      <c r="D115">
        <v>61861</v>
      </c>
      <c r="E115">
        <v>183042</v>
      </c>
      <c r="F115">
        <v>211067</v>
      </c>
      <c r="G115">
        <v>47076</v>
      </c>
      <c r="H115">
        <v>-152523</v>
      </c>
      <c r="I115">
        <v>-4516</v>
      </c>
      <c r="J115">
        <v>103042</v>
      </c>
      <c r="K115">
        <v>-62796</v>
      </c>
      <c r="L115">
        <v>-32413</v>
      </c>
      <c r="M115">
        <v>9.6</v>
      </c>
      <c r="N115">
        <v>377065</v>
      </c>
      <c r="O115">
        <v>26936950</v>
      </c>
      <c r="P115" s="2">
        <v>1.3998058429035209</v>
      </c>
      <c r="Q115" t="str">
        <v/>
      </c>
      <c r="R115" s="2">
        <v>1.3998058429035209</v>
      </c>
      <c r="S115" s="5">
        <v>25.859472</v>
      </c>
    </row>
    <row r="116" spans="1:19" x14ac:dyDescent="0.4">
      <c r="A116">
        <v>20210804</v>
      </c>
      <c r="B116" s="1">
        <v>0.52083333333333337</v>
      </c>
      <c r="C116">
        <v>47877</v>
      </c>
      <c r="D116">
        <v>41837</v>
      </c>
      <c r="E116">
        <v>176989</v>
      </c>
      <c r="F116">
        <v>177765</v>
      </c>
      <c r="G116">
        <v>79421</v>
      </c>
      <c r="H116">
        <v>-114071</v>
      </c>
      <c r="I116">
        <v>-18822</v>
      </c>
      <c r="J116">
        <v>93928</v>
      </c>
      <c r="K116">
        <v>-96134</v>
      </c>
      <c r="L116">
        <v>-24661</v>
      </c>
      <c r="M116">
        <v>9.82</v>
      </c>
      <c r="N116">
        <v>364129</v>
      </c>
      <c r="O116">
        <v>26878700</v>
      </c>
      <c r="P116" s="2">
        <v>1.354712095451045</v>
      </c>
      <c r="Q116" t="str">
        <v/>
      </c>
      <c r="R116" s="2">
        <v>1.354712095451045</v>
      </c>
      <c r="S116" s="5">
        <v>26.394883400000001</v>
      </c>
    </row>
    <row r="117" spans="1:19" x14ac:dyDescent="0.4">
      <c r="A117">
        <v>20210804</v>
      </c>
      <c r="B117" s="1">
        <v>0.54166666666666663</v>
      </c>
      <c r="C117">
        <v>21244</v>
      </c>
      <c r="D117">
        <v>-50847</v>
      </c>
      <c r="E117">
        <v>47663</v>
      </c>
      <c r="F117">
        <v>197126</v>
      </c>
      <c r="G117">
        <v>92057</v>
      </c>
      <c r="H117">
        <v>-77711</v>
      </c>
      <c r="I117">
        <v>-1631</v>
      </c>
      <c r="J117">
        <v>61580</v>
      </c>
      <c r="K117">
        <v>-78279</v>
      </c>
      <c r="L117">
        <v>-11768</v>
      </c>
      <c r="M117">
        <v>10.27</v>
      </c>
      <c r="N117">
        <v>199434</v>
      </c>
      <c r="O117">
        <v>26518900</v>
      </c>
      <c r="P117" s="2">
        <v>0.75204476807107379</v>
      </c>
      <c r="Q117" t="str">
        <v/>
      </c>
      <c r="R117" s="2">
        <v>0.75204476807107379</v>
      </c>
      <c r="S117" s="5">
        <v>27.234910299999999</v>
      </c>
    </row>
    <row r="118" spans="1:19" x14ac:dyDescent="0.4">
      <c r="A118">
        <v>20210804</v>
      </c>
      <c r="B118" s="1">
        <v>0.5625</v>
      </c>
      <c r="C118">
        <v>26646</v>
      </c>
      <c r="D118">
        <v>-61563</v>
      </c>
      <c r="E118">
        <v>76857</v>
      </c>
      <c r="F118">
        <v>248539</v>
      </c>
      <c r="G118">
        <v>94449</v>
      </c>
      <c r="H118">
        <v>24703</v>
      </c>
      <c r="I118">
        <v>-48383</v>
      </c>
      <c r="J118">
        <v>63046</v>
      </c>
      <c r="K118">
        <v>98620</v>
      </c>
      <c r="L118">
        <v>-25478</v>
      </c>
      <c r="M118">
        <v>10.27</v>
      </c>
      <c r="N118">
        <v>497436</v>
      </c>
      <c r="O118">
        <v>26437000</v>
      </c>
      <c r="P118" s="2">
        <v>1.881590195559254</v>
      </c>
      <c r="Q118" t="str">
        <v/>
      </c>
      <c r="R118" s="2">
        <v>1.881590195559254</v>
      </c>
      <c r="S118" s="5">
        <v>27.150798999999999</v>
      </c>
    </row>
    <row r="119" spans="1:19" x14ac:dyDescent="0.4">
      <c r="A119">
        <v>20210804</v>
      </c>
      <c r="B119" s="1">
        <v>0.58333333333333337</v>
      </c>
      <c r="C119">
        <v>-74600</v>
      </c>
      <c r="D119">
        <v>-13474</v>
      </c>
      <c r="E119">
        <v>264</v>
      </c>
      <c r="F119">
        <v>320446</v>
      </c>
      <c r="G119">
        <v>90726</v>
      </c>
      <c r="H119">
        <v>9560</v>
      </c>
      <c r="I119">
        <v>88022</v>
      </c>
      <c r="J119">
        <v>51635</v>
      </c>
      <c r="K119">
        <v>240267</v>
      </c>
      <c r="L119">
        <v>-27862</v>
      </c>
      <c r="M119">
        <v>10.84</v>
      </c>
      <c r="N119">
        <v>684984</v>
      </c>
      <c r="O119">
        <v>26282400</v>
      </c>
      <c r="P119" s="2">
        <v>2.6062460049310565</v>
      </c>
      <c r="Q119" t="str">
        <v/>
      </c>
      <c r="R119" s="2">
        <v>2.6062460049310565</v>
      </c>
      <c r="S119" s="5">
        <v>28.490121599999998</v>
      </c>
    </row>
    <row r="120" spans="1:19" x14ac:dyDescent="0.4">
      <c r="A120">
        <v>20210804</v>
      </c>
      <c r="B120" s="1">
        <v>0.60416666666666663</v>
      </c>
      <c r="C120">
        <v>-16637</v>
      </c>
      <c r="D120">
        <v>78022</v>
      </c>
      <c r="E120">
        <v>73514</v>
      </c>
      <c r="F120">
        <v>282155</v>
      </c>
      <c r="G120">
        <v>75363</v>
      </c>
      <c r="H120">
        <v>129043</v>
      </c>
      <c r="I120">
        <v>111746</v>
      </c>
      <c r="J120">
        <v>49093</v>
      </c>
      <c r="K120">
        <v>293844</v>
      </c>
      <c r="L120">
        <v>-24505</v>
      </c>
      <c r="M120">
        <v>12.26</v>
      </c>
      <c r="N120">
        <v>1051638</v>
      </c>
      <c r="O120">
        <v>26452050</v>
      </c>
      <c r="P120" s="2">
        <v>3.9756389391370424</v>
      </c>
      <c r="Q120" t="str">
        <v/>
      </c>
      <c r="R120" s="2">
        <v>3.9756389391370424</v>
      </c>
      <c r="S120" s="5">
        <v>32.430213299999998</v>
      </c>
    </row>
    <row r="121" spans="1:19" x14ac:dyDescent="0.4">
      <c r="A121">
        <v>20210804</v>
      </c>
      <c r="B121" s="1">
        <v>0.625</v>
      </c>
      <c r="C121">
        <v>-108559</v>
      </c>
      <c r="D121">
        <v>-27713</v>
      </c>
      <c r="E121">
        <v>-47008</v>
      </c>
      <c r="F121">
        <v>225138</v>
      </c>
      <c r="G121">
        <v>57715</v>
      </c>
      <c r="H121">
        <v>129891</v>
      </c>
      <c r="I121">
        <v>121668</v>
      </c>
      <c r="J121">
        <v>27201</v>
      </c>
      <c r="K121">
        <v>338376</v>
      </c>
      <c r="L121">
        <v>-25831</v>
      </c>
      <c r="M121">
        <v>14.81</v>
      </c>
      <c r="N121">
        <v>690878</v>
      </c>
      <c r="O121">
        <v>25873400</v>
      </c>
      <c r="P121" s="2">
        <v>2.6702250187451204</v>
      </c>
      <c r="Q121" t="str">
        <v/>
      </c>
      <c r="R121" s="2">
        <v>2.6702250187451204</v>
      </c>
      <c r="S121" s="5">
        <v>38.318505399999999</v>
      </c>
    </row>
    <row r="122" spans="1:19" x14ac:dyDescent="0.4">
      <c r="A122">
        <v>20210804</v>
      </c>
      <c r="B122" s="1">
        <v>0.875</v>
      </c>
      <c r="C122">
        <v>-15722</v>
      </c>
      <c r="D122">
        <v>-83890</v>
      </c>
      <c r="E122">
        <v>304531</v>
      </c>
      <c r="F122">
        <v>-56406</v>
      </c>
      <c r="G122">
        <v>-16208</v>
      </c>
      <c r="H122">
        <v>100707</v>
      </c>
      <c r="I122">
        <v>-113310</v>
      </c>
      <c r="J122">
        <v>1096</v>
      </c>
      <c r="K122">
        <v>53614</v>
      </c>
      <c r="L122">
        <v>-37289</v>
      </c>
      <c r="M122">
        <v>9.9499999999999993</v>
      </c>
      <c r="N122">
        <v>137123</v>
      </c>
      <c r="O122">
        <v>21350850</v>
      </c>
      <c r="P122" s="2">
        <v>0.6422367259383116</v>
      </c>
      <c r="Q122" t="str">
        <v/>
      </c>
      <c r="R122" s="2">
        <v>0.6422367259383116</v>
      </c>
      <c r="S122" s="5">
        <v>21.244095749999996</v>
      </c>
    </row>
    <row r="123" spans="1:19" x14ac:dyDescent="0.4">
      <c r="A123">
        <v>20210804</v>
      </c>
      <c r="B123" s="1">
        <v>0.89583333333333337</v>
      </c>
      <c r="C123">
        <v>-54008</v>
      </c>
      <c r="D123">
        <v>-57371</v>
      </c>
      <c r="E123">
        <v>372471</v>
      </c>
      <c r="F123">
        <v>-46201</v>
      </c>
      <c r="G123">
        <v>-23174</v>
      </c>
      <c r="H123">
        <v>-74417</v>
      </c>
      <c r="I123">
        <v>-88472</v>
      </c>
      <c r="J123">
        <v>-12905</v>
      </c>
      <c r="K123">
        <v>54107</v>
      </c>
      <c r="L123">
        <v>-32397</v>
      </c>
      <c r="M123">
        <v>9.85</v>
      </c>
      <c r="N123">
        <v>37633</v>
      </c>
      <c r="O123">
        <v>21404100</v>
      </c>
      <c r="P123" s="2">
        <v>0.17582145476801173</v>
      </c>
      <c r="Q123" t="str">
        <v/>
      </c>
      <c r="R123" s="2">
        <v>0.17582145476801173</v>
      </c>
      <c r="S123" s="5">
        <v>21.083038500000001</v>
      </c>
    </row>
    <row r="124" spans="1:19" x14ac:dyDescent="0.4">
      <c r="A124">
        <v>20210804</v>
      </c>
      <c r="B124" s="1">
        <v>0.91666666666666663</v>
      </c>
      <c r="C124">
        <v>-28735</v>
      </c>
      <c r="D124">
        <v>-30157</v>
      </c>
      <c r="E124">
        <v>385919</v>
      </c>
      <c r="F124">
        <v>18551</v>
      </c>
      <c r="G124">
        <v>-40887</v>
      </c>
      <c r="H124">
        <v>-21860</v>
      </c>
      <c r="I124">
        <v>29006</v>
      </c>
      <c r="J124">
        <v>-19711</v>
      </c>
      <c r="K124">
        <v>17332</v>
      </c>
      <c r="L124">
        <v>-39334</v>
      </c>
      <c r="M124">
        <v>9.69</v>
      </c>
      <c r="N124">
        <v>270124</v>
      </c>
      <c r="O124">
        <v>20747750</v>
      </c>
      <c r="P124" s="2">
        <v>1.3019435842440747</v>
      </c>
      <c r="Q124" t="str">
        <v/>
      </c>
      <c r="R124" s="2">
        <v>1.3019435842440747</v>
      </c>
      <c r="S124" s="5">
        <v>20.10456975</v>
      </c>
    </row>
    <row r="125" spans="1:19" x14ac:dyDescent="0.4">
      <c r="A125">
        <v>20210804</v>
      </c>
      <c r="B125" s="1">
        <v>0.9375</v>
      </c>
      <c r="C125">
        <v>-48285</v>
      </c>
      <c r="D125">
        <v>-116476</v>
      </c>
      <c r="E125">
        <v>428008</v>
      </c>
      <c r="F125">
        <v>-24521</v>
      </c>
      <c r="G125">
        <v>-60466</v>
      </c>
      <c r="H125">
        <v>114972</v>
      </c>
      <c r="I125">
        <v>-40837</v>
      </c>
      <c r="J125">
        <v>-15920</v>
      </c>
      <c r="K125">
        <v>-65993</v>
      </c>
      <c r="L125">
        <v>-31570</v>
      </c>
      <c r="M125">
        <v>9.6199999999999992</v>
      </c>
      <c r="N125">
        <v>138912</v>
      </c>
      <c r="O125">
        <v>20654350</v>
      </c>
      <c r="P125" s="2">
        <v>0.67255566018780544</v>
      </c>
      <c r="Q125" t="str">
        <v/>
      </c>
      <c r="R125" s="2">
        <v>0.67255566018780544</v>
      </c>
      <c r="S125" s="5">
        <v>19.869484699999997</v>
      </c>
    </row>
    <row r="126" spans="1:19" x14ac:dyDescent="0.4">
      <c r="A126">
        <v>20210805</v>
      </c>
      <c r="B126" s="1">
        <v>2.0833333333333332E-2</v>
      </c>
      <c r="C126">
        <v>10362</v>
      </c>
      <c r="D126">
        <v>-57643</v>
      </c>
      <c r="E126">
        <v>416579</v>
      </c>
      <c r="F126">
        <v>5860</v>
      </c>
      <c r="G126">
        <v>-31874</v>
      </c>
      <c r="H126">
        <v>92960</v>
      </c>
      <c r="I126">
        <v>-73525</v>
      </c>
      <c r="J126">
        <v>-14034</v>
      </c>
      <c r="K126">
        <v>-35403</v>
      </c>
      <c r="L126">
        <v>-37883</v>
      </c>
      <c r="M126">
        <v>8.0299999999999994</v>
      </c>
      <c r="N126">
        <v>275399</v>
      </c>
      <c r="O126">
        <v>19820100</v>
      </c>
      <c r="P126" s="2">
        <v>1.3894934939783352</v>
      </c>
      <c r="Q126" t="str">
        <v/>
      </c>
      <c r="R126" s="2">
        <v>1.3894934939783352</v>
      </c>
      <c r="S126" s="5">
        <v>15.9155403</v>
      </c>
    </row>
    <row r="127" spans="1:19" x14ac:dyDescent="0.4">
      <c r="A127">
        <v>20210805</v>
      </c>
      <c r="B127" s="1">
        <v>4.1666666666666664E-2</v>
      </c>
      <c r="C127">
        <v>-18379</v>
      </c>
      <c r="D127">
        <v>-80327</v>
      </c>
      <c r="E127">
        <v>285445</v>
      </c>
      <c r="F127">
        <v>16013</v>
      </c>
      <c r="G127">
        <v>-36715</v>
      </c>
      <c r="H127">
        <v>138587</v>
      </c>
      <c r="I127">
        <v>-68900</v>
      </c>
      <c r="J127">
        <v>-10808</v>
      </c>
      <c r="K127">
        <v>-82198</v>
      </c>
      <c r="L127">
        <v>-30589</v>
      </c>
      <c r="M127">
        <v>8.1199999999999992</v>
      </c>
      <c r="N127">
        <v>112129</v>
      </c>
      <c r="O127">
        <v>19915200</v>
      </c>
      <c r="P127" s="2">
        <v>0.56303225676869928</v>
      </c>
      <c r="Q127" t="str">
        <v/>
      </c>
      <c r="R127" s="2">
        <v>0.56303225676869928</v>
      </c>
      <c r="S127" s="5">
        <v>16.171142399999997</v>
      </c>
    </row>
    <row r="128" spans="1:19" x14ac:dyDescent="0.4">
      <c r="A128">
        <v>20210805</v>
      </c>
      <c r="B128" s="1">
        <v>6.25E-2</v>
      </c>
      <c r="C128">
        <v>-2726</v>
      </c>
      <c r="D128">
        <v>-118874</v>
      </c>
      <c r="E128">
        <v>354818</v>
      </c>
      <c r="F128">
        <v>56607</v>
      </c>
      <c r="G128">
        <v>-10416</v>
      </c>
      <c r="H128">
        <v>110435</v>
      </c>
      <c r="I128">
        <v>-71756</v>
      </c>
      <c r="J128">
        <v>-13505</v>
      </c>
      <c r="K128">
        <v>-80115</v>
      </c>
      <c r="L128">
        <v>-23559</v>
      </c>
      <c r="M128">
        <v>8.02</v>
      </c>
      <c r="N128">
        <v>200909</v>
      </c>
      <c r="O128">
        <v>19895950</v>
      </c>
      <c r="P128" s="2">
        <v>1.0097984765743782</v>
      </c>
      <c r="Q128" t="str">
        <v/>
      </c>
      <c r="R128" s="2">
        <v>1.0097984765743782</v>
      </c>
      <c r="S128" s="5">
        <v>15.956551899999999</v>
      </c>
    </row>
    <row r="129" spans="1:19" x14ac:dyDescent="0.4">
      <c r="A129">
        <v>20210805</v>
      </c>
      <c r="B129" s="1">
        <v>8.3333333333333329E-2</v>
      </c>
      <c r="C129">
        <v>-27081</v>
      </c>
      <c r="D129">
        <v>-50163</v>
      </c>
      <c r="E129">
        <v>221122</v>
      </c>
      <c r="F129">
        <v>-6696</v>
      </c>
      <c r="G129">
        <v>7262</v>
      </c>
      <c r="H129">
        <v>125235</v>
      </c>
      <c r="I129">
        <v>-43538</v>
      </c>
      <c r="J129">
        <v>-7038</v>
      </c>
      <c r="K129">
        <v>-27542</v>
      </c>
      <c r="L129">
        <v>-16384</v>
      </c>
      <c r="M129">
        <v>8.02</v>
      </c>
      <c r="N129">
        <v>175177</v>
      </c>
      <c r="O129">
        <v>20036550</v>
      </c>
      <c r="P129" s="2">
        <v>0.87428724006877434</v>
      </c>
      <c r="Q129" t="str">
        <v/>
      </c>
      <c r="R129" s="2">
        <v>0.87428724006877434</v>
      </c>
      <c r="S129" s="5">
        <v>16.069313099999999</v>
      </c>
    </row>
    <row r="130" spans="1:19" x14ac:dyDescent="0.4">
      <c r="A130">
        <v>20210805</v>
      </c>
      <c r="B130" s="1">
        <v>0.10416666666666667</v>
      </c>
      <c r="C130">
        <v>54773</v>
      </c>
      <c r="D130">
        <v>-36503</v>
      </c>
      <c r="E130">
        <v>292279</v>
      </c>
      <c r="F130">
        <v>32918</v>
      </c>
      <c r="G130">
        <v>5393</v>
      </c>
      <c r="H130">
        <v>108958</v>
      </c>
      <c r="I130">
        <v>-41329</v>
      </c>
      <c r="J130">
        <v>4095</v>
      </c>
      <c r="K130">
        <v>-5375</v>
      </c>
      <c r="L130">
        <v>-19939</v>
      </c>
      <c r="M130">
        <v>7.93</v>
      </c>
      <c r="N130">
        <v>395270</v>
      </c>
      <c r="O130">
        <v>20068300</v>
      </c>
      <c r="P130" s="2">
        <v>1.9696237349451622</v>
      </c>
      <c r="Q130" t="str">
        <v/>
      </c>
      <c r="R130" s="2">
        <v>1.9696237349451622</v>
      </c>
      <c r="S130" s="5">
        <v>15.9141619</v>
      </c>
    </row>
    <row r="131" spans="1:19" x14ac:dyDescent="0.4">
      <c r="A131">
        <v>20210805</v>
      </c>
      <c r="B131" s="1">
        <v>0.125</v>
      </c>
      <c r="C131">
        <v>2764</v>
      </c>
      <c r="D131">
        <v>-42078</v>
      </c>
      <c r="E131">
        <v>293944</v>
      </c>
      <c r="F131">
        <v>66095</v>
      </c>
      <c r="G131">
        <v>-26378</v>
      </c>
      <c r="H131">
        <v>206374</v>
      </c>
      <c r="I131">
        <v>58920</v>
      </c>
      <c r="J131">
        <v>18584</v>
      </c>
      <c r="K131">
        <v>31900</v>
      </c>
      <c r="L131">
        <v>-12237</v>
      </c>
      <c r="M131">
        <v>7.46</v>
      </c>
      <c r="N131">
        <v>597888</v>
      </c>
      <c r="O131">
        <v>20158700</v>
      </c>
      <c r="P131" s="2">
        <v>2.9659055395437206</v>
      </c>
      <c r="Q131" t="str">
        <v/>
      </c>
      <c r="R131" s="2">
        <v>2.9659055395437206</v>
      </c>
      <c r="S131" s="5">
        <v>15.0383902</v>
      </c>
    </row>
    <row r="132" spans="1:19" x14ac:dyDescent="0.4">
      <c r="A132">
        <v>20210805</v>
      </c>
      <c r="B132" s="1">
        <v>0.14583333333333334</v>
      </c>
      <c r="C132">
        <v>-21113</v>
      </c>
      <c r="D132">
        <v>-31036</v>
      </c>
      <c r="E132">
        <v>363954</v>
      </c>
      <c r="F132">
        <v>109170</v>
      </c>
      <c r="G132">
        <v>-10084</v>
      </c>
      <c r="H132">
        <v>84241</v>
      </c>
      <c r="I132">
        <v>42955</v>
      </c>
      <c r="J132">
        <v>44851</v>
      </c>
      <c r="K132">
        <v>32823</v>
      </c>
      <c r="L132">
        <v>-5885</v>
      </c>
      <c r="M132">
        <v>7.46</v>
      </c>
      <c r="N132">
        <v>609876</v>
      </c>
      <c r="O132">
        <v>20163350</v>
      </c>
      <c r="P132" s="2">
        <v>3.0246759591040178</v>
      </c>
      <c r="Q132" t="str">
        <v/>
      </c>
      <c r="R132" s="2">
        <v>3.0246759591040178</v>
      </c>
      <c r="S132" s="5">
        <v>15.0418591</v>
      </c>
    </row>
    <row r="133" spans="1:19" x14ac:dyDescent="0.4">
      <c r="A133">
        <v>20210805</v>
      </c>
      <c r="B133" s="1">
        <v>0.16666666666666666</v>
      </c>
      <c r="C133">
        <v>-31205</v>
      </c>
      <c r="D133">
        <v>-42166</v>
      </c>
      <c r="E133">
        <v>358721</v>
      </c>
      <c r="F133">
        <v>78723</v>
      </c>
      <c r="G133">
        <v>-153</v>
      </c>
      <c r="H133">
        <v>102992</v>
      </c>
      <c r="I133">
        <v>70058</v>
      </c>
      <c r="J133">
        <v>49255</v>
      </c>
      <c r="K133">
        <v>87635</v>
      </c>
      <c r="L133">
        <v>-2100</v>
      </c>
      <c r="M133">
        <v>7.58</v>
      </c>
      <c r="N133">
        <v>671760</v>
      </c>
      <c r="O133">
        <v>20112400</v>
      </c>
      <c r="P133" s="2">
        <v>3.3400290368131103</v>
      </c>
      <c r="Q133" t="str">
        <v/>
      </c>
      <c r="R133" s="2">
        <v>3.3400290368131103</v>
      </c>
      <c r="S133" s="5">
        <v>15.2451992</v>
      </c>
    </row>
    <row r="134" spans="1:19" x14ac:dyDescent="0.4">
      <c r="A134">
        <v>20210805</v>
      </c>
      <c r="B134" s="1">
        <v>0.1875</v>
      </c>
      <c r="C134">
        <v>13076</v>
      </c>
      <c r="D134">
        <v>-132343</v>
      </c>
      <c r="E134">
        <v>265868</v>
      </c>
      <c r="F134">
        <v>52128</v>
      </c>
      <c r="G134">
        <v>-22526</v>
      </c>
      <c r="H134">
        <v>99491</v>
      </c>
      <c r="I134">
        <v>41635</v>
      </c>
      <c r="J134">
        <v>33340</v>
      </c>
      <c r="K134">
        <v>81071</v>
      </c>
      <c r="L134">
        <v>-4490</v>
      </c>
      <c r="M134">
        <v>7.58</v>
      </c>
      <c r="N134">
        <v>427250</v>
      </c>
      <c r="O134">
        <v>20108550</v>
      </c>
      <c r="P134" s="2">
        <v>2.1247180925526705</v>
      </c>
      <c r="Q134" t="str">
        <v/>
      </c>
      <c r="R134" s="2">
        <v>2.1247180925526705</v>
      </c>
      <c r="S134" s="5">
        <v>15.242280900000001</v>
      </c>
    </row>
    <row r="135" spans="1:19" x14ac:dyDescent="0.4">
      <c r="A135">
        <v>20210805</v>
      </c>
      <c r="B135" s="1">
        <v>0.20833333333333334</v>
      </c>
      <c r="C135">
        <v>26374</v>
      </c>
      <c r="D135">
        <v>-4721</v>
      </c>
      <c r="E135">
        <v>282180</v>
      </c>
      <c r="F135">
        <v>61060</v>
      </c>
      <c r="G135">
        <v>-24836</v>
      </c>
      <c r="H135">
        <v>230391</v>
      </c>
      <c r="I135">
        <v>54032</v>
      </c>
      <c r="J135">
        <v>38319</v>
      </c>
      <c r="K135">
        <v>79801</v>
      </c>
      <c r="L135">
        <v>-8770</v>
      </c>
      <c r="M135">
        <v>8.2899999999999991</v>
      </c>
      <c r="N135">
        <v>733830</v>
      </c>
      <c r="O135">
        <v>20156400</v>
      </c>
      <c r="P135" s="2">
        <v>3.6406798833124965</v>
      </c>
      <c r="Q135" t="str">
        <v/>
      </c>
      <c r="R135" s="2">
        <v>3.6406798833124965</v>
      </c>
      <c r="S135" s="5">
        <v>16.709655599999998</v>
      </c>
    </row>
    <row r="136" spans="1:19" x14ac:dyDescent="0.4">
      <c r="A136">
        <v>20210805</v>
      </c>
      <c r="B136" s="1">
        <v>0.22916666666666666</v>
      </c>
      <c r="C136">
        <v>-7135</v>
      </c>
      <c r="D136">
        <v>-51810</v>
      </c>
      <c r="E136">
        <v>173806</v>
      </c>
      <c r="F136">
        <v>10174</v>
      </c>
      <c r="G136">
        <v>-17683</v>
      </c>
      <c r="H136">
        <v>191175</v>
      </c>
      <c r="I136">
        <v>61927</v>
      </c>
      <c r="J136">
        <v>54825</v>
      </c>
      <c r="K136">
        <v>94419</v>
      </c>
      <c r="L136">
        <v>-7285</v>
      </c>
      <c r="M136">
        <v>7.93</v>
      </c>
      <c r="N136">
        <v>502413</v>
      </c>
      <c r="O136">
        <v>20102600</v>
      </c>
      <c r="P136" s="2">
        <v>2.4992438789012366</v>
      </c>
      <c r="Q136" t="str">
        <v/>
      </c>
      <c r="R136" s="2">
        <v>2.4992438789012366</v>
      </c>
      <c r="S136" s="5">
        <v>15.941361799999999</v>
      </c>
    </row>
    <row r="137" spans="1:19" x14ac:dyDescent="0.4">
      <c r="A137">
        <v>20210805</v>
      </c>
      <c r="B137" s="1">
        <v>0.25</v>
      </c>
      <c r="C137">
        <v>49744</v>
      </c>
      <c r="D137">
        <v>189536</v>
      </c>
      <c r="E137">
        <v>181736</v>
      </c>
      <c r="F137">
        <v>-31822</v>
      </c>
      <c r="G137">
        <v>-21209</v>
      </c>
      <c r="H137">
        <v>-333</v>
      </c>
      <c r="I137">
        <v>15077</v>
      </c>
      <c r="J137">
        <v>76762</v>
      </c>
      <c r="K137">
        <v>40518</v>
      </c>
      <c r="L137">
        <v>-4404</v>
      </c>
      <c r="M137">
        <v>7.9</v>
      </c>
      <c r="N137">
        <v>495605</v>
      </c>
      <c r="O137">
        <v>20856250</v>
      </c>
      <c r="P137" s="2">
        <v>2.3762900809109979</v>
      </c>
      <c r="Q137" t="str">
        <v/>
      </c>
      <c r="R137" s="2">
        <v>2.3762900809109979</v>
      </c>
      <c r="S137" s="5">
        <v>16.476437499999999</v>
      </c>
    </row>
    <row r="138" spans="1:19" x14ac:dyDescent="0.4">
      <c r="A138">
        <v>20210805</v>
      </c>
      <c r="B138" s="1">
        <v>0.27083333333333331</v>
      </c>
      <c r="C138">
        <v>40226</v>
      </c>
      <c r="D138">
        <v>213537</v>
      </c>
      <c r="E138">
        <v>198860</v>
      </c>
      <c r="F138">
        <v>112189</v>
      </c>
      <c r="G138">
        <v>-12970</v>
      </c>
      <c r="H138">
        <v>-116556</v>
      </c>
      <c r="I138">
        <v>-82268</v>
      </c>
      <c r="J138">
        <v>52242</v>
      </c>
      <c r="K138">
        <v>-57700</v>
      </c>
      <c r="L138">
        <v>-9970</v>
      </c>
      <c r="M138">
        <v>7.45</v>
      </c>
      <c r="N138">
        <v>337590</v>
      </c>
      <c r="O138">
        <v>21547550</v>
      </c>
      <c r="P138" s="2">
        <v>1.5667210425315174</v>
      </c>
      <c r="Q138" t="str">
        <v/>
      </c>
      <c r="R138" s="2">
        <v>1.5667210425315174</v>
      </c>
      <c r="S138" s="5">
        <v>16.052924749999999</v>
      </c>
    </row>
    <row r="139" spans="1:19" x14ac:dyDescent="0.4">
      <c r="A139">
        <v>20210805</v>
      </c>
      <c r="B139" s="1">
        <v>0.29166666666666669</v>
      </c>
      <c r="C139">
        <v>147047</v>
      </c>
      <c r="D139">
        <v>382301</v>
      </c>
      <c r="E139">
        <v>383835</v>
      </c>
      <c r="F139">
        <v>73074</v>
      </c>
      <c r="G139">
        <v>-2904</v>
      </c>
      <c r="H139">
        <v>-134177</v>
      </c>
      <c r="I139">
        <v>-50851</v>
      </c>
      <c r="J139">
        <v>27123</v>
      </c>
      <c r="K139">
        <v>-34896</v>
      </c>
      <c r="L139">
        <v>-9083</v>
      </c>
      <c r="M139">
        <v>7.46</v>
      </c>
      <c r="N139">
        <v>781469</v>
      </c>
      <c r="O139">
        <v>22623350</v>
      </c>
      <c r="P139" s="2">
        <v>3.4542585426119472</v>
      </c>
      <c r="Q139" t="str">
        <v/>
      </c>
      <c r="R139" s="2">
        <v>3.4542585426119472</v>
      </c>
      <c r="S139" s="5">
        <v>16.877019099999998</v>
      </c>
    </row>
    <row r="140" spans="1:19" x14ac:dyDescent="0.4">
      <c r="A140">
        <v>20210805</v>
      </c>
      <c r="B140" s="1">
        <v>0.3125</v>
      </c>
      <c r="C140">
        <v>148296</v>
      </c>
      <c r="D140">
        <v>504787</v>
      </c>
      <c r="E140">
        <v>704627</v>
      </c>
      <c r="F140">
        <v>21858</v>
      </c>
      <c r="G140">
        <v>-27720</v>
      </c>
      <c r="H140">
        <v>-61330</v>
      </c>
      <c r="I140">
        <v>16239</v>
      </c>
      <c r="J140">
        <v>28370</v>
      </c>
      <c r="K140">
        <v>56226</v>
      </c>
      <c r="L140">
        <v>-23762</v>
      </c>
      <c r="M140">
        <v>8.86</v>
      </c>
      <c r="N140">
        <v>1367591</v>
      </c>
      <c r="O140">
        <v>22919500</v>
      </c>
      <c r="P140" s="2">
        <v>5.9669320883963435</v>
      </c>
      <c r="Q140" t="str">
        <v/>
      </c>
      <c r="R140" s="2">
        <v>5.9669320883963435</v>
      </c>
      <c r="S140" s="5">
        <v>20.306677000000001</v>
      </c>
    </row>
    <row r="141" spans="1:19" x14ac:dyDescent="0.4">
      <c r="A141">
        <v>20210805</v>
      </c>
      <c r="B141" s="1">
        <v>0.33333333333333331</v>
      </c>
      <c r="C141">
        <v>146262</v>
      </c>
      <c r="D141">
        <v>606611</v>
      </c>
      <c r="E141">
        <v>671348</v>
      </c>
      <c r="F141">
        <v>125694</v>
      </c>
      <c r="G141">
        <v>-4470</v>
      </c>
      <c r="H141">
        <v>-166612</v>
      </c>
      <c r="I141">
        <v>64153</v>
      </c>
      <c r="J141">
        <v>35135</v>
      </c>
      <c r="K141">
        <v>38333</v>
      </c>
      <c r="L141">
        <v>-9685</v>
      </c>
      <c r="M141">
        <v>8.86</v>
      </c>
      <c r="N141">
        <v>1506769</v>
      </c>
      <c r="O141">
        <v>24598550</v>
      </c>
      <c r="P141" s="2">
        <v>6.1254382880291729</v>
      </c>
      <c r="Q141" t="str">
        <v/>
      </c>
      <c r="R141" s="2">
        <v>6.1254382880291729</v>
      </c>
      <c r="S141" s="5">
        <v>21.794315300000001</v>
      </c>
    </row>
    <row r="142" spans="1:19" x14ac:dyDescent="0.4">
      <c r="A142">
        <v>20210805</v>
      </c>
      <c r="B142" s="1">
        <v>0.35416666666666669</v>
      </c>
      <c r="C142">
        <v>236260</v>
      </c>
      <c r="D142">
        <v>485221</v>
      </c>
      <c r="E142">
        <v>357280</v>
      </c>
      <c r="F142">
        <v>-72546</v>
      </c>
      <c r="G142">
        <v>30081</v>
      </c>
      <c r="H142">
        <v>-69992</v>
      </c>
      <c r="I142">
        <v>-29900</v>
      </c>
      <c r="J142">
        <v>42174</v>
      </c>
      <c r="K142">
        <v>115699</v>
      </c>
      <c r="L142">
        <v>-27006</v>
      </c>
      <c r="M142">
        <v>8.86</v>
      </c>
      <c r="N142">
        <v>1067271</v>
      </c>
      <c r="O142">
        <v>25540150</v>
      </c>
      <c r="P142" s="2">
        <v>4.1787969138787364</v>
      </c>
      <c r="Q142" t="str">
        <v/>
      </c>
      <c r="R142" s="2">
        <v>4.1787969138787364</v>
      </c>
      <c r="S142" s="5">
        <v>22.628572900000002</v>
      </c>
    </row>
    <row r="143" spans="1:19" x14ac:dyDescent="0.4">
      <c r="A143">
        <v>20210805</v>
      </c>
      <c r="B143" s="1">
        <v>0.375</v>
      </c>
      <c r="C143">
        <v>143322</v>
      </c>
      <c r="D143">
        <v>537208</v>
      </c>
      <c r="E143">
        <v>422027</v>
      </c>
      <c r="F143">
        <v>48741</v>
      </c>
      <c r="G143">
        <v>37367</v>
      </c>
      <c r="H143">
        <v>-121397</v>
      </c>
      <c r="I143">
        <v>69938</v>
      </c>
      <c r="J143">
        <v>50954</v>
      </c>
      <c r="K143">
        <v>-52946</v>
      </c>
      <c r="L143">
        <v>-26159</v>
      </c>
      <c r="M143">
        <v>9.6199999999999992</v>
      </c>
      <c r="N143">
        <v>1109055</v>
      </c>
      <c r="O143">
        <v>26185900</v>
      </c>
      <c r="P143" s="2">
        <v>4.2353136611687967</v>
      </c>
      <c r="Q143" t="str">
        <v/>
      </c>
      <c r="R143" s="2">
        <v>4.2353136611687967</v>
      </c>
      <c r="S143" s="5">
        <v>25.190835799999999</v>
      </c>
    </row>
    <row r="144" spans="1:19" x14ac:dyDescent="0.4">
      <c r="A144">
        <v>20210805</v>
      </c>
      <c r="B144" s="1">
        <v>0.39583333333333331</v>
      </c>
      <c r="C144">
        <v>175897</v>
      </c>
      <c r="D144">
        <v>498347</v>
      </c>
      <c r="E144">
        <v>243173</v>
      </c>
      <c r="F144">
        <v>-102562</v>
      </c>
      <c r="G144">
        <v>50777</v>
      </c>
      <c r="H144">
        <v>-31808</v>
      </c>
      <c r="I144">
        <v>79898</v>
      </c>
      <c r="J144">
        <v>47211</v>
      </c>
      <c r="K144">
        <v>-23682</v>
      </c>
      <c r="L144">
        <v>-36837</v>
      </c>
      <c r="M144">
        <v>9.69</v>
      </c>
      <c r="N144">
        <v>900414</v>
      </c>
      <c r="O144">
        <v>26628950</v>
      </c>
      <c r="P144" s="2">
        <v>3.3813349756561939</v>
      </c>
      <c r="Q144" t="str">
        <v/>
      </c>
      <c r="R144" s="2">
        <v>3.3813349756561939</v>
      </c>
      <c r="S144" s="5">
        <v>25.803452549999999</v>
      </c>
    </row>
    <row r="145" spans="1:19" x14ac:dyDescent="0.4">
      <c r="A145">
        <v>20210805</v>
      </c>
      <c r="B145" s="1">
        <v>0.41666666666666669</v>
      </c>
      <c r="C145">
        <v>119162</v>
      </c>
      <c r="D145">
        <v>475496</v>
      </c>
      <c r="E145">
        <v>391285</v>
      </c>
      <c r="F145">
        <v>-75812</v>
      </c>
      <c r="G145">
        <v>26290</v>
      </c>
      <c r="H145">
        <v>8270</v>
      </c>
      <c r="I145">
        <v>132447</v>
      </c>
      <c r="J145">
        <v>31862</v>
      </c>
      <c r="K145">
        <v>-92596</v>
      </c>
      <c r="L145">
        <v>-37634</v>
      </c>
      <c r="M145">
        <v>9.81</v>
      </c>
      <c r="N145">
        <v>978770</v>
      </c>
      <c r="O145">
        <v>26970800</v>
      </c>
      <c r="P145" s="2">
        <v>3.628998769039109</v>
      </c>
      <c r="Q145" t="str">
        <v/>
      </c>
      <c r="R145" s="2">
        <v>3.628998769039109</v>
      </c>
      <c r="S145" s="5">
        <v>26.458354799999999</v>
      </c>
    </row>
    <row r="146" spans="1:19" x14ac:dyDescent="0.4">
      <c r="A146">
        <v>20210805</v>
      </c>
      <c r="B146" s="1">
        <v>0.4375</v>
      </c>
      <c r="C146">
        <v>93091</v>
      </c>
      <c r="D146">
        <v>437886</v>
      </c>
      <c r="E146">
        <v>289384</v>
      </c>
      <c r="F146">
        <v>-63657</v>
      </c>
      <c r="G146">
        <v>35923</v>
      </c>
      <c r="H146">
        <v>-16875</v>
      </c>
      <c r="I146">
        <v>48914</v>
      </c>
      <c r="J146">
        <v>9749</v>
      </c>
      <c r="K146">
        <v>-83208</v>
      </c>
      <c r="L146">
        <v>-31233</v>
      </c>
      <c r="M146">
        <v>9.8800000000000008</v>
      </c>
      <c r="N146">
        <v>719974</v>
      </c>
      <c r="O146">
        <v>27281900</v>
      </c>
      <c r="P146" s="2">
        <v>2.6390170772563493</v>
      </c>
      <c r="Q146" t="str">
        <v/>
      </c>
      <c r="R146" s="2">
        <v>2.6390170772563493</v>
      </c>
      <c r="S146" s="5">
        <v>26.954517200000002</v>
      </c>
    </row>
    <row r="147" spans="1:19" x14ac:dyDescent="0.4">
      <c r="A147">
        <v>20210805</v>
      </c>
      <c r="B147" s="1">
        <v>0.45833333333333331</v>
      </c>
      <c r="C147">
        <v>87945</v>
      </c>
      <c r="D147">
        <v>343253</v>
      </c>
      <c r="E147">
        <v>196615</v>
      </c>
      <c r="F147">
        <v>-124079</v>
      </c>
      <c r="G147">
        <v>28740</v>
      </c>
      <c r="H147">
        <v>-149865</v>
      </c>
      <c r="I147">
        <v>35012</v>
      </c>
      <c r="J147">
        <v>-13074</v>
      </c>
      <c r="K147">
        <v>-62041</v>
      </c>
      <c r="L147">
        <v>-20449</v>
      </c>
      <c r="M147">
        <v>9.9600000000000009</v>
      </c>
      <c r="N147">
        <v>322057</v>
      </c>
      <c r="O147">
        <v>27664100</v>
      </c>
      <c r="P147" s="2">
        <v>1.1641694470450874</v>
      </c>
      <c r="Q147" t="str">
        <v/>
      </c>
      <c r="R147" s="2">
        <v>1.1641694470450874</v>
      </c>
      <c r="S147" s="5">
        <v>27.553443600000001</v>
      </c>
    </row>
    <row r="148" spans="1:19" x14ac:dyDescent="0.4">
      <c r="A148">
        <v>20210805</v>
      </c>
      <c r="B148" s="1">
        <v>0.47916666666666669</v>
      </c>
      <c r="C148">
        <v>25358</v>
      </c>
      <c r="D148">
        <v>273582</v>
      </c>
      <c r="E148">
        <v>293023</v>
      </c>
      <c r="F148">
        <v>-172408</v>
      </c>
      <c r="G148">
        <v>37777</v>
      </c>
      <c r="H148">
        <v>-170000</v>
      </c>
      <c r="I148">
        <v>43005</v>
      </c>
      <c r="J148">
        <v>-13240</v>
      </c>
      <c r="K148">
        <v>25299</v>
      </c>
      <c r="L148">
        <v>-13309</v>
      </c>
      <c r="M148">
        <v>10.27</v>
      </c>
      <c r="N148">
        <v>329087</v>
      </c>
      <c r="O148">
        <v>27701450</v>
      </c>
      <c r="P148" s="2">
        <v>1.187977524642212</v>
      </c>
      <c r="Q148" t="str">
        <v/>
      </c>
      <c r="R148" s="2">
        <v>1.187977524642212</v>
      </c>
      <c r="S148" s="5">
        <v>28.449389149999998</v>
      </c>
    </row>
    <row r="149" spans="1:19" x14ac:dyDescent="0.4">
      <c r="A149">
        <v>20210805</v>
      </c>
      <c r="B149" s="1">
        <v>0.5</v>
      </c>
      <c r="C149">
        <v>19258</v>
      </c>
      <c r="D149">
        <v>165381</v>
      </c>
      <c r="E149">
        <v>387752</v>
      </c>
      <c r="F149">
        <v>-152033</v>
      </c>
      <c r="G149">
        <v>21510</v>
      </c>
      <c r="H149">
        <v>-306844</v>
      </c>
      <c r="I149">
        <v>-44315</v>
      </c>
      <c r="J149">
        <v>-2157</v>
      </c>
      <c r="K149">
        <v>6573</v>
      </c>
      <c r="L149">
        <v>-1419</v>
      </c>
      <c r="M149">
        <v>9.6999999999999993</v>
      </c>
      <c r="N149">
        <v>93706</v>
      </c>
      <c r="O149">
        <v>27633900</v>
      </c>
      <c r="P149" s="2">
        <v>0.33909799195915163</v>
      </c>
      <c r="Q149" t="str">
        <v/>
      </c>
      <c r="R149" s="2">
        <v>0.33909799195915163</v>
      </c>
      <c r="S149" s="5">
        <v>26.804882999999997</v>
      </c>
    </row>
    <row r="150" spans="1:19" x14ac:dyDescent="0.4">
      <c r="A150">
        <v>20210805</v>
      </c>
      <c r="B150" s="1">
        <v>0.54166666666666663</v>
      </c>
      <c r="C150">
        <v>3384</v>
      </c>
      <c r="D150">
        <v>135078</v>
      </c>
      <c r="E150">
        <v>178435</v>
      </c>
      <c r="F150">
        <v>-1459</v>
      </c>
      <c r="G150">
        <v>62109</v>
      </c>
      <c r="H150">
        <v>-219602</v>
      </c>
      <c r="I150">
        <v>-79672</v>
      </c>
      <c r="J150">
        <v>2033</v>
      </c>
      <c r="K150">
        <v>121056</v>
      </c>
      <c r="L150">
        <v>31719</v>
      </c>
      <c r="M150">
        <v>10.27</v>
      </c>
      <c r="N150">
        <v>233081</v>
      </c>
      <c r="O150">
        <v>27278100</v>
      </c>
      <c r="P150" s="2">
        <v>0.85446200431848263</v>
      </c>
      <c r="Q150" t="str">
        <v/>
      </c>
      <c r="R150" s="2">
        <v>0.85446200431848263</v>
      </c>
      <c r="S150" s="5">
        <v>28.0146087</v>
      </c>
    </row>
    <row r="151" spans="1:19" x14ac:dyDescent="0.4">
      <c r="A151">
        <v>20210805</v>
      </c>
      <c r="B151" s="1">
        <v>0.5625</v>
      </c>
      <c r="C151">
        <v>29872</v>
      </c>
      <c r="D151">
        <v>93891</v>
      </c>
      <c r="E151">
        <v>285119</v>
      </c>
      <c r="F151">
        <v>5734</v>
      </c>
      <c r="G151">
        <v>41899</v>
      </c>
      <c r="H151">
        <v>21973</v>
      </c>
      <c r="I151">
        <v>-6294</v>
      </c>
      <c r="J151">
        <v>16085</v>
      </c>
      <c r="K151">
        <v>104322</v>
      </c>
      <c r="L151">
        <v>32880</v>
      </c>
      <c r="M151">
        <v>10.4</v>
      </c>
      <c r="N151">
        <v>625481</v>
      </c>
      <c r="O151">
        <v>27486200</v>
      </c>
      <c r="P151" s="2">
        <v>2.2756183102793401</v>
      </c>
      <c r="Q151" t="str">
        <v/>
      </c>
      <c r="R151" s="2">
        <v>2.2756183102793401</v>
      </c>
      <c r="S151" s="5">
        <v>28.585647999999999</v>
      </c>
    </row>
    <row r="152" spans="1:19" x14ac:dyDescent="0.4">
      <c r="A152">
        <v>20210805</v>
      </c>
      <c r="B152" s="1">
        <v>0.58333333333333337</v>
      </c>
      <c r="C152">
        <v>12029</v>
      </c>
      <c r="D152">
        <v>-4447</v>
      </c>
      <c r="E152">
        <v>403727</v>
      </c>
      <c r="F152">
        <v>-71354</v>
      </c>
      <c r="G152">
        <v>54392</v>
      </c>
      <c r="H152">
        <v>-48917</v>
      </c>
      <c r="I152">
        <v>-4936</v>
      </c>
      <c r="J152">
        <v>20022</v>
      </c>
      <c r="K152">
        <v>153501</v>
      </c>
      <c r="L152">
        <v>33567</v>
      </c>
      <c r="M152">
        <v>10.81</v>
      </c>
      <c r="N152">
        <v>547584</v>
      </c>
      <c r="O152">
        <v>27481350</v>
      </c>
      <c r="P152" s="2">
        <v>1.9925658673973441</v>
      </c>
      <c r="Q152" t="str">
        <v/>
      </c>
      <c r="R152" s="2">
        <v>1.9925658673973441</v>
      </c>
      <c r="S152" s="5">
        <v>29.707339350000002</v>
      </c>
    </row>
    <row r="153" spans="1:19" x14ac:dyDescent="0.4">
      <c r="A153">
        <v>20210805</v>
      </c>
      <c r="B153" s="1">
        <v>0.60416666666666663</v>
      </c>
      <c r="C153">
        <v>48761</v>
      </c>
      <c r="D153">
        <v>56306</v>
      </c>
      <c r="E153">
        <v>308553</v>
      </c>
      <c r="F153">
        <v>-136226</v>
      </c>
      <c r="G153">
        <v>53525</v>
      </c>
      <c r="H153">
        <v>17320</v>
      </c>
      <c r="I153">
        <v>53959</v>
      </c>
      <c r="J153">
        <v>8379</v>
      </c>
      <c r="K153">
        <v>236816</v>
      </c>
      <c r="L153">
        <v>36828</v>
      </c>
      <c r="M153">
        <v>12.08</v>
      </c>
      <c r="N153">
        <v>684221</v>
      </c>
      <c r="O153">
        <v>26944350</v>
      </c>
      <c r="P153" s="2">
        <v>2.5393858081564411</v>
      </c>
      <c r="Q153" t="str">
        <v/>
      </c>
      <c r="R153" s="2">
        <v>2.5393858081564411</v>
      </c>
      <c r="S153" s="5">
        <v>32.548774799999997</v>
      </c>
    </row>
    <row r="154" spans="1:19" x14ac:dyDescent="0.4">
      <c r="A154">
        <v>20210805</v>
      </c>
      <c r="B154" s="1">
        <v>0.625</v>
      </c>
      <c r="C154">
        <v>-50290</v>
      </c>
      <c r="D154">
        <v>-89920</v>
      </c>
      <c r="E154">
        <v>193055</v>
      </c>
      <c r="F154">
        <v>407945</v>
      </c>
      <c r="G154">
        <v>77977</v>
      </c>
      <c r="H154">
        <v>92491</v>
      </c>
      <c r="I154">
        <v>62713</v>
      </c>
      <c r="J154">
        <v>-736</v>
      </c>
      <c r="K154">
        <v>222233</v>
      </c>
      <c r="L154">
        <v>42219</v>
      </c>
      <c r="M154">
        <v>14.16</v>
      </c>
      <c r="N154">
        <v>957687</v>
      </c>
      <c r="O154">
        <v>26498200</v>
      </c>
      <c r="P154" s="2">
        <v>3.6141586975719107</v>
      </c>
      <c r="Q154" t="str">
        <v/>
      </c>
      <c r="R154" s="2">
        <v>3.6141586975719107</v>
      </c>
      <c r="S154" s="5">
        <v>37.521451200000001</v>
      </c>
    </row>
    <row r="155" spans="1:19" x14ac:dyDescent="0.4">
      <c r="A155">
        <v>20210805</v>
      </c>
      <c r="B155" s="1">
        <v>0.64583333333333337</v>
      </c>
      <c r="C155">
        <v>5217</v>
      </c>
      <c r="D155">
        <v>-152940</v>
      </c>
      <c r="E155">
        <v>-216319</v>
      </c>
      <c r="F155">
        <v>68251</v>
      </c>
      <c r="G155">
        <v>47112</v>
      </c>
      <c r="H155">
        <v>50568</v>
      </c>
      <c r="I155">
        <v>71320</v>
      </c>
      <c r="J155">
        <v>-37358</v>
      </c>
      <c r="K155">
        <v>170857</v>
      </c>
      <c r="L155">
        <v>34762</v>
      </c>
      <c r="M155">
        <v>17</v>
      </c>
      <c r="N155">
        <v>41470</v>
      </c>
      <c r="O155">
        <v>25795300</v>
      </c>
      <c r="P155" s="2">
        <v>0.16076572088713836</v>
      </c>
      <c r="Q155" t="str">
        <v/>
      </c>
      <c r="R155" s="2">
        <v>0.16076572088713836</v>
      </c>
      <c r="S155" s="5">
        <v>43.85201</v>
      </c>
    </row>
    <row r="156" spans="1:19" x14ac:dyDescent="0.4">
      <c r="A156">
        <v>20210805</v>
      </c>
      <c r="B156" s="1">
        <v>0.66666666666666663</v>
      </c>
      <c r="C156">
        <v>1010</v>
      </c>
      <c r="D156">
        <v>86849</v>
      </c>
      <c r="E156">
        <v>-422877</v>
      </c>
      <c r="F156">
        <v>90665</v>
      </c>
      <c r="G156">
        <v>23570</v>
      </c>
      <c r="H156">
        <v>-34051</v>
      </c>
      <c r="I156">
        <v>711142</v>
      </c>
      <c r="J156">
        <v>-67985</v>
      </c>
      <c r="K156">
        <v>31645</v>
      </c>
      <c r="L156">
        <v>33981</v>
      </c>
      <c r="M156">
        <v>19.010000000000002</v>
      </c>
      <c r="N156">
        <v>453949</v>
      </c>
      <c r="O156">
        <v>25960050</v>
      </c>
      <c r="P156" s="2">
        <v>1.7486445519172729</v>
      </c>
      <c r="Q156" t="str">
        <v/>
      </c>
      <c r="R156" s="2">
        <v>1.7486445519172729</v>
      </c>
      <c r="S156" s="5">
        <v>49.350055050000009</v>
      </c>
    </row>
    <row r="157" spans="1:19" x14ac:dyDescent="0.4">
      <c r="A157">
        <v>20210805</v>
      </c>
      <c r="B157" s="1">
        <v>0.875</v>
      </c>
      <c r="C157">
        <v>-68429</v>
      </c>
      <c r="D157">
        <v>3557</v>
      </c>
      <c r="E157">
        <v>-20233</v>
      </c>
      <c r="F157">
        <v>115213</v>
      </c>
      <c r="G157">
        <v>33882</v>
      </c>
      <c r="H157">
        <v>134757</v>
      </c>
      <c r="I157">
        <v>-106287</v>
      </c>
      <c r="J157">
        <v>-31872</v>
      </c>
      <c r="K157">
        <v>92640</v>
      </c>
      <c r="L157">
        <v>24849</v>
      </c>
      <c r="M157">
        <v>11.79</v>
      </c>
      <c r="N157">
        <v>178077</v>
      </c>
      <c r="O157">
        <v>21657950</v>
      </c>
      <c r="P157" s="2">
        <v>0.82222463344868746</v>
      </c>
      <c r="Q157" t="str">
        <v/>
      </c>
      <c r="R157" s="2">
        <v>0.82222463344868746</v>
      </c>
      <c r="S157" s="5">
        <v>25.534723049999997</v>
      </c>
    </row>
    <row r="158" spans="1:19" x14ac:dyDescent="0.4">
      <c r="A158">
        <v>20210805</v>
      </c>
      <c r="B158" s="1">
        <v>0.89583333333333337</v>
      </c>
      <c r="C158">
        <v>-93246</v>
      </c>
      <c r="D158">
        <v>-15453</v>
      </c>
      <c r="E158">
        <v>78146</v>
      </c>
      <c r="F158">
        <v>108740</v>
      </c>
      <c r="G158">
        <v>18517</v>
      </c>
      <c r="H158">
        <v>31857</v>
      </c>
      <c r="I158">
        <v>-74455</v>
      </c>
      <c r="J158">
        <v>-40816</v>
      </c>
      <c r="K158">
        <v>71978</v>
      </c>
      <c r="L158">
        <v>32704</v>
      </c>
      <c r="M158">
        <v>10.27</v>
      </c>
      <c r="N158">
        <v>117972</v>
      </c>
      <c r="O158">
        <v>21319850</v>
      </c>
      <c r="P158" s="2">
        <v>0.55334348037157854</v>
      </c>
      <c r="Q158" t="str">
        <v/>
      </c>
      <c r="R158" s="2">
        <v>0.55334348037157854</v>
      </c>
      <c r="S158" s="5">
        <v>21.895485950000001</v>
      </c>
    </row>
    <row r="159" spans="1:19" x14ac:dyDescent="0.4">
      <c r="A159">
        <v>20210805</v>
      </c>
      <c r="B159" s="1">
        <v>0.91666666666666663</v>
      </c>
      <c r="C159">
        <v>-33358</v>
      </c>
      <c r="D159">
        <v>-7469</v>
      </c>
      <c r="E159">
        <v>-20133</v>
      </c>
      <c r="F159">
        <v>106536</v>
      </c>
      <c r="G159">
        <v>18389</v>
      </c>
      <c r="H159">
        <v>60336</v>
      </c>
      <c r="I159">
        <v>-17588</v>
      </c>
      <c r="J159">
        <v>-29503</v>
      </c>
      <c r="K159">
        <v>164855</v>
      </c>
      <c r="L159">
        <v>24477</v>
      </c>
      <c r="M159">
        <v>9.84</v>
      </c>
      <c r="N159">
        <v>266542</v>
      </c>
      <c r="O159">
        <v>20460600</v>
      </c>
      <c r="P159" s="2">
        <v>1.3027086204705629</v>
      </c>
      <c r="Q159" t="str">
        <v/>
      </c>
      <c r="R159" s="2">
        <v>1.3027086204705629</v>
      </c>
      <c r="S159" s="5">
        <v>20.133230399999999</v>
      </c>
    </row>
    <row r="160" spans="1:19" x14ac:dyDescent="0.4">
      <c r="A160">
        <v>20210805</v>
      </c>
      <c r="B160" s="1">
        <v>0.9375</v>
      </c>
      <c r="C160">
        <v>-130805</v>
      </c>
      <c r="D160">
        <v>-55939</v>
      </c>
      <c r="E160">
        <v>110085</v>
      </c>
      <c r="F160">
        <v>70018</v>
      </c>
      <c r="G160">
        <v>7765</v>
      </c>
      <c r="H160">
        <v>97906</v>
      </c>
      <c r="I160">
        <v>-111712</v>
      </c>
      <c r="J160">
        <v>-45006</v>
      </c>
      <c r="K160">
        <v>67579</v>
      </c>
      <c r="L160">
        <v>32884</v>
      </c>
      <c r="M160">
        <v>9.61</v>
      </c>
      <c r="N160">
        <v>42775</v>
      </c>
      <c r="O160">
        <v>20313700</v>
      </c>
      <c r="P160" s="2">
        <v>0.21057217542840545</v>
      </c>
      <c r="Q160" t="str">
        <v/>
      </c>
      <c r="R160" s="2">
        <v>0.21057217542840545</v>
      </c>
      <c r="S160" s="5">
        <v>19.5214657</v>
      </c>
    </row>
    <row r="161" spans="1:19" x14ac:dyDescent="0.4">
      <c r="A161">
        <v>20210805</v>
      </c>
      <c r="B161" s="1">
        <v>0.97916666666666663</v>
      </c>
      <c r="C161">
        <v>-44220</v>
      </c>
      <c r="D161">
        <v>-68815</v>
      </c>
      <c r="E161">
        <v>74393</v>
      </c>
      <c r="F161">
        <v>93769</v>
      </c>
      <c r="G161">
        <v>-17768</v>
      </c>
      <c r="H161">
        <v>230361</v>
      </c>
      <c r="I161">
        <v>-110997</v>
      </c>
      <c r="J161">
        <v>-30774</v>
      </c>
      <c r="K161">
        <v>44060</v>
      </c>
      <c r="L161">
        <v>21228</v>
      </c>
      <c r="M161">
        <v>8.86</v>
      </c>
      <c r="N161">
        <v>191237</v>
      </c>
      <c r="O161">
        <v>19475000</v>
      </c>
      <c r="P161" s="2">
        <v>0.98196148908857506</v>
      </c>
      <c r="Q161" t="str">
        <v/>
      </c>
      <c r="R161" s="2">
        <v>0.98196148908857506</v>
      </c>
      <c r="S161" s="5">
        <v>17.254850000000001</v>
      </c>
    </row>
    <row r="162" spans="1:19" x14ac:dyDescent="0.4">
      <c r="A162">
        <v>20210806</v>
      </c>
      <c r="B162" s="1">
        <v>2.0833333333333332E-2</v>
      </c>
      <c r="C162">
        <v>-39035</v>
      </c>
      <c r="D162">
        <v>-14252</v>
      </c>
      <c r="E162">
        <v>172579</v>
      </c>
      <c r="F162">
        <v>27709</v>
      </c>
      <c r="G162">
        <v>20480</v>
      </c>
      <c r="H162">
        <v>28652</v>
      </c>
      <c r="I162">
        <v>-23012</v>
      </c>
      <c r="J162">
        <v>34801</v>
      </c>
      <c r="K162">
        <v>-49165</v>
      </c>
      <c r="L162">
        <v>15164</v>
      </c>
      <c r="M162">
        <v>7.94</v>
      </c>
      <c r="N162">
        <v>173921</v>
      </c>
      <c r="O162">
        <v>20047700</v>
      </c>
      <c r="P162" s="2">
        <v>0.86753592681454728</v>
      </c>
      <c r="Q162" t="str">
        <v/>
      </c>
      <c r="R162" s="2">
        <v>0.86753592681454728</v>
      </c>
      <c r="S162" s="5">
        <v>15.917873800000001</v>
      </c>
    </row>
    <row r="163" spans="1:19" x14ac:dyDescent="0.4">
      <c r="A163">
        <v>20210806</v>
      </c>
      <c r="B163" s="1">
        <v>8.3333333333333329E-2</v>
      </c>
      <c r="C163">
        <v>-64552</v>
      </c>
      <c r="D163">
        <v>-123893</v>
      </c>
      <c r="E163">
        <v>206973</v>
      </c>
      <c r="F163">
        <v>88338</v>
      </c>
      <c r="G163">
        <v>-3175</v>
      </c>
      <c r="H163">
        <v>-4636</v>
      </c>
      <c r="I163">
        <v>-3256</v>
      </c>
      <c r="J163">
        <v>31024</v>
      </c>
      <c r="K163">
        <v>-3336</v>
      </c>
      <c r="L163">
        <v>22012</v>
      </c>
      <c r="M163">
        <v>7.79</v>
      </c>
      <c r="N163">
        <v>145499</v>
      </c>
      <c r="O163">
        <v>20156150</v>
      </c>
      <c r="P163" s="2">
        <v>0.72185908519236064</v>
      </c>
      <c r="Q163" t="str">
        <v/>
      </c>
      <c r="R163" s="2">
        <v>0.72185908519236064</v>
      </c>
      <c r="S163" s="5">
        <v>15.70164085</v>
      </c>
    </row>
    <row r="164" spans="1:19" x14ac:dyDescent="0.4">
      <c r="A164">
        <v>20210806</v>
      </c>
      <c r="B164" s="1">
        <v>0.10416666666666667</v>
      </c>
      <c r="C164">
        <v>-28173</v>
      </c>
      <c r="D164">
        <v>-98571</v>
      </c>
      <c r="E164">
        <v>349601</v>
      </c>
      <c r="F164">
        <v>100312</v>
      </c>
      <c r="G164">
        <v>3644</v>
      </c>
      <c r="H164">
        <v>-159711</v>
      </c>
      <c r="I164">
        <v>29778</v>
      </c>
      <c r="J164">
        <v>35028</v>
      </c>
      <c r="K164">
        <v>104145</v>
      </c>
      <c r="L164">
        <v>16262</v>
      </c>
      <c r="M164">
        <v>7.83</v>
      </c>
      <c r="N164">
        <v>352315</v>
      </c>
      <c r="O164">
        <v>20191400</v>
      </c>
      <c r="P164" s="2">
        <v>1.7448765315926582</v>
      </c>
      <c r="Q164" t="str">
        <v/>
      </c>
      <c r="R164" s="2">
        <v>1.7448765315926582</v>
      </c>
      <c r="S164" s="5">
        <v>15.8098662</v>
      </c>
    </row>
    <row r="165" spans="1:19" x14ac:dyDescent="0.4">
      <c r="A165">
        <v>20210806</v>
      </c>
      <c r="B165" s="1">
        <v>0.125</v>
      </c>
      <c r="C165">
        <v>12077</v>
      </c>
      <c r="D165">
        <v>-44526</v>
      </c>
      <c r="E165">
        <v>163505</v>
      </c>
      <c r="F165">
        <v>90699</v>
      </c>
      <c r="G165">
        <v>10481</v>
      </c>
      <c r="H165">
        <v>-33204</v>
      </c>
      <c r="I165">
        <v>18625</v>
      </c>
      <c r="J165">
        <v>44074</v>
      </c>
      <c r="K165">
        <v>101335</v>
      </c>
      <c r="L165">
        <v>17927</v>
      </c>
      <c r="M165">
        <v>8.19</v>
      </c>
      <c r="N165">
        <v>380993</v>
      </c>
      <c r="O165">
        <v>20236450</v>
      </c>
      <c r="P165" s="2">
        <v>1.8827067000387914</v>
      </c>
      <c r="Q165" t="str">
        <v/>
      </c>
      <c r="R165" s="2">
        <v>1.8827067000387914</v>
      </c>
      <c r="S165" s="5">
        <v>16.573652549999998</v>
      </c>
    </row>
    <row r="166" spans="1:19" x14ac:dyDescent="0.4">
      <c r="A166">
        <v>20210806</v>
      </c>
      <c r="B166" s="1">
        <v>0.14583333333333334</v>
      </c>
      <c r="C166">
        <v>7631</v>
      </c>
      <c r="D166">
        <v>-62304</v>
      </c>
      <c r="E166">
        <v>189883</v>
      </c>
      <c r="F166">
        <v>117091</v>
      </c>
      <c r="G166">
        <v>-1164</v>
      </c>
      <c r="H166">
        <v>-135888</v>
      </c>
      <c r="I166">
        <v>49896</v>
      </c>
      <c r="J166">
        <v>55215</v>
      </c>
      <c r="K166">
        <v>118094</v>
      </c>
      <c r="L166">
        <v>21190</v>
      </c>
      <c r="M166">
        <v>8.2899999999999991</v>
      </c>
      <c r="N166">
        <v>359644</v>
      </c>
      <c r="O166">
        <v>20264350</v>
      </c>
      <c r="P166" s="2">
        <v>1.7747620821788017</v>
      </c>
      <c r="Q166" t="str">
        <v/>
      </c>
      <c r="R166" s="2">
        <v>1.7747620821788017</v>
      </c>
      <c r="S166" s="5">
        <v>16.799146149999999</v>
      </c>
    </row>
    <row r="167" spans="1:19" x14ac:dyDescent="0.4">
      <c r="A167">
        <v>20210806</v>
      </c>
      <c r="B167" s="1">
        <v>0.16666666666666666</v>
      </c>
      <c r="C167">
        <v>-4477</v>
      </c>
      <c r="D167">
        <v>-72374</v>
      </c>
      <c r="E167">
        <v>180418</v>
      </c>
      <c r="F167">
        <v>92472</v>
      </c>
      <c r="G167">
        <v>-27484</v>
      </c>
      <c r="H167">
        <v>-75530</v>
      </c>
      <c r="I167">
        <v>55911</v>
      </c>
      <c r="J167">
        <v>60663</v>
      </c>
      <c r="K167">
        <v>171605</v>
      </c>
      <c r="L167">
        <v>22672</v>
      </c>
      <c r="M167">
        <v>8.2899999999999991</v>
      </c>
      <c r="N167">
        <v>403876</v>
      </c>
      <c r="O167">
        <v>20266900</v>
      </c>
      <c r="P167" s="2">
        <v>1.9927862672633703</v>
      </c>
      <c r="Q167" t="str">
        <v/>
      </c>
      <c r="R167" s="2">
        <v>1.9927862672633703</v>
      </c>
      <c r="S167" s="5">
        <v>16.801260099999997</v>
      </c>
    </row>
    <row r="168" spans="1:19" x14ac:dyDescent="0.4">
      <c r="A168">
        <v>20210806</v>
      </c>
      <c r="B168" s="1">
        <v>0.1875</v>
      </c>
      <c r="C168">
        <v>539</v>
      </c>
      <c r="D168">
        <v>-114432</v>
      </c>
      <c r="E168">
        <v>188973</v>
      </c>
      <c r="F168">
        <v>120664</v>
      </c>
      <c r="G168">
        <v>-19096</v>
      </c>
      <c r="H168">
        <v>-139039</v>
      </c>
      <c r="I168">
        <v>133125</v>
      </c>
      <c r="J168">
        <v>59516</v>
      </c>
      <c r="K168">
        <v>152738</v>
      </c>
      <c r="L168">
        <v>22669</v>
      </c>
      <c r="M168">
        <v>8.2899999999999991</v>
      </c>
      <c r="N168">
        <v>405657</v>
      </c>
      <c r="O168">
        <v>20197800</v>
      </c>
      <c r="P168" s="2">
        <v>2.0084217092950718</v>
      </c>
      <c r="Q168" t="str">
        <v/>
      </c>
      <c r="R168" s="2">
        <v>2.0084217092950718</v>
      </c>
      <c r="S168" s="5">
        <v>16.743976199999999</v>
      </c>
    </row>
    <row r="169" spans="1:19" x14ac:dyDescent="0.4">
      <c r="A169">
        <v>20210806</v>
      </c>
      <c r="B169" s="1">
        <v>0.20833333333333334</v>
      </c>
      <c r="C169">
        <v>-47592</v>
      </c>
      <c r="D169">
        <v>-97849</v>
      </c>
      <c r="E169">
        <v>301596</v>
      </c>
      <c r="F169">
        <v>121064</v>
      </c>
      <c r="G169">
        <v>3154</v>
      </c>
      <c r="H169">
        <v>-186520</v>
      </c>
      <c r="I169">
        <v>55321</v>
      </c>
      <c r="J169">
        <v>76092</v>
      </c>
      <c r="K169">
        <v>169514</v>
      </c>
      <c r="L169">
        <v>25790</v>
      </c>
      <c r="M169">
        <v>8.18</v>
      </c>
      <c r="N169">
        <v>420570</v>
      </c>
      <c r="O169">
        <v>20165850</v>
      </c>
      <c r="P169" s="2">
        <v>2.0855555307611628</v>
      </c>
      <c r="Q169" t="str">
        <v/>
      </c>
      <c r="R169" s="2">
        <v>2.0855555307611628</v>
      </c>
      <c r="S169" s="5">
        <v>16.495665299999999</v>
      </c>
    </row>
    <row r="170" spans="1:19" x14ac:dyDescent="0.4">
      <c r="A170">
        <v>20210806</v>
      </c>
      <c r="B170" s="1">
        <v>0.22916666666666666</v>
      </c>
      <c r="C170">
        <v>-7453</v>
      </c>
      <c r="D170">
        <v>-44695</v>
      </c>
      <c r="E170">
        <v>170069</v>
      </c>
      <c r="F170">
        <v>172279</v>
      </c>
      <c r="G170">
        <v>-20858</v>
      </c>
      <c r="H170">
        <v>-183211</v>
      </c>
      <c r="I170">
        <v>176676</v>
      </c>
      <c r="J170">
        <v>84201</v>
      </c>
      <c r="K170">
        <v>128571</v>
      </c>
      <c r="L170">
        <v>28265</v>
      </c>
      <c r="M170">
        <v>7.79</v>
      </c>
      <c r="N170">
        <v>503844</v>
      </c>
      <c r="O170">
        <v>20245350</v>
      </c>
      <c r="P170" s="2">
        <v>2.4886899954804438</v>
      </c>
      <c r="Q170" t="str">
        <v/>
      </c>
      <c r="R170" s="2">
        <v>2.4886899954804438</v>
      </c>
      <c r="S170" s="5">
        <v>15.77112765</v>
      </c>
    </row>
    <row r="171" spans="1:19" x14ac:dyDescent="0.4">
      <c r="A171">
        <v>20210806</v>
      </c>
      <c r="B171" s="1">
        <v>0.25</v>
      </c>
      <c r="C171">
        <v>14128</v>
      </c>
      <c r="D171">
        <v>21429</v>
      </c>
      <c r="E171">
        <v>257339</v>
      </c>
      <c r="F171">
        <v>133969</v>
      </c>
      <c r="G171">
        <v>-20697</v>
      </c>
      <c r="H171">
        <v>-188687</v>
      </c>
      <c r="I171">
        <v>79719</v>
      </c>
      <c r="J171">
        <v>102690</v>
      </c>
      <c r="K171">
        <v>56964</v>
      </c>
      <c r="L171">
        <v>34252</v>
      </c>
      <c r="M171">
        <v>7.7</v>
      </c>
      <c r="N171">
        <v>491106</v>
      </c>
      <c r="O171">
        <v>20841950</v>
      </c>
      <c r="P171" s="2">
        <v>2.3563342201665392</v>
      </c>
      <c r="Q171" t="str">
        <v/>
      </c>
      <c r="R171" s="2">
        <v>2.3563342201665392</v>
      </c>
      <c r="S171" s="5">
        <v>16.048301500000001</v>
      </c>
    </row>
    <row r="172" spans="1:19" x14ac:dyDescent="0.4">
      <c r="A172">
        <v>20210806</v>
      </c>
      <c r="B172" s="1">
        <v>0.27083333333333331</v>
      </c>
      <c r="C172">
        <v>37785</v>
      </c>
      <c r="D172">
        <v>140859</v>
      </c>
      <c r="E172">
        <v>217098</v>
      </c>
      <c r="F172">
        <v>98143</v>
      </c>
      <c r="G172">
        <v>-23368</v>
      </c>
      <c r="H172">
        <v>-155764</v>
      </c>
      <c r="I172">
        <v>61425</v>
      </c>
      <c r="J172">
        <v>69048</v>
      </c>
      <c r="K172">
        <v>17011</v>
      </c>
      <c r="L172">
        <v>28795</v>
      </c>
      <c r="M172">
        <v>7.76</v>
      </c>
      <c r="N172">
        <v>491032</v>
      </c>
      <c r="O172">
        <v>21303450</v>
      </c>
      <c r="P172" s="2">
        <v>2.3049412184411446</v>
      </c>
      <c r="Q172" t="str">
        <v/>
      </c>
      <c r="R172" s="2">
        <v>2.3049412184411446</v>
      </c>
      <c r="S172" s="5">
        <v>16.531477200000001</v>
      </c>
    </row>
    <row r="173" spans="1:19" x14ac:dyDescent="0.4">
      <c r="A173">
        <v>20210806</v>
      </c>
      <c r="B173" s="1">
        <v>0.29166666666666669</v>
      </c>
      <c r="C173">
        <v>44971</v>
      </c>
      <c r="D173">
        <v>245040</v>
      </c>
      <c r="E173">
        <v>408497</v>
      </c>
      <c r="F173">
        <v>41561</v>
      </c>
      <c r="G173">
        <v>4148</v>
      </c>
      <c r="H173">
        <v>-137137</v>
      </c>
      <c r="I173">
        <v>-51537</v>
      </c>
      <c r="J173">
        <v>18505</v>
      </c>
      <c r="K173">
        <v>198881</v>
      </c>
      <c r="L173">
        <v>28740</v>
      </c>
      <c r="M173">
        <v>7.65</v>
      </c>
      <c r="N173">
        <v>801669</v>
      </c>
      <c r="O173">
        <v>22263900</v>
      </c>
      <c r="P173" s="2">
        <v>3.6007572797218814</v>
      </c>
      <c r="Q173" t="str">
        <v/>
      </c>
      <c r="R173" s="2">
        <v>3.6007572797218814</v>
      </c>
      <c r="S173" s="5">
        <v>17.031883499999999</v>
      </c>
    </row>
    <row r="174" spans="1:19" x14ac:dyDescent="0.4">
      <c r="A174">
        <v>20210806</v>
      </c>
      <c r="B174" s="1">
        <v>0.3125</v>
      </c>
      <c r="C174">
        <v>61861</v>
      </c>
      <c r="D174">
        <v>380422</v>
      </c>
      <c r="E174">
        <v>249370</v>
      </c>
      <c r="F174">
        <v>73041</v>
      </c>
      <c r="G174">
        <v>30620</v>
      </c>
      <c r="H174">
        <v>-88565</v>
      </c>
      <c r="I174">
        <v>609232</v>
      </c>
      <c r="J174">
        <v>22521</v>
      </c>
      <c r="K174">
        <v>336293</v>
      </c>
      <c r="L174">
        <v>18602</v>
      </c>
      <c r="M174">
        <v>7.82</v>
      </c>
      <c r="N174">
        <v>1693397</v>
      </c>
      <c r="O174">
        <v>22761200</v>
      </c>
      <c r="P174" s="2">
        <v>7.4398406059434476</v>
      </c>
      <c r="Q174" t="str">
        <v/>
      </c>
      <c r="R174" s="2">
        <v>7.4398406059434476</v>
      </c>
      <c r="S174" s="5">
        <v>17.799258399999999</v>
      </c>
    </row>
    <row r="175" spans="1:19" x14ac:dyDescent="0.4">
      <c r="A175">
        <v>20210806</v>
      </c>
      <c r="B175" s="1">
        <v>0.33333333333333331</v>
      </c>
      <c r="C175">
        <v>2613</v>
      </c>
      <c r="D175">
        <v>349496</v>
      </c>
      <c r="E175">
        <v>585903</v>
      </c>
      <c r="F175">
        <v>107040</v>
      </c>
      <c r="G175">
        <v>32255</v>
      </c>
      <c r="H175">
        <v>83640</v>
      </c>
      <c r="I175">
        <v>118903</v>
      </c>
      <c r="J175">
        <v>18118</v>
      </c>
      <c r="K175">
        <v>388405</v>
      </c>
      <c r="L175">
        <v>29783</v>
      </c>
      <c r="M175">
        <v>7.79</v>
      </c>
      <c r="N175">
        <v>1716156</v>
      </c>
      <c r="O175">
        <v>24586450</v>
      </c>
      <c r="P175" s="2">
        <v>6.9800886260521544</v>
      </c>
      <c r="Q175" t="str">
        <v/>
      </c>
      <c r="R175" s="2">
        <v>6.9800886260521544</v>
      </c>
      <c r="S175" s="5">
        <v>19.152844550000001</v>
      </c>
    </row>
    <row r="176" spans="1:19" x14ac:dyDescent="0.4">
      <c r="A176">
        <v>20210806</v>
      </c>
      <c r="B176" s="1">
        <v>0.35416666666666669</v>
      </c>
      <c r="C176">
        <v>70822</v>
      </c>
      <c r="D176">
        <v>339426</v>
      </c>
      <c r="E176">
        <v>391029</v>
      </c>
      <c r="F176">
        <v>53388</v>
      </c>
      <c r="G176">
        <v>54445</v>
      </c>
      <c r="H176">
        <v>205678</v>
      </c>
      <c r="I176">
        <v>141762</v>
      </c>
      <c r="J176">
        <v>41627</v>
      </c>
      <c r="K176">
        <v>562310</v>
      </c>
      <c r="L176">
        <v>15375</v>
      </c>
      <c r="M176">
        <v>8.86</v>
      </c>
      <c r="N176">
        <v>1875862</v>
      </c>
      <c r="O176">
        <v>25807100</v>
      </c>
      <c r="P176" s="2">
        <v>7.2687826218366265</v>
      </c>
      <c r="Q176" t="str">
        <v/>
      </c>
      <c r="R176" s="2">
        <v>7.2687826218366265</v>
      </c>
      <c r="S176" s="5">
        <v>22.865090599999998</v>
      </c>
    </row>
    <row r="177" spans="1:19" x14ac:dyDescent="0.4">
      <c r="A177">
        <v>20210806</v>
      </c>
      <c r="B177" s="1">
        <v>0.375</v>
      </c>
      <c r="C177">
        <v>61992</v>
      </c>
      <c r="D177">
        <v>393995</v>
      </c>
      <c r="E177">
        <v>437649</v>
      </c>
      <c r="F177">
        <v>96167</v>
      </c>
      <c r="G177">
        <v>80738</v>
      </c>
      <c r="H177">
        <v>165192</v>
      </c>
      <c r="I177">
        <v>51726</v>
      </c>
      <c r="J177">
        <v>59760</v>
      </c>
      <c r="K177">
        <v>556185</v>
      </c>
      <c r="L177">
        <v>14425</v>
      </c>
      <c r="M177">
        <v>9.56</v>
      </c>
      <c r="N177">
        <v>1917829</v>
      </c>
      <c r="O177">
        <v>26594300</v>
      </c>
      <c r="P177" s="2">
        <v>7.2114287648105044</v>
      </c>
      <c r="Q177" t="str">
        <v/>
      </c>
      <c r="R177" s="2">
        <v>7.2114287648105044</v>
      </c>
      <c r="S177" s="5">
        <v>25.4241508</v>
      </c>
    </row>
    <row r="178" spans="1:19" x14ac:dyDescent="0.4">
      <c r="A178">
        <v>20210806</v>
      </c>
      <c r="B178" s="1">
        <v>0.39583333333333331</v>
      </c>
      <c r="C178">
        <v>45232</v>
      </c>
      <c r="D178">
        <v>401454</v>
      </c>
      <c r="E178">
        <v>838519</v>
      </c>
      <c r="F178">
        <v>237972</v>
      </c>
      <c r="G178">
        <v>80542</v>
      </c>
      <c r="H178">
        <v>237557</v>
      </c>
      <c r="I178">
        <v>68951</v>
      </c>
      <c r="J178">
        <v>101898</v>
      </c>
      <c r="K178">
        <v>714362</v>
      </c>
      <c r="L178">
        <v>4378</v>
      </c>
      <c r="M178">
        <v>9.57</v>
      </c>
      <c r="N178">
        <v>2730865</v>
      </c>
      <c r="O178">
        <v>27043700</v>
      </c>
      <c r="P178" s="2">
        <v>10.097971061652068</v>
      </c>
      <c r="Q178" t="str">
        <v/>
      </c>
      <c r="R178" s="2">
        <v>10.097971061652068</v>
      </c>
      <c r="S178" s="5">
        <v>25.8808209</v>
      </c>
    </row>
    <row r="179" spans="1:19" x14ac:dyDescent="0.4">
      <c r="A179">
        <v>20210806</v>
      </c>
      <c r="B179" s="1">
        <v>0.41666666666666669</v>
      </c>
      <c r="C179">
        <v>17601</v>
      </c>
      <c r="D179">
        <v>514744</v>
      </c>
      <c r="E179">
        <v>824096</v>
      </c>
      <c r="F179">
        <v>392743</v>
      </c>
      <c r="G179">
        <v>51973</v>
      </c>
      <c r="H179">
        <v>274230</v>
      </c>
      <c r="I179">
        <v>102164</v>
      </c>
      <c r="J179">
        <v>100906</v>
      </c>
      <c r="K179">
        <v>590738</v>
      </c>
      <c r="L179">
        <v>-13124</v>
      </c>
      <c r="M179">
        <v>9.64</v>
      </c>
      <c r="N179">
        <v>2856071</v>
      </c>
      <c r="O179">
        <v>27082000</v>
      </c>
      <c r="P179" s="2">
        <v>10.546012111365483</v>
      </c>
      <c r="Q179" t="str">
        <v/>
      </c>
      <c r="R179" s="2">
        <v>10.546012111365483</v>
      </c>
      <c r="S179" s="5">
        <v>26.107048000000002</v>
      </c>
    </row>
    <row r="180" spans="1:19" x14ac:dyDescent="0.4">
      <c r="A180">
        <v>20210806</v>
      </c>
      <c r="B180" s="1">
        <v>0.4375</v>
      </c>
      <c r="C180">
        <v>39322</v>
      </c>
      <c r="D180">
        <v>489855</v>
      </c>
      <c r="E180">
        <v>869041</v>
      </c>
      <c r="F180">
        <v>478418</v>
      </c>
      <c r="G180">
        <v>48253</v>
      </c>
      <c r="H180">
        <v>306726</v>
      </c>
      <c r="I180">
        <v>60327</v>
      </c>
      <c r="J180">
        <v>86268</v>
      </c>
      <c r="K180">
        <v>682812</v>
      </c>
      <c r="L180">
        <v>-17231</v>
      </c>
      <c r="M180">
        <v>9.76</v>
      </c>
      <c r="N180">
        <v>3043791</v>
      </c>
      <c r="O180">
        <v>27312750</v>
      </c>
      <c r="P180" s="2">
        <v>11.144212867616773</v>
      </c>
      <c r="Q180" t="str">
        <v/>
      </c>
      <c r="R180" s="2">
        <v>11.144212867616773</v>
      </c>
      <c r="S180" s="5">
        <v>26.657243999999999</v>
      </c>
    </row>
    <row r="181" spans="1:19" x14ac:dyDescent="0.4">
      <c r="A181">
        <v>20210806</v>
      </c>
      <c r="B181" s="1">
        <v>0.45833333333333331</v>
      </c>
      <c r="C181">
        <v>946</v>
      </c>
      <c r="D181">
        <v>350534</v>
      </c>
      <c r="E181">
        <v>866302</v>
      </c>
      <c r="F181">
        <v>438308</v>
      </c>
      <c r="G181">
        <v>54750</v>
      </c>
      <c r="H181">
        <v>342875</v>
      </c>
      <c r="I181">
        <v>176859</v>
      </c>
      <c r="J181">
        <v>76196</v>
      </c>
      <c r="K181">
        <v>621486</v>
      </c>
      <c r="L181">
        <v>-2358</v>
      </c>
      <c r="M181">
        <v>10.27</v>
      </c>
      <c r="N181">
        <v>2925898</v>
      </c>
      <c r="O181">
        <v>27681950</v>
      </c>
      <c r="P181" s="2">
        <v>10.569696137735962</v>
      </c>
      <c r="Q181" t="str">
        <v/>
      </c>
      <c r="R181" s="2">
        <v>10.569696137735962</v>
      </c>
      <c r="S181" s="5">
        <v>28.429362650000002</v>
      </c>
    </row>
    <row r="182" spans="1:19" x14ac:dyDescent="0.4">
      <c r="A182">
        <v>20210806</v>
      </c>
      <c r="B182" s="1">
        <v>0.47916666666666669</v>
      </c>
      <c r="C182">
        <v>-20945</v>
      </c>
      <c r="D182">
        <v>393012</v>
      </c>
      <c r="E182">
        <v>982036</v>
      </c>
      <c r="F182">
        <v>620678</v>
      </c>
      <c r="G182">
        <v>55037</v>
      </c>
      <c r="H182">
        <v>392703</v>
      </c>
      <c r="I182">
        <v>151853</v>
      </c>
      <c r="J182">
        <v>-86886</v>
      </c>
      <c r="K182">
        <v>604721</v>
      </c>
      <c r="L182">
        <v>-5508</v>
      </c>
      <c r="M182">
        <v>10.27</v>
      </c>
      <c r="N182">
        <v>3086701</v>
      </c>
      <c r="O182">
        <v>27610750</v>
      </c>
      <c r="P182" s="2">
        <v>11.179345001493983</v>
      </c>
      <c r="Q182" t="str">
        <v/>
      </c>
      <c r="R182" s="2">
        <v>11.179345001493983</v>
      </c>
      <c r="S182" s="5">
        <v>28.356240249999999</v>
      </c>
    </row>
    <row r="183" spans="1:19" x14ac:dyDescent="0.4">
      <c r="A183">
        <v>20210806</v>
      </c>
      <c r="B183" s="1">
        <v>0.5</v>
      </c>
      <c r="C183">
        <v>-12992</v>
      </c>
      <c r="D183">
        <v>321556</v>
      </c>
      <c r="E183">
        <v>604538</v>
      </c>
      <c r="F183">
        <v>516570</v>
      </c>
      <c r="G183">
        <v>73271</v>
      </c>
      <c r="H183">
        <v>437258</v>
      </c>
      <c r="I183">
        <v>145473</v>
      </c>
      <c r="J183">
        <v>-123846</v>
      </c>
      <c r="K183">
        <v>561187</v>
      </c>
      <c r="L183">
        <v>-13298</v>
      </c>
      <c r="M183">
        <v>9.9499999999999993</v>
      </c>
      <c r="N183">
        <v>2509717</v>
      </c>
      <c r="O183">
        <v>27484550</v>
      </c>
      <c r="P183" s="2">
        <v>9.1313738081940574</v>
      </c>
      <c r="Q183" t="str">
        <v/>
      </c>
      <c r="R183" s="2">
        <v>9.1313738081940574</v>
      </c>
      <c r="S183" s="5">
        <v>27.34712725</v>
      </c>
    </row>
    <row r="184" spans="1:19" x14ac:dyDescent="0.4">
      <c r="A184">
        <v>20210806</v>
      </c>
      <c r="B184" s="1">
        <v>0.52083333333333337</v>
      </c>
      <c r="C184">
        <v>19812</v>
      </c>
      <c r="D184">
        <v>317437</v>
      </c>
      <c r="E184">
        <v>596816</v>
      </c>
      <c r="F184">
        <v>305322</v>
      </c>
      <c r="G184">
        <v>71290</v>
      </c>
      <c r="H184">
        <v>360775</v>
      </c>
      <c r="I184">
        <v>202776</v>
      </c>
      <c r="J184">
        <v>-193012</v>
      </c>
      <c r="K184">
        <v>637360</v>
      </c>
      <c r="L184">
        <v>-13134</v>
      </c>
      <c r="M184">
        <v>9.9499999999999993</v>
      </c>
      <c r="N184">
        <v>2305442</v>
      </c>
      <c r="O184">
        <v>27451800</v>
      </c>
      <c r="P184" s="2">
        <v>8.3981451125244977</v>
      </c>
      <c r="Q184" t="str">
        <v/>
      </c>
      <c r="R184" s="2">
        <v>8.3981451125244977</v>
      </c>
      <c r="S184" s="5">
        <v>27.314540999999998</v>
      </c>
    </row>
    <row r="185" spans="1:19" x14ac:dyDescent="0.4">
      <c r="A185">
        <v>20210806</v>
      </c>
      <c r="B185" s="1">
        <v>0.54166666666666663</v>
      </c>
      <c r="C185">
        <v>-76563</v>
      </c>
      <c r="D185">
        <v>413147</v>
      </c>
      <c r="E185">
        <v>828423</v>
      </c>
      <c r="F185">
        <v>473517</v>
      </c>
      <c r="G185">
        <v>41463</v>
      </c>
      <c r="H185">
        <v>234225</v>
      </c>
      <c r="I185">
        <v>189330</v>
      </c>
      <c r="J185">
        <v>-205649</v>
      </c>
      <c r="K185">
        <v>504223</v>
      </c>
      <c r="L185">
        <v>-5335</v>
      </c>
      <c r="M185">
        <v>10.02</v>
      </c>
      <c r="N185">
        <v>2396781</v>
      </c>
      <c r="O185">
        <v>26893400</v>
      </c>
      <c r="P185" s="2">
        <v>8.9121531676917005</v>
      </c>
      <c r="Q185" t="str">
        <v/>
      </c>
      <c r="R185" s="2">
        <v>8.9121531676917005</v>
      </c>
      <c r="S185" s="5">
        <v>26.947186800000001</v>
      </c>
    </row>
    <row r="186" spans="1:19" x14ac:dyDescent="0.4">
      <c r="A186">
        <v>20210806</v>
      </c>
      <c r="B186" s="1">
        <v>0.5625</v>
      </c>
      <c r="C186">
        <v>-8234</v>
      </c>
      <c r="D186">
        <v>505295</v>
      </c>
      <c r="E186">
        <v>731181</v>
      </c>
      <c r="F186">
        <v>277903</v>
      </c>
      <c r="G186">
        <v>44025</v>
      </c>
      <c r="H186">
        <v>251461</v>
      </c>
      <c r="I186">
        <v>127450</v>
      </c>
      <c r="J186">
        <v>-163275</v>
      </c>
      <c r="K186">
        <v>461474</v>
      </c>
      <c r="L186">
        <v>-3580</v>
      </c>
      <c r="M186">
        <v>10.27</v>
      </c>
      <c r="N186">
        <v>2223700</v>
      </c>
      <c r="O186">
        <v>26818500</v>
      </c>
      <c r="P186" s="2">
        <v>8.2916643361858426</v>
      </c>
      <c r="Q186" t="str">
        <v/>
      </c>
      <c r="R186" s="2">
        <v>8.2916643361858426</v>
      </c>
      <c r="S186" s="5">
        <v>27.542599500000001</v>
      </c>
    </row>
    <row r="187" spans="1:19" x14ac:dyDescent="0.4">
      <c r="A187">
        <v>20210806</v>
      </c>
      <c r="B187" s="1">
        <v>0.58333333333333337</v>
      </c>
      <c r="C187">
        <v>-49999</v>
      </c>
      <c r="D187">
        <v>448263</v>
      </c>
      <c r="E187">
        <v>733533</v>
      </c>
      <c r="F187">
        <v>304014</v>
      </c>
      <c r="G187">
        <v>48342</v>
      </c>
      <c r="H187">
        <v>35173</v>
      </c>
      <c r="I187">
        <v>128069</v>
      </c>
      <c r="J187">
        <v>-174380</v>
      </c>
      <c r="K187">
        <v>600378</v>
      </c>
      <c r="L187">
        <v>-11475</v>
      </c>
      <c r="M187">
        <v>10.35</v>
      </c>
      <c r="N187">
        <v>2061918</v>
      </c>
      <c r="O187">
        <v>26407800</v>
      </c>
      <c r="P187" s="2">
        <v>7.8079885488378435</v>
      </c>
      <c r="Q187" t="str">
        <v/>
      </c>
      <c r="R187" s="2">
        <v>7.8079885488378435</v>
      </c>
      <c r="S187" s="5">
        <v>27.332073000000001</v>
      </c>
    </row>
    <row r="188" spans="1:19" x14ac:dyDescent="0.4">
      <c r="A188">
        <v>20210806</v>
      </c>
      <c r="B188" s="1">
        <v>0.60416666666666663</v>
      </c>
      <c r="C188">
        <v>-1385</v>
      </c>
      <c r="D188">
        <v>504899</v>
      </c>
      <c r="E188">
        <v>629556</v>
      </c>
      <c r="F188">
        <v>505278</v>
      </c>
      <c r="G188">
        <v>46289</v>
      </c>
      <c r="H188">
        <v>61028</v>
      </c>
      <c r="I188">
        <v>128784</v>
      </c>
      <c r="J188">
        <v>-141124</v>
      </c>
      <c r="K188">
        <v>650342</v>
      </c>
      <c r="L188">
        <v>-12198</v>
      </c>
      <c r="M188">
        <v>13.41</v>
      </c>
      <c r="N188">
        <v>2371469</v>
      </c>
      <c r="O188">
        <v>26121350</v>
      </c>
      <c r="P188" s="2">
        <v>9.0786617077601264</v>
      </c>
      <c r="Q188" t="str">
        <v/>
      </c>
      <c r="R188" s="2">
        <v>9.0786617077601264</v>
      </c>
      <c r="S188" s="5">
        <v>35.028730349999996</v>
      </c>
    </row>
    <row r="189" spans="1:19" x14ac:dyDescent="0.4">
      <c r="A189">
        <v>20210806</v>
      </c>
      <c r="B189" s="1">
        <v>0.625</v>
      </c>
      <c r="C189">
        <v>-56636</v>
      </c>
      <c r="D189">
        <v>485879</v>
      </c>
      <c r="E189">
        <v>429013</v>
      </c>
      <c r="F189">
        <v>521180</v>
      </c>
      <c r="G189">
        <v>33845</v>
      </c>
      <c r="H189">
        <v>86585</v>
      </c>
      <c r="I189">
        <v>72175</v>
      </c>
      <c r="J189">
        <v>-132784</v>
      </c>
      <c r="K189">
        <v>600378</v>
      </c>
      <c r="L189">
        <v>-5134</v>
      </c>
      <c r="M189">
        <v>14.81</v>
      </c>
      <c r="N189">
        <v>2034501</v>
      </c>
      <c r="O189">
        <v>25795350</v>
      </c>
      <c r="P189" s="2">
        <v>7.8870843000773396</v>
      </c>
      <c r="Q189" t="str">
        <v/>
      </c>
      <c r="R189" s="2">
        <v>7.8870843000773396</v>
      </c>
      <c r="S189" s="5">
        <v>38.202913350000003</v>
      </c>
    </row>
    <row r="190" spans="1:19" x14ac:dyDescent="0.4">
      <c r="A190">
        <v>20210806</v>
      </c>
      <c r="B190" s="1">
        <v>0.64583333333333337</v>
      </c>
      <c r="C190">
        <v>7045</v>
      </c>
      <c r="D190">
        <v>367472</v>
      </c>
      <c r="E190">
        <v>273944</v>
      </c>
      <c r="F190">
        <v>227115</v>
      </c>
      <c r="G190">
        <v>48878</v>
      </c>
      <c r="H190">
        <v>70826</v>
      </c>
      <c r="I190">
        <v>68894</v>
      </c>
      <c r="J190">
        <v>-98359</v>
      </c>
      <c r="K190">
        <v>446284</v>
      </c>
      <c r="L190">
        <v>-1561</v>
      </c>
      <c r="M190">
        <v>15.46</v>
      </c>
      <c r="N190">
        <v>1410538</v>
      </c>
      <c r="O190">
        <v>25448300</v>
      </c>
      <c r="P190" s="2">
        <v>5.5427592412852729</v>
      </c>
      <c r="Q190" t="str">
        <v/>
      </c>
      <c r="R190" s="2">
        <v>5.5427592412852729</v>
      </c>
      <c r="S190" s="5">
        <v>39.343071799999997</v>
      </c>
    </row>
    <row r="191" spans="1:19" x14ac:dyDescent="0.4">
      <c r="A191">
        <v>20210806</v>
      </c>
      <c r="B191" s="1">
        <v>0.66666666666666663</v>
      </c>
      <c r="C191">
        <v>-50685</v>
      </c>
      <c r="D191">
        <v>193660</v>
      </c>
      <c r="E191">
        <v>-163500</v>
      </c>
      <c r="F191">
        <v>125068</v>
      </c>
      <c r="G191">
        <v>53055</v>
      </c>
      <c r="H191">
        <v>-5189</v>
      </c>
      <c r="I191">
        <v>96132</v>
      </c>
      <c r="J191">
        <v>-52176</v>
      </c>
      <c r="K191">
        <v>265436</v>
      </c>
      <c r="L191">
        <v>6283</v>
      </c>
      <c r="M191">
        <v>14.7</v>
      </c>
      <c r="N191">
        <v>468084</v>
      </c>
      <c r="O191">
        <v>25842300</v>
      </c>
      <c r="P191" s="2">
        <v>1.8113093648785132</v>
      </c>
      <c r="Q191" t="str">
        <v/>
      </c>
      <c r="R191" s="2">
        <v>1.8113093648785132</v>
      </c>
      <c r="S191" s="5">
        <v>37.988180999999997</v>
      </c>
    </row>
    <row r="192" spans="1:19" x14ac:dyDescent="0.4">
      <c r="A192">
        <v>20210806</v>
      </c>
      <c r="B192" s="1">
        <v>0.70833333333333337</v>
      </c>
      <c r="C192">
        <v>-56792</v>
      </c>
      <c r="D192">
        <v>-93000</v>
      </c>
      <c r="E192">
        <v>-625347</v>
      </c>
      <c r="F192">
        <v>226780</v>
      </c>
      <c r="G192">
        <v>18979</v>
      </c>
      <c r="H192">
        <v>448489</v>
      </c>
      <c r="I192">
        <v>492314</v>
      </c>
      <c r="J192">
        <v>-25786</v>
      </c>
      <c r="K192">
        <v>146986</v>
      </c>
      <c r="L192">
        <v>682</v>
      </c>
      <c r="M192">
        <v>20</v>
      </c>
      <c r="N192">
        <v>533305</v>
      </c>
      <c r="O192">
        <v>24519600</v>
      </c>
      <c r="P192" s="2">
        <v>2.1750150899688414</v>
      </c>
      <c r="Q192" t="str">
        <v/>
      </c>
      <c r="R192" s="2">
        <v>2.1750150899688414</v>
      </c>
      <c r="S192" s="5">
        <v>49.039200000000001</v>
      </c>
    </row>
    <row r="193" spans="1:19" x14ac:dyDescent="0.4">
      <c r="A193">
        <v>20210806</v>
      </c>
      <c r="B193" s="1">
        <v>0.72916666666666663</v>
      </c>
      <c r="C193">
        <v>-47941</v>
      </c>
      <c r="D193">
        <v>-84834</v>
      </c>
      <c r="E193">
        <v>-708038</v>
      </c>
      <c r="F193">
        <v>358507</v>
      </c>
      <c r="G193">
        <v>6433</v>
      </c>
      <c r="H193">
        <v>394822</v>
      </c>
      <c r="I193">
        <v>351941</v>
      </c>
      <c r="J193">
        <v>18184</v>
      </c>
      <c r="K193">
        <v>-17425</v>
      </c>
      <c r="L193">
        <v>7264</v>
      </c>
      <c r="M193">
        <v>20.81</v>
      </c>
      <c r="N193">
        <v>278913</v>
      </c>
      <c r="O193">
        <v>24025900</v>
      </c>
      <c r="P193" s="2">
        <v>1.1608847119150583</v>
      </c>
      <c r="Q193" t="str">
        <v/>
      </c>
      <c r="R193" s="2">
        <v>1.1608847119150583</v>
      </c>
      <c r="S193" s="5">
        <v>49.997897899999991</v>
      </c>
    </row>
    <row r="194" spans="1:19" x14ac:dyDescent="0.4">
      <c r="A194">
        <v>20210806</v>
      </c>
      <c r="B194" s="1">
        <v>0.75</v>
      </c>
      <c r="C194">
        <v>-15285</v>
      </c>
      <c r="D194">
        <v>-30186</v>
      </c>
      <c r="E194">
        <v>-676192</v>
      </c>
      <c r="F194">
        <v>494634</v>
      </c>
      <c r="G194">
        <v>-6539</v>
      </c>
      <c r="H194">
        <v>490081</v>
      </c>
      <c r="I194">
        <v>80553</v>
      </c>
      <c r="J194">
        <v>78582</v>
      </c>
      <c r="K194">
        <v>19829</v>
      </c>
      <c r="L194">
        <v>13825</v>
      </c>
      <c r="M194">
        <v>20.79</v>
      </c>
      <c r="N194">
        <v>449302</v>
      </c>
      <c r="O194">
        <v>23372750</v>
      </c>
      <c r="P194" s="2">
        <v>1.9223326309484334</v>
      </c>
      <c r="Q194" t="str">
        <v/>
      </c>
      <c r="R194" s="2">
        <v>1.9223326309484334</v>
      </c>
      <c r="S194" s="5">
        <v>48.591947249999997</v>
      </c>
    </row>
    <row r="195" spans="1:19" x14ac:dyDescent="0.4">
      <c r="A195">
        <v>20210806</v>
      </c>
      <c r="B195" s="1">
        <v>0.77083333333333337</v>
      </c>
      <c r="C195">
        <v>-9068</v>
      </c>
      <c r="D195">
        <v>100301</v>
      </c>
      <c r="E195">
        <v>-572718</v>
      </c>
      <c r="F195">
        <v>435254</v>
      </c>
      <c r="G195">
        <v>-3830</v>
      </c>
      <c r="H195">
        <v>399461</v>
      </c>
      <c r="I195">
        <v>68522</v>
      </c>
      <c r="J195">
        <v>123882</v>
      </c>
      <c r="K195">
        <v>-28691</v>
      </c>
      <c r="L195">
        <v>6885</v>
      </c>
      <c r="M195">
        <v>20.81</v>
      </c>
      <c r="N195">
        <v>519998</v>
      </c>
      <c r="O195">
        <v>23475300</v>
      </c>
      <c r="P195" s="2">
        <v>2.2150856432079675</v>
      </c>
      <c r="Q195" t="str">
        <v/>
      </c>
      <c r="R195" s="2">
        <v>2.2150856432079675</v>
      </c>
      <c r="S195" s="5">
        <v>48.852099299999992</v>
      </c>
    </row>
    <row r="196" spans="1:19" x14ac:dyDescent="0.4">
      <c r="A196">
        <v>20210806</v>
      </c>
      <c r="B196" s="1">
        <v>0.79166666666666663</v>
      </c>
      <c r="C196">
        <v>-53987</v>
      </c>
      <c r="D196">
        <v>22608</v>
      </c>
      <c r="E196">
        <v>-576104</v>
      </c>
      <c r="F196">
        <v>348226</v>
      </c>
      <c r="G196">
        <v>-8111</v>
      </c>
      <c r="H196">
        <v>406148</v>
      </c>
      <c r="I196">
        <v>-21938</v>
      </c>
      <c r="J196">
        <v>160789</v>
      </c>
      <c r="K196">
        <v>33332</v>
      </c>
      <c r="L196">
        <v>7091</v>
      </c>
      <c r="M196">
        <v>16.2</v>
      </c>
      <c r="N196">
        <v>318054</v>
      </c>
      <c r="O196">
        <v>23273400</v>
      </c>
      <c r="P196" s="2">
        <v>1.3665987780040734</v>
      </c>
      <c r="Q196" t="str">
        <v/>
      </c>
      <c r="R196" s="2">
        <v>1.3665987780040734</v>
      </c>
      <c r="S196" s="5">
        <v>37.702908000000001</v>
      </c>
    </row>
    <row r="197" spans="1:19" x14ac:dyDescent="0.4">
      <c r="A197">
        <v>20210806</v>
      </c>
      <c r="B197" s="1">
        <v>0.8125</v>
      </c>
      <c r="C197">
        <v>32107</v>
      </c>
      <c r="D197">
        <v>7855</v>
      </c>
      <c r="E197">
        <v>-779634</v>
      </c>
      <c r="F197">
        <v>381923</v>
      </c>
      <c r="G197">
        <v>1316</v>
      </c>
      <c r="H197">
        <v>396479</v>
      </c>
      <c r="I197">
        <v>-37942</v>
      </c>
      <c r="J197">
        <v>142652</v>
      </c>
      <c r="K197">
        <v>62135</v>
      </c>
      <c r="L197">
        <v>9202</v>
      </c>
      <c r="M197">
        <v>10.84</v>
      </c>
      <c r="N197">
        <v>216093</v>
      </c>
      <c r="O197">
        <v>23221650</v>
      </c>
      <c r="P197" s="2">
        <v>0.93056694937698226</v>
      </c>
      <c r="Q197" t="str">
        <v/>
      </c>
      <c r="R197" s="2">
        <v>0.93056694937698226</v>
      </c>
      <c r="S197" s="5">
        <v>25.172268599999999</v>
      </c>
    </row>
    <row r="198" spans="1:19" x14ac:dyDescent="0.4">
      <c r="A198">
        <v>20210806</v>
      </c>
      <c r="B198" s="1">
        <v>0.83333333333333337</v>
      </c>
      <c r="C198">
        <v>35122</v>
      </c>
      <c r="D198">
        <v>90559</v>
      </c>
      <c r="E198">
        <v>-773180</v>
      </c>
      <c r="F198">
        <v>356471</v>
      </c>
      <c r="G198">
        <v>10189</v>
      </c>
      <c r="H198">
        <v>500639</v>
      </c>
      <c r="I198">
        <v>51754</v>
      </c>
      <c r="J198">
        <v>139491</v>
      </c>
      <c r="K198">
        <v>1006</v>
      </c>
      <c r="L198">
        <v>272</v>
      </c>
      <c r="M198">
        <v>10.220000000000001</v>
      </c>
      <c r="N198">
        <v>412323</v>
      </c>
      <c r="O198">
        <v>22397050</v>
      </c>
      <c r="P198" s="2">
        <v>1.8409701277623616</v>
      </c>
      <c r="Q198" t="str">
        <v/>
      </c>
      <c r="R198" s="2">
        <v>1.8409701277623616</v>
      </c>
      <c r="S198" s="5">
        <v>22.889785100000001</v>
      </c>
    </row>
    <row r="199" spans="1:19" x14ac:dyDescent="0.4">
      <c r="A199">
        <v>20210806</v>
      </c>
      <c r="B199" s="1">
        <v>0.875</v>
      </c>
      <c r="C199">
        <v>62128</v>
      </c>
      <c r="D199">
        <v>107797</v>
      </c>
      <c r="E199">
        <v>-436161</v>
      </c>
      <c r="F199">
        <v>31836</v>
      </c>
      <c r="G199">
        <v>-45896</v>
      </c>
      <c r="H199">
        <v>249882</v>
      </c>
      <c r="I199">
        <v>12120</v>
      </c>
      <c r="J199">
        <v>14574</v>
      </c>
      <c r="K199">
        <v>33772</v>
      </c>
      <c r="L199">
        <v>1767</v>
      </c>
      <c r="M199">
        <v>9.92</v>
      </c>
      <c r="N199">
        <v>31819</v>
      </c>
      <c r="O199">
        <v>21954550</v>
      </c>
      <c r="P199" s="2">
        <v>0.14493123293349214</v>
      </c>
      <c r="Q199" t="str">
        <v/>
      </c>
      <c r="R199" s="2">
        <v>0.14493123293349214</v>
      </c>
      <c r="S199" s="5">
        <v>21.778913599999999</v>
      </c>
    </row>
    <row r="200" spans="1:19" x14ac:dyDescent="0.4">
      <c r="A200">
        <v>20210807</v>
      </c>
      <c r="B200" s="1">
        <v>0.29166666666666669</v>
      </c>
      <c r="C200">
        <v>28928</v>
      </c>
      <c r="D200">
        <v>220242</v>
      </c>
      <c r="E200">
        <v>109236</v>
      </c>
      <c r="F200">
        <v>85689</v>
      </c>
      <c r="G200">
        <v>-17641</v>
      </c>
      <c r="H200">
        <v>-110090</v>
      </c>
      <c r="I200">
        <v>-22353</v>
      </c>
      <c r="J200">
        <v>60166</v>
      </c>
      <c r="K200">
        <v>-270845</v>
      </c>
      <c r="L200">
        <v>2315</v>
      </c>
      <c r="M200">
        <v>7.85</v>
      </c>
      <c r="N200">
        <v>85647</v>
      </c>
      <c r="O200">
        <v>20286950</v>
      </c>
      <c r="P200" s="2">
        <v>0.42217780395771665</v>
      </c>
      <c r="Q200" t="str">
        <v/>
      </c>
      <c r="R200" s="2">
        <v>0.42217780395771665</v>
      </c>
      <c r="S200" s="5">
        <v>15.92525575</v>
      </c>
    </row>
    <row r="201" spans="1:19" x14ac:dyDescent="0.4">
      <c r="A201">
        <v>20210807</v>
      </c>
      <c r="B201" s="1">
        <v>0.3125</v>
      </c>
      <c r="C201">
        <v>-12877</v>
      </c>
      <c r="D201">
        <v>218114</v>
      </c>
      <c r="E201">
        <v>30356</v>
      </c>
      <c r="F201">
        <v>392713</v>
      </c>
      <c r="G201">
        <v>-27335</v>
      </c>
      <c r="H201">
        <v>50280</v>
      </c>
      <c r="I201">
        <v>96786</v>
      </c>
      <c r="J201">
        <v>120730</v>
      </c>
      <c r="K201">
        <v>-269910</v>
      </c>
      <c r="L201">
        <v>-1355</v>
      </c>
      <c r="M201">
        <v>8.11</v>
      </c>
      <c r="N201">
        <v>597502</v>
      </c>
      <c r="O201">
        <v>20669650</v>
      </c>
      <c r="P201" s="2">
        <v>2.8907214200530729</v>
      </c>
      <c r="Q201" t="str">
        <v/>
      </c>
      <c r="R201" s="2">
        <v>2.8907214200530729</v>
      </c>
      <c r="S201" s="5">
        <v>16.763086149999999</v>
      </c>
    </row>
    <row r="202" spans="1:19" x14ac:dyDescent="0.4">
      <c r="A202">
        <v>20210807</v>
      </c>
      <c r="B202" s="1">
        <v>0.33333333333333331</v>
      </c>
      <c r="C202">
        <v>15142</v>
      </c>
      <c r="D202">
        <v>226791</v>
      </c>
      <c r="E202">
        <v>546060</v>
      </c>
      <c r="F202">
        <v>527985</v>
      </c>
      <c r="G202">
        <v>-12435</v>
      </c>
      <c r="H202">
        <v>84301</v>
      </c>
      <c r="I202">
        <v>177756</v>
      </c>
      <c r="J202">
        <v>153146</v>
      </c>
      <c r="K202">
        <v>-319538</v>
      </c>
      <c r="L202">
        <v>5017</v>
      </c>
      <c r="M202">
        <v>8.86</v>
      </c>
      <c r="N202">
        <v>1404225</v>
      </c>
      <c r="O202">
        <v>21446150</v>
      </c>
      <c r="P202" s="2">
        <v>6.547678720889297</v>
      </c>
      <c r="Q202" t="str">
        <v/>
      </c>
      <c r="R202" s="2">
        <v>6.547678720889297</v>
      </c>
      <c r="S202" s="5">
        <v>19.001288899999999</v>
      </c>
    </row>
    <row r="203" spans="1:19" x14ac:dyDescent="0.4">
      <c r="A203">
        <v>20210807</v>
      </c>
      <c r="B203" s="1">
        <v>0.35416666666666669</v>
      </c>
      <c r="C203">
        <v>-20057</v>
      </c>
      <c r="D203">
        <v>85962</v>
      </c>
      <c r="E203">
        <v>456024</v>
      </c>
      <c r="F203">
        <v>588131</v>
      </c>
      <c r="G203">
        <v>88</v>
      </c>
      <c r="H203">
        <v>162681</v>
      </c>
      <c r="I203">
        <v>197360</v>
      </c>
      <c r="J203">
        <v>173052</v>
      </c>
      <c r="K203">
        <v>-401275</v>
      </c>
      <c r="L203">
        <v>-22036</v>
      </c>
      <c r="M203">
        <v>8.86</v>
      </c>
      <c r="N203">
        <v>1219930</v>
      </c>
      <c r="O203">
        <v>21805050</v>
      </c>
      <c r="P203" s="2">
        <v>5.5947131513112787</v>
      </c>
      <c r="Q203" t="str">
        <v/>
      </c>
      <c r="R203" s="2">
        <v>5.5947131513112787</v>
      </c>
      <c r="S203" s="5">
        <v>19.3192743</v>
      </c>
    </row>
    <row r="204" spans="1:19" x14ac:dyDescent="0.4">
      <c r="A204">
        <v>20210807</v>
      </c>
      <c r="B204" s="1">
        <v>0.375</v>
      </c>
      <c r="C204">
        <v>24545</v>
      </c>
      <c r="D204">
        <v>97714</v>
      </c>
      <c r="E204">
        <v>598700</v>
      </c>
      <c r="F204">
        <v>669000</v>
      </c>
      <c r="G204">
        <v>9310</v>
      </c>
      <c r="H204">
        <v>99999</v>
      </c>
      <c r="I204">
        <v>242623</v>
      </c>
      <c r="J204">
        <v>227749</v>
      </c>
      <c r="K204">
        <v>-512492</v>
      </c>
      <c r="L204">
        <v>-35654</v>
      </c>
      <c r="M204">
        <v>9.56</v>
      </c>
      <c r="N204">
        <v>1421494</v>
      </c>
      <c r="O204">
        <v>22233350</v>
      </c>
      <c r="P204" s="2">
        <v>6.3935214441368489</v>
      </c>
      <c r="Q204" t="str">
        <v/>
      </c>
      <c r="R204" s="2">
        <v>6.3935214441368489</v>
      </c>
      <c r="S204" s="5">
        <v>21.255082600000001</v>
      </c>
    </row>
    <row r="205" spans="1:19" x14ac:dyDescent="0.4">
      <c r="A205">
        <v>20210807</v>
      </c>
      <c r="B205" s="1">
        <v>0.39583333333333331</v>
      </c>
      <c r="C205">
        <v>44818</v>
      </c>
      <c r="D205">
        <v>-10006</v>
      </c>
      <c r="E205">
        <v>673241</v>
      </c>
      <c r="F205">
        <v>632284</v>
      </c>
      <c r="G205">
        <v>-9971</v>
      </c>
      <c r="H205">
        <v>202478</v>
      </c>
      <c r="I205">
        <v>251003</v>
      </c>
      <c r="J205">
        <v>218168</v>
      </c>
      <c r="K205">
        <v>-557596</v>
      </c>
      <c r="L205">
        <v>-26145</v>
      </c>
      <c r="M205">
        <v>9.49</v>
      </c>
      <c r="N205">
        <v>1418274</v>
      </c>
      <c r="O205">
        <v>22476300</v>
      </c>
      <c r="P205" s="2">
        <v>6.310086624577889</v>
      </c>
      <c r="Q205" t="str">
        <v/>
      </c>
      <c r="R205" s="2">
        <v>6.310086624577889</v>
      </c>
      <c r="S205" s="5">
        <v>21.3300087</v>
      </c>
    </row>
    <row r="206" spans="1:19" x14ac:dyDescent="0.4">
      <c r="A206">
        <v>20210807</v>
      </c>
      <c r="B206" s="1">
        <v>0.41666666666666669</v>
      </c>
      <c r="C206">
        <v>107124</v>
      </c>
      <c r="D206">
        <v>58281</v>
      </c>
      <c r="E206">
        <v>654342</v>
      </c>
      <c r="F206">
        <v>623445</v>
      </c>
      <c r="G206">
        <v>6010</v>
      </c>
      <c r="H206">
        <v>186834</v>
      </c>
      <c r="I206">
        <v>349298</v>
      </c>
      <c r="J206">
        <v>201865</v>
      </c>
      <c r="K206">
        <v>-481815</v>
      </c>
      <c r="L206">
        <v>-21559</v>
      </c>
      <c r="M206">
        <v>9.57</v>
      </c>
      <c r="N206">
        <v>1683825</v>
      </c>
      <c r="O206">
        <v>22756950</v>
      </c>
      <c r="P206" s="2">
        <v>7.3991681662085647</v>
      </c>
      <c r="Q206" t="str">
        <v/>
      </c>
      <c r="R206" s="2">
        <v>7.3991681662085647</v>
      </c>
      <c r="S206" s="5">
        <v>21.778401150000001</v>
      </c>
    </row>
    <row r="207" spans="1:19" x14ac:dyDescent="0.4">
      <c r="A207">
        <v>20210807</v>
      </c>
      <c r="B207" s="1">
        <v>0.4375</v>
      </c>
      <c r="C207">
        <v>101142</v>
      </c>
      <c r="D207">
        <v>6239</v>
      </c>
      <c r="E207">
        <v>686884</v>
      </c>
      <c r="F207">
        <v>850068</v>
      </c>
      <c r="G207">
        <v>52110</v>
      </c>
      <c r="H207">
        <v>267489</v>
      </c>
      <c r="I207">
        <v>370033</v>
      </c>
      <c r="J207">
        <v>192209</v>
      </c>
      <c r="K207">
        <v>-314605</v>
      </c>
      <c r="L207">
        <v>-29529</v>
      </c>
      <c r="M207">
        <v>9.4600000000000009</v>
      </c>
      <c r="N207">
        <v>2182040</v>
      </c>
      <c r="O207">
        <v>22965550</v>
      </c>
      <c r="P207" s="2">
        <v>9.5013618223817851</v>
      </c>
      <c r="Q207" t="str">
        <v/>
      </c>
      <c r="R207" s="2">
        <v>9.5013618223817851</v>
      </c>
      <c r="S207" s="5">
        <v>21.725410300000004</v>
      </c>
    </row>
    <row r="208" spans="1:19" x14ac:dyDescent="0.4">
      <c r="A208">
        <v>20210807</v>
      </c>
      <c r="B208" s="1">
        <v>0.45833333333333331</v>
      </c>
      <c r="C208">
        <v>152496</v>
      </c>
      <c r="D208">
        <v>110780</v>
      </c>
      <c r="E208">
        <v>1260104</v>
      </c>
      <c r="F208">
        <v>764117</v>
      </c>
      <c r="G208">
        <v>86389</v>
      </c>
      <c r="H208">
        <v>231971</v>
      </c>
      <c r="I208">
        <v>330759</v>
      </c>
      <c r="J208">
        <v>187362</v>
      </c>
      <c r="K208">
        <v>-223185</v>
      </c>
      <c r="L208">
        <v>-25672</v>
      </c>
      <c r="M208">
        <v>9.5500000000000007</v>
      </c>
      <c r="N208">
        <v>2875121</v>
      </c>
      <c r="O208">
        <v>23149000</v>
      </c>
      <c r="P208" s="2">
        <v>12.420065661583653</v>
      </c>
      <c r="Q208" t="str">
        <v/>
      </c>
      <c r="R208" s="2">
        <v>12.420065661583653</v>
      </c>
      <c r="S208" s="5">
        <v>22.107295000000004</v>
      </c>
    </row>
    <row r="209" spans="1:19" x14ac:dyDescent="0.4">
      <c r="A209">
        <v>20210807</v>
      </c>
      <c r="B209" s="1">
        <v>0.47916666666666669</v>
      </c>
      <c r="C209">
        <v>107395</v>
      </c>
      <c r="D209">
        <v>206162</v>
      </c>
      <c r="E209">
        <v>955309</v>
      </c>
      <c r="F209">
        <v>749780</v>
      </c>
      <c r="G209">
        <v>41701</v>
      </c>
      <c r="H209">
        <v>339540</v>
      </c>
      <c r="I209">
        <v>317782</v>
      </c>
      <c r="J209">
        <v>172752</v>
      </c>
      <c r="K209">
        <v>-149349</v>
      </c>
      <c r="L209">
        <v>-11119</v>
      </c>
      <c r="M209">
        <v>9.25</v>
      </c>
      <c r="N209">
        <v>2729953</v>
      </c>
      <c r="O209">
        <v>23888550</v>
      </c>
      <c r="P209" s="2">
        <v>11.42787234888681</v>
      </c>
      <c r="Q209" t="str">
        <v/>
      </c>
      <c r="R209" s="2">
        <v>11.42787234888681</v>
      </c>
      <c r="S209" s="5">
        <v>22.096908750000001</v>
      </c>
    </row>
    <row r="210" spans="1:19" x14ac:dyDescent="0.4">
      <c r="A210">
        <v>20210807</v>
      </c>
      <c r="B210" s="1">
        <v>0.5</v>
      </c>
      <c r="C210">
        <v>153887</v>
      </c>
      <c r="D210">
        <v>296138</v>
      </c>
      <c r="E210">
        <v>1286283</v>
      </c>
      <c r="F210">
        <v>795997</v>
      </c>
      <c r="G210">
        <v>26993</v>
      </c>
      <c r="H210">
        <v>259086</v>
      </c>
      <c r="I210">
        <v>162156</v>
      </c>
      <c r="J210">
        <v>180281</v>
      </c>
      <c r="K210">
        <v>-151294</v>
      </c>
      <c r="L210">
        <v>-354</v>
      </c>
      <c r="M210">
        <v>9.32</v>
      </c>
      <c r="N210">
        <v>3009173</v>
      </c>
      <c r="O210">
        <v>23593550</v>
      </c>
      <c r="P210" s="2">
        <v>12.754218843709404</v>
      </c>
      <c r="Q210" t="str">
        <v/>
      </c>
      <c r="R210" s="2">
        <v>12.754218843709404</v>
      </c>
      <c r="S210" s="5">
        <v>21.989188599999999</v>
      </c>
    </row>
    <row r="211" spans="1:19" x14ac:dyDescent="0.4">
      <c r="A211">
        <v>20210807</v>
      </c>
      <c r="B211" s="1">
        <v>0.52083333333333337</v>
      </c>
      <c r="C211">
        <v>169732</v>
      </c>
      <c r="D211">
        <v>540619</v>
      </c>
      <c r="E211">
        <v>1107198</v>
      </c>
      <c r="F211">
        <v>740256</v>
      </c>
      <c r="G211">
        <v>39204</v>
      </c>
      <c r="H211">
        <v>364016</v>
      </c>
      <c r="I211">
        <v>161471</v>
      </c>
      <c r="J211">
        <v>210872</v>
      </c>
      <c r="K211">
        <v>33489</v>
      </c>
      <c r="L211">
        <v>-7788</v>
      </c>
      <c r="M211">
        <v>9.42</v>
      </c>
      <c r="N211">
        <v>3359069</v>
      </c>
      <c r="O211">
        <v>23547850</v>
      </c>
      <c r="P211" s="2">
        <v>14.264864945207313</v>
      </c>
      <c r="Q211" t="str">
        <v/>
      </c>
      <c r="R211" s="2">
        <v>14.264864945207313</v>
      </c>
      <c r="S211" s="5">
        <v>22.182074700000001</v>
      </c>
    </row>
    <row r="212" spans="1:19" x14ac:dyDescent="0.4">
      <c r="A212">
        <v>20210807</v>
      </c>
      <c r="B212" s="1">
        <v>0.54166666666666663</v>
      </c>
      <c r="C212">
        <v>121235</v>
      </c>
      <c r="D212">
        <v>487416</v>
      </c>
      <c r="E212">
        <v>897129</v>
      </c>
      <c r="F212">
        <v>859504</v>
      </c>
      <c r="G212">
        <v>-5102</v>
      </c>
      <c r="H212">
        <v>356221</v>
      </c>
      <c r="I212">
        <v>195835</v>
      </c>
      <c r="J212">
        <v>190543</v>
      </c>
      <c r="K212">
        <v>-126332</v>
      </c>
      <c r="L212">
        <v>-26402</v>
      </c>
      <c r="M212">
        <v>9.56</v>
      </c>
      <c r="N212">
        <v>2950047</v>
      </c>
      <c r="O212">
        <v>22868450</v>
      </c>
      <c r="P212" s="2">
        <v>12.900074119583968</v>
      </c>
      <c r="Q212" t="str">
        <v/>
      </c>
      <c r="R212" s="2">
        <v>12.900074119583968</v>
      </c>
      <c r="S212" s="5">
        <v>21.8622382</v>
      </c>
    </row>
    <row r="213" spans="1:19" x14ac:dyDescent="0.4">
      <c r="A213">
        <v>20210807</v>
      </c>
      <c r="B213" s="1">
        <v>0.5625</v>
      </c>
      <c r="C213">
        <v>106187</v>
      </c>
      <c r="D213">
        <v>552626</v>
      </c>
      <c r="E213">
        <v>953036</v>
      </c>
      <c r="F213">
        <v>867873</v>
      </c>
      <c r="G213">
        <v>-45552</v>
      </c>
      <c r="H213">
        <v>389384</v>
      </c>
      <c r="I213">
        <v>232701</v>
      </c>
      <c r="J213">
        <v>181869</v>
      </c>
      <c r="K213">
        <v>-206366</v>
      </c>
      <c r="L213">
        <v>-28272</v>
      </c>
      <c r="M213">
        <v>9.6199999999999992</v>
      </c>
      <c r="N213">
        <v>3003486</v>
      </c>
      <c r="O213">
        <v>22697850</v>
      </c>
      <c r="P213" s="2">
        <v>13.232469154567504</v>
      </c>
      <c r="Q213" t="str">
        <v/>
      </c>
      <c r="R213" s="2">
        <v>13.232469154567504</v>
      </c>
      <c r="S213" s="5">
        <v>21.835331699999998</v>
      </c>
    </row>
    <row r="214" spans="1:19" x14ac:dyDescent="0.4">
      <c r="A214">
        <v>20210807</v>
      </c>
      <c r="B214" s="1">
        <v>0.58333333333333337</v>
      </c>
      <c r="C214">
        <v>105939</v>
      </c>
      <c r="D214">
        <v>615751</v>
      </c>
      <c r="E214">
        <v>1255458</v>
      </c>
      <c r="F214">
        <v>672212</v>
      </c>
      <c r="G214">
        <v>-28862</v>
      </c>
      <c r="H214">
        <v>276433</v>
      </c>
      <c r="I214">
        <v>272826</v>
      </c>
      <c r="J214">
        <v>174107</v>
      </c>
      <c r="K214">
        <v>-181808</v>
      </c>
      <c r="L214">
        <v>-21018</v>
      </c>
      <c r="M214">
        <v>9.83</v>
      </c>
      <c r="N214">
        <v>3141038</v>
      </c>
      <c r="O214">
        <v>22439400</v>
      </c>
      <c r="P214" s="2">
        <v>13.997869818266086</v>
      </c>
      <c r="Q214" t="str">
        <v/>
      </c>
      <c r="R214" s="2">
        <v>13.997869818266086</v>
      </c>
      <c r="S214" s="5">
        <v>22.057930200000001</v>
      </c>
    </row>
    <row r="215" spans="1:19" x14ac:dyDescent="0.4">
      <c r="A215">
        <v>20210807</v>
      </c>
      <c r="B215" s="1">
        <v>0.60416666666666663</v>
      </c>
      <c r="C215">
        <v>146264</v>
      </c>
      <c r="D215">
        <v>533668</v>
      </c>
      <c r="E215">
        <v>1179444</v>
      </c>
      <c r="F215">
        <v>493087</v>
      </c>
      <c r="G215">
        <v>44654</v>
      </c>
      <c r="H215">
        <v>253708</v>
      </c>
      <c r="I215">
        <v>319284</v>
      </c>
      <c r="J215">
        <v>106066</v>
      </c>
      <c r="K215">
        <v>-170125</v>
      </c>
      <c r="L215">
        <v>-26730</v>
      </c>
      <c r="M215">
        <v>9.91</v>
      </c>
      <c r="N215">
        <v>2879320</v>
      </c>
      <c r="O215">
        <v>22251050</v>
      </c>
      <c r="P215" s="2">
        <v>12.940153386019986</v>
      </c>
      <c r="Q215" t="str">
        <v/>
      </c>
      <c r="R215" s="2">
        <v>12.940153386019986</v>
      </c>
      <c r="S215" s="5">
        <v>22.050790549999999</v>
      </c>
    </row>
    <row r="216" spans="1:19" x14ac:dyDescent="0.4">
      <c r="A216">
        <v>20210807</v>
      </c>
      <c r="B216" s="1">
        <v>0.625</v>
      </c>
      <c r="C216">
        <v>107681</v>
      </c>
      <c r="D216">
        <v>472919</v>
      </c>
      <c r="E216">
        <v>1131797</v>
      </c>
      <c r="F216">
        <v>418803</v>
      </c>
      <c r="G216">
        <v>135466</v>
      </c>
      <c r="H216">
        <v>101155</v>
      </c>
      <c r="I216">
        <v>353784</v>
      </c>
      <c r="J216">
        <v>43736</v>
      </c>
      <c r="K216">
        <v>-208370</v>
      </c>
      <c r="L216">
        <v>-18837</v>
      </c>
      <c r="M216">
        <v>10.19</v>
      </c>
      <c r="N216">
        <v>2538134</v>
      </c>
      <c r="O216">
        <v>22065600</v>
      </c>
      <c r="P216" s="2">
        <v>11.502673845261402</v>
      </c>
      <c r="Q216" t="str">
        <v/>
      </c>
      <c r="R216" s="2">
        <v>11.502673845261402</v>
      </c>
      <c r="S216" s="5">
        <v>22.484846399999999</v>
      </c>
    </row>
    <row r="217" spans="1:19" x14ac:dyDescent="0.4">
      <c r="A217">
        <v>20210807</v>
      </c>
      <c r="B217" s="1">
        <v>0.64583333333333337</v>
      </c>
      <c r="C217">
        <v>117018</v>
      </c>
      <c r="D217">
        <v>449767</v>
      </c>
      <c r="E217">
        <v>973377</v>
      </c>
      <c r="F217">
        <v>240844</v>
      </c>
      <c r="G217">
        <v>167868</v>
      </c>
      <c r="H217">
        <v>92365</v>
      </c>
      <c r="I217">
        <v>228705</v>
      </c>
      <c r="J217">
        <v>14078</v>
      </c>
      <c r="K217">
        <v>-445328</v>
      </c>
      <c r="L217">
        <v>-17565</v>
      </c>
      <c r="M217">
        <v>10.28</v>
      </c>
      <c r="N217">
        <v>1821129</v>
      </c>
      <c r="O217">
        <v>21668050</v>
      </c>
      <c r="P217" s="2">
        <v>8.4046741631111246</v>
      </c>
      <c r="Q217" t="str">
        <v/>
      </c>
      <c r="R217" s="2">
        <v>8.4046741631111246</v>
      </c>
      <c r="S217" s="5">
        <v>22.2747554</v>
      </c>
    </row>
    <row r="218" spans="1:19" x14ac:dyDescent="0.4">
      <c r="A218">
        <v>20210807</v>
      </c>
      <c r="B218" s="1">
        <v>0.66666666666666663</v>
      </c>
      <c r="C218">
        <v>138502</v>
      </c>
      <c r="D218">
        <v>336513</v>
      </c>
      <c r="E218">
        <v>828600</v>
      </c>
      <c r="F218">
        <v>188325</v>
      </c>
      <c r="G218">
        <v>92867</v>
      </c>
      <c r="H218">
        <v>124939</v>
      </c>
      <c r="I218">
        <v>145244</v>
      </c>
      <c r="J218">
        <v>-8448</v>
      </c>
      <c r="K218">
        <v>-429715</v>
      </c>
      <c r="L218">
        <v>2171</v>
      </c>
      <c r="M218">
        <v>10.27</v>
      </c>
      <c r="N218">
        <v>1418998</v>
      </c>
      <c r="O218">
        <v>22251050</v>
      </c>
      <c r="P218" s="2">
        <v>6.3772181537500474</v>
      </c>
      <c r="Q218" t="str">
        <v/>
      </c>
      <c r="R218" s="2">
        <v>6.3772181537500474</v>
      </c>
      <c r="S218" s="5">
        <v>22.851828350000002</v>
      </c>
    </row>
    <row r="219" spans="1:19" x14ac:dyDescent="0.4">
      <c r="A219">
        <v>20210807</v>
      </c>
      <c r="B219" s="1">
        <v>0.6875</v>
      </c>
      <c r="C219">
        <v>122348</v>
      </c>
      <c r="D219">
        <v>373630</v>
      </c>
      <c r="E219">
        <v>764511</v>
      </c>
      <c r="F219">
        <v>153288</v>
      </c>
      <c r="G219">
        <v>49400</v>
      </c>
      <c r="H219">
        <v>-49717</v>
      </c>
      <c r="I219">
        <v>464803</v>
      </c>
      <c r="J219">
        <v>-69057</v>
      </c>
      <c r="K219">
        <v>-329422</v>
      </c>
      <c r="L219">
        <v>3248</v>
      </c>
      <c r="M219">
        <v>10.28</v>
      </c>
      <c r="N219">
        <v>1483032</v>
      </c>
      <c r="O219">
        <v>22028100</v>
      </c>
      <c r="P219" s="2">
        <v>6.7324553638307432</v>
      </c>
      <c r="Q219" t="str">
        <v/>
      </c>
      <c r="R219" s="2">
        <v>6.7324553638307432</v>
      </c>
      <c r="S219" s="5">
        <v>22.644886799999998</v>
      </c>
    </row>
    <row r="220" spans="1:19" x14ac:dyDescent="0.4">
      <c r="A220">
        <v>20210807</v>
      </c>
      <c r="B220" s="1">
        <v>0.70833333333333337</v>
      </c>
      <c r="C220">
        <v>153272</v>
      </c>
      <c r="D220">
        <v>303472</v>
      </c>
      <c r="E220">
        <v>752602</v>
      </c>
      <c r="F220">
        <v>131333</v>
      </c>
      <c r="G220">
        <v>45586</v>
      </c>
      <c r="H220">
        <v>-123184</v>
      </c>
      <c r="I220">
        <v>292010</v>
      </c>
      <c r="J220">
        <v>-105055</v>
      </c>
      <c r="K220">
        <v>-223363</v>
      </c>
      <c r="L220">
        <v>2807</v>
      </c>
      <c r="M220">
        <v>10.28</v>
      </c>
      <c r="N220">
        <v>1229480</v>
      </c>
      <c r="O220">
        <v>21960450</v>
      </c>
      <c r="P220" s="2">
        <v>5.5986102288432162</v>
      </c>
      <c r="Q220" t="str">
        <v/>
      </c>
      <c r="R220" s="2">
        <v>5.5986102288432162</v>
      </c>
      <c r="S220" s="5">
        <v>22.575342599999999</v>
      </c>
    </row>
    <row r="221" spans="1:19" x14ac:dyDescent="0.4">
      <c r="A221">
        <v>20210807</v>
      </c>
      <c r="B221" s="1">
        <v>0.72916666666666663</v>
      </c>
      <c r="C221">
        <v>125273</v>
      </c>
      <c r="D221">
        <v>187063</v>
      </c>
      <c r="E221">
        <v>180462</v>
      </c>
      <c r="F221">
        <v>70886</v>
      </c>
      <c r="G221">
        <v>21053</v>
      </c>
      <c r="H221">
        <v>-201215</v>
      </c>
      <c r="I221">
        <v>182961</v>
      </c>
      <c r="J221">
        <v>-127144</v>
      </c>
      <c r="K221">
        <v>-151545</v>
      </c>
      <c r="L221">
        <v>2299</v>
      </c>
      <c r="M221">
        <v>10.28</v>
      </c>
      <c r="N221">
        <v>290093</v>
      </c>
      <c r="O221">
        <v>21725050</v>
      </c>
      <c r="P221" s="2">
        <v>1.3352926690617513</v>
      </c>
      <c r="Q221" t="str">
        <v/>
      </c>
      <c r="R221" s="2">
        <v>1.3352926690617513</v>
      </c>
      <c r="S221" s="5">
        <v>22.333351400000002</v>
      </c>
    </row>
    <row r="222" spans="1:19" x14ac:dyDescent="0.4">
      <c r="A222">
        <v>20210807</v>
      </c>
      <c r="B222" s="1">
        <v>0.83333333333333337</v>
      </c>
      <c r="C222">
        <v>124494</v>
      </c>
      <c r="D222">
        <v>-22927</v>
      </c>
      <c r="E222">
        <v>-250575</v>
      </c>
      <c r="F222">
        <v>-185878</v>
      </c>
      <c r="G222">
        <v>38908</v>
      </c>
      <c r="H222">
        <v>34345</v>
      </c>
      <c r="I222">
        <v>172839</v>
      </c>
      <c r="J222">
        <v>-7229</v>
      </c>
      <c r="K222">
        <v>319686</v>
      </c>
      <c r="L222">
        <v>-7011</v>
      </c>
      <c r="M222">
        <v>10.25</v>
      </c>
      <c r="N222">
        <v>216652</v>
      </c>
      <c r="O222">
        <v>20781100</v>
      </c>
      <c r="P222" s="2">
        <v>1.0425434649753862</v>
      </c>
      <c r="Q222" t="str">
        <v/>
      </c>
      <c r="R222" s="2">
        <v>1.0425434649753862</v>
      </c>
      <c r="S222" s="5">
        <v>21.300627500000001</v>
      </c>
    </row>
    <row r="223" spans="1:19" x14ac:dyDescent="0.4">
      <c r="A223">
        <v>20210807</v>
      </c>
      <c r="B223" s="1">
        <v>0.85416666666666663</v>
      </c>
      <c r="C223">
        <v>49865</v>
      </c>
      <c r="D223">
        <v>-71774</v>
      </c>
      <c r="E223">
        <v>-212649</v>
      </c>
      <c r="F223">
        <v>-167039</v>
      </c>
      <c r="G223">
        <v>23147</v>
      </c>
      <c r="H223">
        <v>103071</v>
      </c>
      <c r="I223">
        <v>177987</v>
      </c>
      <c r="J223">
        <v>-24176</v>
      </c>
      <c r="K223">
        <v>331696</v>
      </c>
      <c r="L223">
        <v>-2388</v>
      </c>
      <c r="M223">
        <v>9.92</v>
      </c>
      <c r="N223">
        <v>207740</v>
      </c>
      <c r="O223">
        <v>20830750</v>
      </c>
      <c r="P223" s="2">
        <v>0.99727566218211061</v>
      </c>
      <c r="Q223" t="str">
        <v/>
      </c>
      <c r="R223" s="2">
        <v>0.99727566218211061</v>
      </c>
      <c r="S223" s="5">
        <v>20.664103999999998</v>
      </c>
    </row>
    <row r="224" spans="1:19" x14ac:dyDescent="0.4">
      <c r="A224">
        <v>20210807</v>
      </c>
      <c r="B224" s="1">
        <v>0.875</v>
      </c>
      <c r="C224">
        <v>96737</v>
      </c>
      <c r="D224">
        <v>-102137</v>
      </c>
      <c r="E224">
        <v>-278505</v>
      </c>
      <c r="F224">
        <v>-214867</v>
      </c>
      <c r="G224">
        <v>40282</v>
      </c>
      <c r="H224">
        <v>69688</v>
      </c>
      <c r="I224">
        <v>162067</v>
      </c>
      <c r="J224">
        <v>-19948</v>
      </c>
      <c r="K224">
        <v>337342</v>
      </c>
      <c r="L224">
        <v>-5826</v>
      </c>
      <c r="M224">
        <v>9.56</v>
      </c>
      <c r="N224">
        <v>84833</v>
      </c>
      <c r="O224">
        <v>20839700</v>
      </c>
      <c r="P224" s="2">
        <v>0.40707399818615431</v>
      </c>
      <c r="Q224" t="str">
        <v/>
      </c>
      <c r="R224" s="2">
        <v>0.40707399818615431</v>
      </c>
      <c r="S224" s="5">
        <v>19.922753199999999</v>
      </c>
    </row>
    <row r="225" spans="1:19" x14ac:dyDescent="0.4">
      <c r="A225">
        <v>20210808</v>
      </c>
      <c r="B225" s="1">
        <v>0</v>
      </c>
      <c r="C225">
        <v>54229</v>
      </c>
      <c r="D225">
        <v>58903</v>
      </c>
      <c r="E225">
        <v>-236534</v>
      </c>
      <c r="F225">
        <v>-20506</v>
      </c>
      <c r="G225">
        <v>66138</v>
      </c>
      <c r="H225">
        <v>55083</v>
      </c>
      <c r="I225">
        <v>-8437</v>
      </c>
      <c r="J225">
        <v>33329</v>
      </c>
      <c r="K225">
        <v>136491</v>
      </c>
      <c r="L225">
        <v>-4634</v>
      </c>
      <c r="M225">
        <v>7.06</v>
      </c>
      <c r="N225">
        <v>134062</v>
      </c>
      <c r="O225">
        <v>17645000</v>
      </c>
      <c r="P225" s="2">
        <v>0.75977330688580336</v>
      </c>
      <c r="Q225" t="str">
        <v/>
      </c>
      <c r="R225" s="2">
        <v>0.75977330688580336</v>
      </c>
      <c r="S225" s="5">
        <v>12.457369999999999</v>
      </c>
    </row>
    <row r="226" spans="1:19" x14ac:dyDescent="0.4">
      <c r="A226">
        <v>20210808</v>
      </c>
      <c r="B226" s="1">
        <v>2.0833333333333332E-2</v>
      </c>
      <c r="C226">
        <v>84659</v>
      </c>
      <c r="D226">
        <v>46883</v>
      </c>
      <c r="E226">
        <v>-226089</v>
      </c>
      <c r="F226">
        <v>-9188</v>
      </c>
      <c r="G226">
        <v>53155</v>
      </c>
      <c r="H226">
        <v>82302</v>
      </c>
      <c r="I226">
        <v>-5950</v>
      </c>
      <c r="J226">
        <v>24092</v>
      </c>
      <c r="K226">
        <v>149281</v>
      </c>
      <c r="L226">
        <v>1990</v>
      </c>
      <c r="M226">
        <v>6.96</v>
      </c>
      <c r="N226">
        <v>201135</v>
      </c>
      <c r="O226">
        <v>18889950</v>
      </c>
      <c r="P226" s="2">
        <v>1.0647725377780248</v>
      </c>
      <c r="Q226" t="str">
        <v/>
      </c>
      <c r="R226" s="2">
        <v>1.0647725377780248</v>
      </c>
      <c r="S226" s="5">
        <v>13.1474052</v>
      </c>
    </row>
    <row r="227" spans="1:19" x14ac:dyDescent="0.4">
      <c r="A227">
        <v>20210808</v>
      </c>
      <c r="B227" s="1">
        <v>4.1666666666666664E-2</v>
      </c>
      <c r="C227">
        <v>77848</v>
      </c>
      <c r="D227">
        <v>60925</v>
      </c>
      <c r="E227">
        <v>-176887</v>
      </c>
      <c r="F227">
        <v>-1388</v>
      </c>
      <c r="G227">
        <v>31848</v>
      </c>
      <c r="H227">
        <v>120489</v>
      </c>
      <c r="I227">
        <v>-5469</v>
      </c>
      <c r="J227">
        <v>38755</v>
      </c>
      <c r="K227">
        <v>114785</v>
      </c>
      <c r="L227">
        <v>-2137</v>
      </c>
      <c r="M227">
        <v>7</v>
      </c>
      <c r="N227">
        <v>258769</v>
      </c>
      <c r="O227">
        <v>19375700</v>
      </c>
      <c r="P227" s="2">
        <v>1.3355336839443219</v>
      </c>
      <c r="Q227" t="str">
        <v/>
      </c>
      <c r="R227" s="2">
        <v>1.3355336839443219</v>
      </c>
      <c r="S227" s="5">
        <v>13.562989999999999</v>
      </c>
    </row>
    <row r="228" spans="1:19" x14ac:dyDescent="0.4">
      <c r="A228">
        <v>20210808</v>
      </c>
      <c r="B228" s="1">
        <v>6.25E-2</v>
      </c>
      <c r="C228">
        <v>68455</v>
      </c>
      <c r="D228">
        <v>55356</v>
      </c>
      <c r="E228">
        <v>-150461</v>
      </c>
      <c r="F228">
        <v>82619</v>
      </c>
      <c r="G228">
        <v>56234</v>
      </c>
      <c r="H228">
        <v>42936</v>
      </c>
      <c r="I228">
        <v>-57658</v>
      </c>
      <c r="J228">
        <v>51307</v>
      </c>
      <c r="K228">
        <v>119910</v>
      </c>
      <c r="L228">
        <v>-1293</v>
      </c>
      <c r="M228">
        <v>7</v>
      </c>
      <c r="N228">
        <v>267405</v>
      </c>
      <c r="O228">
        <v>19447250</v>
      </c>
      <c r="P228" s="2">
        <v>1.3750273174870482</v>
      </c>
      <c r="Q228" t="str">
        <v/>
      </c>
      <c r="R228" s="2">
        <v>1.3750273174870482</v>
      </c>
      <c r="S228" s="5">
        <v>13.613075</v>
      </c>
    </row>
    <row r="229" spans="1:19" x14ac:dyDescent="0.4">
      <c r="A229">
        <v>20210808</v>
      </c>
      <c r="B229" s="1">
        <v>8.3333333333333329E-2</v>
      </c>
      <c r="C229">
        <v>65264</v>
      </c>
      <c r="D229">
        <v>42781</v>
      </c>
      <c r="E229">
        <v>-118994</v>
      </c>
      <c r="F229">
        <v>45084</v>
      </c>
      <c r="G229">
        <v>28851</v>
      </c>
      <c r="H229">
        <v>93911</v>
      </c>
      <c r="I229">
        <v>52069</v>
      </c>
      <c r="J229">
        <v>67278</v>
      </c>
      <c r="K229">
        <v>88207</v>
      </c>
      <c r="L229">
        <v>977</v>
      </c>
      <c r="M229">
        <v>7.84</v>
      </c>
      <c r="N229">
        <v>365428</v>
      </c>
      <c r="O229">
        <v>19513850</v>
      </c>
      <c r="P229" s="2">
        <v>1.8726596750513098</v>
      </c>
      <c r="Q229" t="str">
        <v/>
      </c>
      <c r="R229" s="2">
        <v>1.8726596750513098</v>
      </c>
      <c r="S229" s="5">
        <v>15.2988584</v>
      </c>
    </row>
    <row r="230" spans="1:19" x14ac:dyDescent="0.4">
      <c r="A230">
        <v>20210808</v>
      </c>
      <c r="B230" s="1">
        <v>0.10416666666666667</v>
      </c>
      <c r="C230">
        <v>118444</v>
      </c>
      <c r="D230">
        <v>59166</v>
      </c>
      <c r="E230">
        <v>-159251</v>
      </c>
      <c r="F230">
        <v>129963</v>
      </c>
      <c r="G230">
        <v>57464</v>
      </c>
      <c r="H230">
        <v>-19659</v>
      </c>
      <c r="I230">
        <v>-775</v>
      </c>
      <c r="J230">
        <v>56352</v>
      </c>
      <c r="K230">
        <v>88148</v>
      </c>
      <c r="L230">
        <v>-6497</v>
      </c>
      <c r="M230">
        <v>7.44</v>
      </c>
      <c r="N230">
        <v>323355</v>
      </c>
      <c r="O230">
        <v>19505550</v>
      </c>
      <c r="P230" s="2">
        <v>1.6577589455308874</v>
      </c>
      <c r="Q230" t="str">
        <v/>
      </c>
      <c r="R230" s="2">
        <v>1.6577589455308874</v>
      </c>
      <c r="S230" s="5">
        <v>14.5121292</v>
      </c>
    </row>
    <row r="231" spans="1:19" x14ac:dyDescent="0.4">
      <c r="A231">
        <v>20210808</v>
      </c>
      <c r="B231" s="1">
        <v>0.125</v>
      </c>
      <c r="C231">
        <v>80868</v>
      </c>
      <c r="D231">
        <v>30329</v>
      </c>
      <c r="E231">
        <v>-148779</v>
      </c>
      <c r="F231">
        <v>116943</v>
      </c>
      <c r="G231">
        <v>23366</v>
      </c>
      <c r="H231">
        <v>107966</v>
      </c>
      <c r="I231">
        <v>-21903</v>
      </c>
      <c r="J231">
        <v>38836</v>
      </c>
      <c r="K231">
        <v>98759</v>
      </c>
      <c r="L231">
        <v>-3623</v>
      </c>
      <c r="M231">
        <v>6.94</v>
      </c>
      <c r="N231">
        <v>322762</v>
      </c>
      <c r="O231">
        <v>19702200</v>
      </c>
      <c r="P231" s="2">
        <v>1.6382028402919471</v>
      </c>
      <c r="Q231" t="str">
        <v/>
      </c>
      <c r="R231" s="2">
        <v>1.6382028402919471</v>
      </c>
      <c r="S231" s="5">
        <v>13.6733268</v>
      </c>
    </row>
    <row r="232" spans="1:19" x14ac:dyDescent="0.4">
      <c r="A232">
        <v>20210808</v>
      </c>
      <c r="B232" s="1">
        <v>0.14583333333333334</v>
      </c>
      <c r="C232">
        <v>79820</v>
      </c>
      <c r="D232">
        <v>38839</v>
      </c>
      <c r="E232">
        <v>-119780</v>
      </c>
      <c r="F232">
        <v>195959</v>
      </c>
      <c r="G232">
        <v>29073</v>
      </c>
      <c r="H232">
        <v>81449</v>
      </c>
      <c r="I232">
        <v>12722</v>
      </c>
      <c r="J232">
        <v>39126</v>
      </c>
      <c r="K232">
        <v>78746</v>
      </c>
      <c r="L232">
        <v>5926</v>
      </c>
      <c r="M232">
        <v>6.94</v>
      </c>
      <c r="N232">
        <v>441880</v>
      </c>
      <c r="O232">
        <v>19815100</v>
      </c>
      <c r="P232" s="2">
        <v>2.2300165025662246</v>
      </c>
      <c r="Q232" t="str">
        <v/>
      </c>
      <c r="R232" s="2">
        <v>2.2300165025662246</v>
      </c>
      <c r="S232" s="5">
        <v>13.7516794</v>
      </c>
    </row>
    <row r="233" spans="1:19" x14ac:dyDescent="0.4">
      <c r="A233">
        <v>20210808</v>
      </c>
      <c r="B233" s="1">
        <v>0.16666666666666666</v>
      </c>
      <c r="C233">
        <v>60289</v>
      </c>
      <c r="D233">
        <v>46403</v>
      </c>
      <c r="E233">
        <v>-64142</v>
      </c>
      <c r="F233">
        <v>125069</v>
      </c>
      <c r="G233">
        <v>18652</v>
      </c>
      <c r="H233">
        <v>194410</v>
      </c>
      <c r="I233">
        <v>33761</v>
      </c>
      <c r="J233">
        <v>56829</v>
      </c>
      <c r="K233">
        <v>41107</v>
      </c>
      <c r="L233">
        <v>15743</v>
      </c>
      <c r="M233">
        <v>6.87</v>
      </c>
      <c r="N233">
        <v>528121</v>
      </c>
      <c r="O233">
        <v>19990900</v>
      </c>
      <c r="P233" s="2">
        <v>2.6418070221950987</v>
      </c>
      <c r="Q233" t="str">
        <v/>
      </c>
      <c r="R233" s="2">
        <v>2.6418070221950987</v>
      </c>
      <c r="S233" s="5">
        <v>13.7337483</v>
      </c>
    </row>
    <row r="234" spans="1:19" x14ac:dyDescent="0.4">
      <c r="A234">
        <v>20210808</v>
      </c>
      <c r="B234" s="1">
        <v>0.1875</v>
      </c>
      <c r="C234">
        <v>70110</v>
      </c>
      <c r="D234">
        <v>4034</v>
      </c>
      <c r="E234">
        <v>-17158</v>
      </c>
      <c r="F234">
        <v>140873</v>
      </c>
      <c r="G234">
        <v>37605</v>
      </c>
      <c r="H234">
        <v>101959</v>
      </c>
      <c r="I234">
        <v>75851</v>
      </c>
      <c r="J234">
        <v>59783</v>
      </c>
      <c r="K234">
        <v>-4830</v>
      </c>
      <c r="L234">
        <v>8171</v>
      </c>
      <c r="M234">
        <v>6.95</v>
      </c>
      <c r="N234">
        <v>476398</v>
      </c>
      <c r="O234">
        <v>20039850</v>
      </c>
      <c r="P234" s="2">
        <v>2.3772533227544117</v>
      </c>
      <c r="Q234" t="str">
        <v/>
      </c>
      <c r="R234" s="2">
        <v>2.3772533227544117</v>
      </c>
      <c r="S234" s="5">
        <v>13.92769575</v>
      </c>
    </row>
    <row r="235" spans="1:19" x14ac:dyDescent="0.4">
      <c r="A235">
        <v>20210808</v>
      </c>
      <c r="B235" s="1">
        <v>0.20833333333333334</v>
      </c>
      <c r="C235">
        <v>64763</v>
      </c>
      <c r="D235">
        <v>-20967</v>
      </c>
      <c r="E235">
        <v>-21767</v>
      </c>
      <c r="F235">
        <v>130625</v>
      </c>
      <c r="G235">
        <v>42758</v>
      </c>
      <c r="H235">
        <v>108774</v>
      </c>
      <c r="I235">
        <v>48735</v>
      </c>
      <c r="J235">
        <v>63091</v>
      </c>
      <c r="K235">
        <v>-28884</v>
      </c>
      <c r="L235">
        <v>4469</v>
      </c>
      <c r="M235">
        <v>6.92</v>
      </c>
      <c r="N235">
        <v>391597</v>
      </c>
      <c r="O235">
        <v>20022400</v>
      </c>
      <c r="P235" s="2">
        <v>1.9557945101486336</v>
      </c>
      <c r="Q235" t="str">
        <v/>
      </c>
      <c r="R235" s="2">
        <v>1.9557945101486336</v>
      </c>
      <c r="S235" s="5">
        <v>13.8555008</v>
      </c>
    </row>
    <row r="236" spans="1:19" x14ac:dyDescent="0.4">
      <c r="A236">
        <v>20210808</v>
      </c>
      <c r="B236" s="1">
        <v>0.22916666666666666</v>
      </c>
      <c r="C236">
        <v>8974</v>
      </c>
      <c r="D236">
        <v>78641</v>
      </c>
      <c r="E236">
        <v>113699</v>
      </c>
      <c r="F236">
        <v>173730</v>
      </c>
      <c r="G236">
        <v>22712</v>
      </c>
      <c r="H236">
        <v>103703</v>
      </c>
      <c r="I236">
        <v>61111</v>
      </c>
      <c r="J236">
        <v>56794</v>
      </c>
      <c r="K236">
        <v>-45323</v>
      </c>
      <c r="L236">
        <v>7937</v>
      </c>
      <c r="M236">
        <v>6.85</v>
      </c>
      <c r="N236">
        <v>581978</v>
      </c>
      <c r="O236">
        <v>20139150</v>
      </c>
      <c r="P236" s="2">
        <v>2.8897843255549516</v>
      </c>
      <c r="Q236" t="str">
        <v/>
      </c>
      <c r="R236" s="2">
        <v>2.8897843255549516</v>
      </c>
      <c r="S236" s="5">
        <v>13.795317750000001</v>
      </c>
    </row>
    <row r="237" spans="1:19" x14ac:dyDescent="0.4">
      <c r="A237">
        <v>20210808</v>
      </c>
      <c r="B237" s="1">
        <v>0.25</v>
      </c>
      <c r="C237">
        <v>70948</v>
      </c>
      <c r="D237">
        <v>59556</v>
      </c>
      <c r="E237">
        <v>215590</v>
      </c>
      <c r="F237">
        <v>-6013</v>
      </c>
      <c r="G237">
        <v>53088</v>
      </c>
      <c r="H237">
        <v>78955</v>
      </c>
      <c r="I237">
        <v>-44398</v>
      </c>
      <c r="J237">
        <v>67996</v>
      </c>
      <c r="K237">
        <v>-112991</v>
      </c>
      <c r="L237">
        <v>-6272</v>
      </c>
      <c r="M237">
        <v>6.95</v>
      </c>
      <c r="N237">
        <v>376459</v>
      </c>
      <c r="O237">
        <v>20612950</v>
      </c>
      <c r="P237" s="2">
        <v>1.8263227728199991</v>
      </c>
      <c r="Q237" t="str">
        <v/>
      </c>
      <c r="R237" s="2">
        <v>1.8263227728199991</v>
      </c>
      <c r="S237" s="5">
        <v>14.32600025</v>
      </c>
    </row>
    <row r="238" spans="1:19" x14ac:dyDescent="0.4">
      <c r="A238">
        <v>20210808</v>
      </c>
      <c r="B238" s="1">
        <v>0.27083333333333331</v>
      </c>
      <c r="C238">
        <v>47851</v>
      </c>
      <c r="D238">
        <v>49214</v>
      </c>
      <c r="E238">
        <v>383016</v>
      </c>
      <c r="F238">
        <v>-181582</v>
      </c>
      <c r="G238">
        <v>55762</v>
      </c>
      <c r="H238">
        <v>67314</v>
      </c>
      <c r="I238">
        <v>193975</v>
      </c>
      <c r="J238">
        <v>82426</v>
      </c>
      <c r="K238">
        <v>-93035</v>
      </c>
      <c r="L238">
        <v>-10225</v>
      </c>
      <c r="M238">
        <v>6.95</v>
      </c>
      <c r="N238">
        <v>594716</v>
      </c>
      <c r="O238">
        <v>20923700</v>
      </c>
      <c r="P238" s="2">
        <v>2.8423080047983866</v>
      </c>
      <c r="Q238" t="str">
        <v/>
      </c>
      <c r="R238" s="2">
        <v>2.8423080047983866</v>
      </c>
      <c r="S238" s="5">
        <v>14.541971500000001</v>
      </c>
    </row>
    <row r="239" spans="1:19" x14ac:dyDescent="0.4">
      <c r="A239">
        <v>20210808</v>
      </c>
      <c r="B239" s="1">
        <v>0.29166666666666669</v>
      </c>
      <c r="C239">
        <v>125240</v>
      </c>
      <c r="D239">
        <v>121973</v>
      </c>
      <c r="E239">
        <v>655072</v>
      </c>
      <c r="F239">
        <v>-108237</v>
      </c>
      <c r="G239">
        <v>67013</v>
      </c>
      <c r="H239">
        <v>-160527</v>
      </c>
      <c r="I239">
        <v>310097</v>
      </c>
      <c r="J239">
        <v>74451</v>
      </c>
      <c r="K239">
        <v>-33750</v>
      </c>
      <c r="L239">
        <v>-14164</v>
      </c>
      <c r="M239">
        <v>6.92</v>
      </c>
      <c r="N239">
        <v>1037168</v>
      </c>
      <c r="O239">
        <v>21295200</v>
      </c>
      <c r="P239" s="2">
        <v>4.8704308952252147</v>
      </c>
      <c r="Q239" t="str">
        <v/>
      </c>
      <c r="R239" s="2">
        <v>4.8704308952252147</v>
      </c>
      <c r="S239" s="5">
        <v>14.7362784</v>
      </c>
    </row>
    <row r="240" spans="1:19" x14ac:dyDescent="0.4">
      <c r="A240">
        <v>20210808</v>
      </c>
      <c r="B240" s="1">
        <v>0.3125</v>
      </c>
      <c r="C240">
        <v>152469</v>
      </c>
      <c r="D240">
        <v>100504</v>
      </c>
      <c r="E240">
        <v>798295</v>
      </c>
      <c r="F240">
        <v>-181684</v>
      </c>
      <c r="G240">
        <v>54331</v>
      </c>
      <c r="H240">
        <v>-14964</v>
      </c>
      <c r="I240">
        <v>497572</v>
      </c>
      <c r="J240">
        <v>151026</v>
      </c>
      <c r="K240">
        <v>113074</v>
      </c>
      <c r="L240">
        <v>-25051</v>
      </c>
      <c r="M240">
        <v>6.92</v>
      </c>
      <c r="N240">
        <v>1645572</v>
      </c>
      <c r="O240">
        <v>21662850</v>
      </c>
      <c r="P240" s="2">
        <v>7.5962858072691271</v>
      </c>
      <c r="Q240" t="str">
        <v/>
      </c>
      <c r="R240" s="2">
        <v>7.5962858072691271</v>
      </c>
      <c r="S240" s="5">
        <v>14.9906922</v>
      </c>
    </row>
    <row r="241" spans="1:19" x14ac:dyDescent="0.4">
      <c r="A241">
        <v>20210808</v>
      </c>
      <c r="B241" s="1">
        <v>0.33333333333333331</v>
      </c>
      <c r="C241">
        <v>159078</v>
      </c>
      <c r="D241">
        <v>176340</v>
      </c>
      <c r="E241">
        <v>1144746</v>
      </c>
      <c r="F241">
        <v>-208706</v>
      </c>
      <c r="G241">
        <v>64206</v>
      </c>
      <c r="H241">
        <v>7097</v>
      </c>
      <c r="I241">
        <v>152561</v>
      </c>
      <c r="J241">
        <v>188064</v>
      </c>
      <c r="K241">
        <v>189589</v>
      </c>
      <c r="L241">
        <v>-30705</v>
      </c>
      <c r="M241">
        <v>7.14</v>
      </c>
      <c r="N241">
        <v>1842270</v>
      </c>
      <c r="O241">
        <v>22330900</v>
      </c>
      <c r="P241" s="2">
        <v>8.2498690155793089</v>
      </c>
      <c r="Q241" t="str">
        <v/>
      </c>
      <c r="R241" s="2">
        <v>8.2498690155793089</v>
      </c>
      <c r="S241" s="5">
        <v>15.9442626</v>
      </c>
    </row>
    <row r="242" spans="1:19" x14ac:dyDescent="0.4">
      <c r="A242">
        <v>20210808</v>
      </c>
      <c r="B242" s="1">
        <v>0.35416666666666669</v>
      </c>
      <c r="C242">
        <v>216058</v>
      </c>
      <c r="D242">
        <v>253266</v>
      </c>
      <c r="E242">
        <v>1287225</v>
      </c>
      <c r="F242">
        <v>-165340</v>
      </c>
      <c r="G242">
        <v>116439</v>
      </c>
      <c r="H242">
        <v>31190</v>
      </c>
      <c r="I242">
        <v>99778</v>
      </c>
      <c r="J242">
        <v>206980</v>
      </c>
      <c r="K242">
        <v>309592</v>
      </c>
      <c r="L242">
        <v>-41067</v>
      </c>
      <c r="M242">
        <v>7.17</v>
      </c>
      <c r="N242">
        <v>2314121</v>
      </c>
      <c r="O242">
        <v>22274050</v>
      </c>
      <c r="P242" s="2">
        <v>10.389314022371325</v>
      </c>
      <c r="Q242" t="str">
        <v/>
      </c>
      <c r="R242" s="2">
        <v>10.389314022371325</v>
      </c>
      <c r="S242" s="5">
        <v>15.97049385</v>
      </c>
    </row>
    <row r="243" spans="1:19" x14ac:dyDescent="0.4">
      <c r="A243">
        <v>20210808</v>
      </c>
      <c r="B243" s="1">
        <v>0.375</v>
      </c>
      <c r="C243">
        <v>227502</v>
      </c>
      <c r="D243">
        <v>388893</v>
      </c>
      <c r="E243">
        <v>1540519</v>
      </c>
      <c r="F243">
        <v>42312</v>
      </c>
      <c r="G243">
        <v>177878</v>
      </c>
      <c r="H243">
        <v>62281</v>
      </c>
      <c r="I243">
        <v>347</v>
      </c>
      <c r="J243">
        <v>214518</v>
      </c>
      <c r="K243">
        <v>327216</v>
      </c>
      <c r="L243">
        <v>-24275</v>
      </c>
      <c r="M243">
        <v>7.89</v>
      </c>
      <c r="N243">
        <v>2957191</v>
      </c>
      <c r="O243">
        <v>22277300</v>
      </c>
      <c r="P243" s="2">
        <v>13.274458753978266</v>
      </c>
      <c r="Q243" t="str">
        <v/>
      </c>
      <c r="R243" s="2">
        <v>13.274458753978266</v>
      </c>
      <c r="S243" s="5">
        <v>17.576789699999999</v>
      </c>
    </row>
    <row r="244" spans="1:19" x14ac:dyDescent="0.4">
      <c r="A244">
        <v>20210808</v>
      </c>
      <c r="B244" s="1">
        <v>0.39583333333333331</v>
      </c>
      <c r="C244">
        <v>278391</v>
      </c>
      <c r="D244">
        <v>438295</v>
      </c>
      <c r="E244">
        <v>1332432</v>
      </c>
      <c r="F244">
        <v>54662</v>
      </c>
      <c r="G244">
        <v>191678</v>
      </c>
      <c r="H244">
        <v>116951</v>
      </c>
      <c r="I244">
        <v>-1948</v>
      </c>
      <c r="J244">
        <v>196931</v>
      </c>
      <c r="K244">
        <v>196014</v>
      </c>
      <c r="L244">
        <v>-13176</v>
      </c>
      <c r="M244">
        <v>7.88</v>
      </c>
      <c r="N244">
        <v>2790230</v>
      </c>
      <c r="O244">
        <v>22331300</v>
      </c>
      <c r="P244" s="2">
        <v>12.494704741774997</v>
      </c>
      <c r="Q244" t="str">
        <v/>
      </c>
      <c r="R244" s="2">
        <v>12.494704741774997</v>
      </c>
      <c r="S244" s="5">
        <v>17.597064400000001</v>
      </c>
    </row>
    <row r="245" spans="1:19" x14ac:dyDescent="0.4">
      <c r="A245">
        <v>20210808</v>
      </c>
      <c r="B245" s="1">
        <v>0.41666666666666669</v>
      </c>
      <c r="C245">
        <v>281746</v>
      </c>
      <c r="D245">
        <v>466429</v>
      </c>
      <c r="E245">
        <v>1448572</v>
      </c>
      <c r="F245">
        <v>193578</v>
      </c>
      <c r="G245">
        <v>224651</v>
      </c>
      <c r="H245">
        <v>338633</v>
      </c>
      <c r="I245">
        <v>137108</v>
      </c>
      <c r="J245">
        <v>210449</v>
      </c>
      <c r="K245">
        <v>87777</v>
      </c>
      <c r="L245">
        <v>-20152</v>
      </c>
      <c r="M245">
        <v>7.89</v>
      </c>
      <c r="N245">
        <v>3368791</v>
      </c>
      <c r="O245">
        <v>22522350</v>
      </c>
      <c r="P245" s="2">
        <v>14.95754661480707</v>
      </c>
      <c r="Q245" t="str">
        <v/>
      </c>
      <c r="R245" s="2">
        <v>14.95754661480707</v>
      </c>
      <c r="S245" s="5">
        <v>17.770134150000001</v>
      </c>
    </row>
    <row r="246" spans="1:19" x14ac:dyDescent="0.4">
      <c r="A246">
        <v>20210808</v>
      </c>
      <c r="B246" s="1">
        <v>0.4375</v>
      </c>
      <c r="C246">
        <v>357409</v>
      </c>
      <c r="D246">
        <v>492776</v>
      </c>
      <c r="E246">
        <v>1432045</v>
      </c>
      <c r="F246">
        <v>206774</v>
      </c>
      <c r="G246">
        <v>158242</v>
      </c>
      <c r="H246">
        <v>462544</v>
      </c>
      <c r="I246">
        <v>200273</v>
      </c>
      <c r="J246">
        <v>206911</v>
      </c>
      <c r="K246">
        <v>52203</v>
      </c>
      <c r="L246">
        <v>1330</v>
      </c>
      <c r="M246">
        <v>7.89</v>
      </c>
      <c r="N246">
        <v>3570507</v>
      </c>
      <c r="O246">
        <v>22593700</v>
      </c>
      <c r="P246" s="2">
        <v>15.803108831222863</v>
      </c>
      <c r="Q246" t="str">
        <v/>
      </c>
      <c r="R246" s="2">
        <v>15.803108831222863</v>
      </c>
      <c r="S246" s="5">
        <v>17.826429300000001</v>
      </c>
    </row>
    <row r="247" spans="1:19" x14ac:dyDescent="0.4">
      <c r="A247">
        <v>20210808</v>
      </c>
      <c r="B247" s="1">
        <v>0.45833333333333331</v>
      </c>
      <c r="C247">
        <v>325839</v>
      </c>
      <c r="D247">
        <v>546336</v>
      </c>
      <c r="E247">
        <v>1033379</v>
      </c>
      <c r="F247">
        <v>234636</v>
      </c>
      <c r="G247">
        <v>135649</v>
      </c>
      <c r="H247">
        <v>542100</v>
      </c>
      <c r="I247">
        <v>278475</v>
      </c>
      <c r="J247">
        <v>204809</v>
      </c>
      <c r="K247">
        <v>98699</v>
      </c>
      <c r="L247">
        <v>-18993</v>
      </c>
      <c r="M247">
        <v>8.86</v>
      </c>
      <c r="N247">
        <v>3380929</v>
      </c>
      <c r="O247">
        <v>22791500</v>
      </c>
      <c r="P247" s="2">
        <v>14.834166246188271</v>
      </c>
      <c r="Q247" t="str">
        <v/>
      </c>
      <c r="R247" s="2">
        <v>14.834166246188271</v>
      </c>
      <c r="S247" s="5">
        <v>20.193269000000001</v>
      </c>
    </row>
    <row r="248" spans="1:19" x14ac:dyDescent="0.4">
      <c r="A248">
        <v>20210808</v>
      </c>
      <c r="B248" s="1">
        <v>0.47916666666666669</v>
      </c>
      <c r="C248">
        <v>366487</v>
      </c>
      <c r="D248">
        <v>596466</v>
      </c>
      <c r="E248">
        <v>599381</v>
      </c>
      <c r="F248">
        <v>89554</v>
      </c>
      <c r="G248">
        <v>128792</v>
      </c>
      <c r="H248">
        <v>386752</v>
      </c>
      <c r="I248">
        <v>270104</v>
      </c>
      <c r="J248">
        <v>196728</v>
      </c>
      <c r="K248">
        <v>-257067</v>
      </c>
      <c r="L248">
        <v>-15946</v>
      </c>
      <c r="M248">
        <v>8.86</v>
      </c>
      <c r="N248">
        <v>2361251</v>
      </c>
      <c r="O248">
        <v>23309600</v>
      </c>
      <c r="P248" s="2">
        <v>10.129950749905618</v>
      </c>
      <c r="Q248" t="str">
        <v/>
      </c>
      <c r="R248" s="2">
        <v>10.129950749905618</v>
      </c>
      <c r="S248" s="5">
        <v>20.652305599999998</v>
      </c>
    </row>
    <row r="249" spans="1:19" x14ac:dyDescent="0.4">
      <c r="A249">
        <v>20210808</v>
      </c>
      <c r="B249" s="1">
        <v>0.5</v>
      </c>
      <c r="C249">
        <v>308479</v>
      </c>
      <c r="D249">
        <v>563289</v>
      </c>
      <c r="E249">
        <v>336776</v>
      </c>
      <c r="F249">
        <v>112074</v>
      </c>
      <c r="G249">
        <v>97869</v>
      </c>
      <c r="H249">
        <v>362947</v>
      </c>
      <c r="I249">
        <v>282545</v>
      </c>
      <c r="J249">
        <v>147050</v>
      </c>
      <c r="K249">
        <v>-409302</v>
      </c>
      <c r="L249">
        <v>-3482</v>
      </c>
      <c r="M249">
        <v>8.86</v>
      </c>
      <c r="N249">
        <v>1798245</v>
      </c>
      <c r="O249">
        <v>23480600</v>
      </c>
      <c r="P249" s="2">
        <v>7.6584286602557006</v>
      </c>
      <c r="Q249" t="str">
        <v/>
      </c>
      <c r="R249" s="2">
        <v>7.6584286602557006</v>
      </c>
      <c r="S249" s="5">
        <v>20.8038116</v>
      </c>
    </row>
    <row r="250" spans="1:19" x14ac:dyDescent="0.4">
      <c r="A250">
        <v>20210808</v>
      </c>
      <c r="B250" s="1">
        <v>0.52083333333333337</v>
      </c>
      <c r="C250">
        <v>306680</v>
      </c>
      <c r="D250">
        <v>625405</v>
      </c>
      <c r="E250">
        <v>473338</v>
      </c>
      <c r="F250">
        <v>220175</v>
      </c>
      <c r="G250">
        <v>93914</v>
      </c>
      <c r="H250">
        <v>427838</v>
      </c>
      <c r="I250">
        <v>231938</v>
      </c>
      <c r="J250">
        <v>174276</v>
      </c>
      <c r="K250">
        <v>-618892</v>
      </c>
      <c r="L250">
        <v>-3180</v>
      </c>
      <c r="M250">
        <v>8.86</v>
      </c>
      <c r="N250">
        <v>1931492</v>
      </c>
      <c r="O250">
        <v>23530750</v>
      </c>
      <c r="P250" s="2">
        <v>8.2083741487202921</v>
      </c>
      <c r="Q250" t="str">
        <v/>
      </c>
      <c r="R250" s="2">
        <v>8.2083741487202921</v>
      </c>
      <c r="S250" s="5">
        <v>20.8482445</v>
      </c>
    </row>
    <row r="251" spans="1:19" x14ac:dyDescent="0.4">
      <c r="A251">
        <v>20210808</v>
      </c>
      <c r="B251" s="1">
        <v>0.54166666666666663</v>
      </c>
      <c r="C251">
        <v>225062</v>
      </c>
      <c r="D251">
        <v>674503</v>
      </c>
      <c r="E251">
        <v>247097</v>
      </c>
      <c r="F251">
        <v>293671</v>
      </c>
      <c r="G251">
        <v>65645</v>
      </c>
      <c r="H251">
        <v>347780</v>
      </c>
      <c r="I251">
        <v>349224</v>
      </c>
      <c r="J251">
        <v>105314</v>
      </c>
      <c r="K251">
        <v>-767606</v>
      </c>
      <c r="L251">
        <v>-13621</v>
      </c>
      <c r="M251">
        <v>8.86</v>
      </c>
      <c r="N251">
        <v>1527069</v>
      </c>
      <c r="O251">
        <v>23363100</v>
      </c>
      <c r="P251" s="2">
        <v>6.5362430499377222</v>
      </c>
      <c r="Q251" t="str">
        <v/>
      </c>
      <c r="R251" s="2">
        <v>6.5362430499377222</v>
      </c>
      <c r="S251" s="5">
        <v>20.699706599999999</v>
      </c>
    </row>
    <row r="252" spans="1:19" x14ac:dyDescent="0.4">
      <c r="A252">
        <v>20210808</v>
      </c>
      <c r="B252" s="1">
        <v>0.5625</v>
      </c>
      <c r="C252">
        <v>193529</v>
      </c>
      <c r="D252">
        <v>586200</v>
      </c>
      <c r="E252">
        <v>97321</v>
      </c>
      <c r="F252">
        <v>270610</v>
      </c>
      <c r="G252">
        <v>63273</v>
      </c>
      <c r="H252">
        <v>418154</v>
      </c>
      <c r="I252">
        <v>220009</v>
      </c>
      <c r="J252">
        <v>86049</v>
      </c>
      <c r="K252">
        <v>-726248</v>
      </c>
      <c r="L252">
        <v>-13071</v>
      </c>
      <c r="M252">
        <v>8.86</v>
      </c>
      <c r="N252">
        <v>1195826</v>
      </c>
      <c r="O252">
        <v>23289000</v>
      </c>
      <c r="P252" s="2">
        <v>5.1347245480699044</v>
      </c>
      <c r="Q252" t="str">
        <v/>
      </c>
      <c r="R252" s="2">
        <v>5.1347245480699044</v>
      </c>
      <c r="S252" s="5">
        <v>20.634053999999999</v>
      </c>
    </row>
    <row r="253" spans="1:19" x14ac:dyDescent="0.4">
      <c r="A253">
        <v>20210808</v>
      </c>
      <c r="B253" s="1">
        <v>0.58333333333333337</v>
      </c>
      <c r="C253">
        <v>187012</v>
      </c>
      <c r="D253">
        <v>669353</v>
      </c>
      <c r="E253">
        <v>-236671</v>
      </c>
      <c r="F253">
        <v>331770</v>
      </c>
      <c r="G253">
        <v>24152</v>
      </c>
      <c r="H253">
        <v>407907</v>
      </c>
      <c r="I253">
        <v>37672</v>
      </c>
      <c r="J253">
        <v>37852</v>
      </c>
      <c r="K253">
        <v>-584020</v>
      </c>
      <c r="L253">
        <v>-28418</v>
      </c>
      <c r="M253">
        <v>9.5500000000000007</v>
      </c>
      <c r="N253">
        <v>846609</v>
      </c>
      <c r="O253">
        <v>22951050</v>
      </c>
      <c r="P253" s="2">
        <v>3.6887593378080741</v>
      </c>
      <c r="Q253" t="str">
        <v/>
      </c>
      <c r="R253" s="2">
        <v>3.6887593378080741</v>
      </c>
      <c r="S253" s="5">
        <v>21.918252750000004</v>
      </c>
    </row>
    <row r="254" spans="1:19" x14ac:dyDescent="0.4">
      <c r="A254">
        <v>20210808</v>
      </c>
      <c r="B254" s="1">
        <v>0.60416666666666663</v>
      </c>
      <c r="C254">
        <v>192541</v>
      </c>
      <c r="D254">
        <v>506222</v>
      </c>
      <c r="E254">
        <v>-152568</v>
      </c>
      <c r="F254">
        <v>276070</v>
      </c>
      <c r="G254">
        <v>73489</v>
      </c>
      <c r="H254">
        <v>315091</v>
      </c>
      <c r="I254">
        <v>33751</v>
      </c>
      <c r="J254">
        <v>14318</v>
      </c>
      <c r="K254">
        <v>-397928</v>
      </c>
      <c r="L254">
        <v>-27222</v>
      </c>
      <c r="M254">
        <v>9.56</v>
      </c>
      <c r="N254">
        <v>833764</v>
      </c>
      <c r="O254">
        <v>22702550</v>
      </c>
      <c r="P254" s="2">
        <v>3.6725566070771785</v>
      </c>
      <c r="Q254" t="str">
        <v/>
      </c>
      <c r="R254" s="2">
        <v>3.6725566070771785</v>
      </c>
      <c r="S254" s="5">
        <v>21.703637799999999</v>
      </c>
    </row>
    <row r="255" spans="1:19" x14ac:dyDescent="0.4">
      <c r="A255">
        <v>20210808</v>
      </c>
      <c r="B255" s="1">
        <v>0.625</v>
      </c>
      <c r="C255">
        <v>148125</v>
      </c>
      <c r="D255">
        <v>398289</v>
      </c>
      <c r="E255">
        <v>94817</v>
      </c>
      <c r="F255">
        <v>279765</v>
      </c>
      <c r="G255">
        <v>46058</v>
      </c>
      <c r="H255">
        <v>228514</v>
      </c>
      <c r="I255">
        <v>-128077</v>
      </c>
      <c r="J255">
        <v>-6434</v>
      </c>
      <c r="K255">
        <v>-132840</v>
      </c>
      <c r="L255">
        <v>-21044</v>
      </c>
      <c r="M255">
        <v>10.01</v>
      </c>
      <c r="N255">
        <v>907173</v>
      </c>
      <c r="O255">
        <v>22316000</v>
      </c>
      <c r="P255" s="2">
        <v>4.0651236780785087</v>
      </c>
      <c r="Q255" t="str">
        <v/>
      </c>
      <c r="R255" s="2">
        <v>4.0651236780785087</v>
      </c>
      <c r="S255" s="5">
        <v>22.338315999999999</v>
      </c>
    </row>
    <row r="256" spans="1:19" x14ac:dyDescent="0.4">
      <c r="A256">
        <v>20210808</v>
      </c>
      <c r="B256" s="1">
        <v>0.64583333333333337</v>
      </c>
      <c r="C256">
        <v>186740</v>
      </c>
      <c r="D256">
        <v>364665</v>
      </c>
      <c r="E256">
        <v>562811</v>
      </c>
      <c r="F256">
        <v>57765</v>
      </c>
      <c r="G256">
        <v>47238</v>
      </c>
      <c r="H256">
        <v>15723</v>
      </c>
      <c r="I256">
        <v>-158680</v>
      </c>
      <c r="J256">
        <v>4669</v>
      </c>
      <c r="K256">
        <v>5831</v>
      </c>
      <c r="L256">
        <v>-25151</v>
      </c>
      <c r="M256">
        <v>10.01</v>
      </c>
      <c r="N256">
        <v>1061611</v>
      </c>
      <c r="O256">
        <v>21905600</v>
      </c>
      <c r="P256" s="2">
        <v>4.8462995763640349</v>
      </c>
      <c r="Q256" t="str">
        <v/>
      </c>
      <c r="R256" s="2">
        <v>4.8462995763640349</v>
      </c>
      <c r="S256" s="5">
        <v>21.9275056</v>
      </c>
    </row>
    <row r="257" spans="1:19" x14ac:dyDescent="0.4">
      <c r="A257">
        <v>20210808</v>
      </c>
      <c r="B257" s="1">
        <v>0.66666666666666663</v>
      </c>
      <c r="C257">
        <v>144007</v>
      </c>
      <c r="D257">
        <v>308005</v>
      </c>
      <c r="E257">
        <v>712542</v>
      </c>
      <c r="F257">
        <v>-92786</v>
      </c>
      <c r="G257">
        <v>32723</v>
      </c>
      <c r="H257">
        <v>-31716</v>
      </c>
      <c r="I257">
        <v>-141196</v>
      </c>
      <c r="J257">
        <v>37786</v>
      </c>
      <c r="K257">
        <v>57643</v>
      </c>
      <c r="L257">
        <v>-23248</v>
      </c>
      <c r="M257">
        <v>10.27</v>
      </c>
      <c r="N257">
        <v>1003760</v>
      </c>
      <c r="O257">
        <v>22328100</v>
      </c>
      <c r="P257" s="2">
        <v>4.4955011846059447</v>
      </c>
      <c r="Q257" t="str">
        <v/>
      </c>
      <c r="R257" s="2">
        <v>4.4955011846059447</v>
      </c>
      <c r="S257" s="5">
        <v>22.930958700000001</v>
      </c>
    </row>
    <row r="258" spans="1:19" x14ac:dyDescent="0.4">
      <c r="A258">
        <v>20210808</v>
      </c>
      <c r="B258" s="1">
        <v>0.6875</v>
      </c>
      <c r="C258">
        <v>186153</v>
      </c>
      <c r="D258">
        <v>269322</v>
      </c>
      <c r="E258">
        <v>1015206</v>
      </c>
      <c r="F258">
        <v>-244248</v>
      </c>
      <c r="G258">
        <v>-2896</v>
      </c>
      <c r="H258">
        <v>171179</v>
      </c>
      <c r="I258">
        <v>-134763</v>
      </c>
      <c r="J258">
        <v>32119</v>
      </c>
      <c r="K258">
        <v>95392</v>
      </c>
      <c r="L258">
        <v>-15644</v>
      </c>
      <c r="M258">
        <v>10.44</v>
      </c>
      <c r="N258">
        <v>1371820</v>
      </c>
      <c r="O258">
        <v>21731650</v>
      </c>
      <c r="P258" s="2">
        <v>6.3125441464407901</v>
      </c>
      <c r="Q258" t="str">
        <v/>
      </c>
      <c r="R258" s="2">
        <v>6.3125441464407901</v>
      </c>
      <c r="S258" s="5">
        <v>22.6878426</v>
      </c>
    </row>
    <row r="259" spans="1:19" x14ac:dyDescent="0.4">
      <c r="A259">
        <v>20210808</v>
      </c>
      <c r="B259" s="1">
        <v>0.70833333333333337</v>
      </c>
      <c r="C259">
        <v>129090</v>
      </c>
      <c r="D259">
        <v>187360</v>
      </c>
      <c r="E259">
        <v>1145614</v>
      </c>
      <c r="F259">
        <v>-371611</v>
      </c>
      <c r="G259">
        <v>-10113</v>
      </c>
      <c r="H259">
        <v>153468</v>
      </c>
      <c r="I259">
        <v>-105607</v>
      </c>
      <c r="J259">
        <v>35086</v>
      </c>
      <c r="K259">
        <v>161299</v>
      </c>
      <c r="L259">
        <v>-38088</v>
      </c>
      <c r="M259">
        <v>10.220000000000001</v>
      </c>
      <c r="N259">
        <v>1286498</v>
      </c>
      <c r="O259">
        <v>21642600</v>
      </c>
      <c r="P259" s="2">
        <v>5.9442858066960529</v>
      </c>
      <c r="Q259" t="str">
        <v/>
      </c>
      <c r="R259" s="2">
        <v>5.9442858066960529</v>
      </c>
      <c r="S259" s="5">
        <v>22.118737200000002</v>
      </c>
    </row>
    <row r="260" spans="1:19" x14ac:dyDescent="0.4">
      <c r="A260">
        <v>20210808</v>
      </c>
      <c r="B260" s="1">
        <v>0.72916666666666663</v>
      </c>
      <c r="C260">
        <v>125905</v>
      </c>
      <c r="D260">
        <v>251966</v>
      </c>
      <c r="E260">
        <v>1123502</v>
      </c>
      <c r="F260">
        <v>-273668</v>
      </c>
      <c r="G260">
        <v>2039</v>
      </c>
      <c r="H260">
        <v>222329</v>
      </c>
      <c r="I260">
        <v>110089</v>
      </c>
      <c r="J260">
        <v>11026</v>
      </c>
      <c r="K260">
        <v>173694</v>
      </c>
      <c r="L260">
        <v>-32354</v>
      </c>
      <c r="M260">
        <v>10.4</v>
      </c>
      <c r="N260">
        <v>1714528</v>
      </c>
      <c r="O260">
        <v>21433500</v>
      </c>
      <c r="P260" s="2">
        <v>7.9992908297758181</v>
      </c>
      <c r="Q260" t="str">
        <v/>
      </c>
      <c r="R260" s="2">
        <v>7.9992908297758181</v>
      </c>
      <c r="S260" s="5">
        <v>22.290839999999999</v>
      </c>
    </row>
    <row r="261" spans="1:19" x14ac:dyDescent="0.4">
      <c r="A261">
        <v>20210808</v>
      </c>
      <c r="B261" s="1">
        <v>0.75</v>
      </c>
      <c r="C261">
        <v>132937</v>
      </c>
      <c r="D261">
        <v>203470</v>
      </c>
      <c r="E261">
        <v>1163201</v>
      </c>
      <c r="F261">
        <v>-198983</v>
      </c>
      <c r="G261">
        <v>-28308</v>
      </c>
      <c r="H261">
        <v>308135</v>
      </c>
      <c r="I261">
        <v>157669</v>
      </c>
      <c r="J261">
        <v>2226</v>
      </c>
      <c r="K261">
        <v>294517</v>
      </c>
      <c r="L261">
        <v>-23606</v>
      </c>
      <c r="M261">
        <v>10.71</v>
      </c>
      <c r="N261">
        <v>2011258</v>
      </c>
      <c r="O261">
        <v>21374200</v>
      </c>
      <c r="P261" s="2">
        <v>9.4097463296871933</v>
      </c>
      <c r="Q261" t="str">
        <v/>
      </c>
      <c r="R261" s="2">
        <v>9.4097463296871933</v>
      </c>
      <c r="S261" s="5">
        <v>22.891768200000001</v>
      </c>
    </row>
    <row r="262" spans="1:19" x14ac:dyDescent="0.4">
      <c r="A262">
        <v>20210808</v>
      </c>
      <c r="B262" s="1">
        <v>0.77083333333333337</v>
      </c>
      <c r="C262">
        <v>122664</v>
      </c>
      <c r="D262">
        <v>91938</v>
      </c>
      <c r="E262">
        <v>912791</v>
      </c>
      <c r="F262">
        <v>-141345</v>
      </c>
      <c r="G262">
        <v>-7940</v>
      </c>
      <c r="H262">
        <v>307530</v>
      </c>
      <c r="I262">
        <v>147958</v>
      </c>
      <c r="J262">
        <v>-32482</v>
      </c>
      <c r="K262">
        <v>461177</v>
      </c>
      <c r="L262">
        <v>-22648</v>
      </c>
      <c r="M262">
        <v>11.94</v>
      </c>
      <c r="N262">
        <v>1839643</v>
      </c>
      <c r="O262">
        <v>21215300</v>
      </c>
      <c r="P262" s="2">
        <v>8.6713032575546887</v>
      </c>
      <c r="Q262" t="str">
        <v/>
      </c>
      <c r="R262" s="2">
        <v>8.6713032575546887</v>
      </c>
      <c r="S262" s="5">
        <v>25.331068200000001</v>
      </c>
    </row>
    <row r="263" spans="1:19" x14ac:dyDescent="0.4">
      <c r="A263">
        <v>20210808</v>
      </c>
      <c r="B263" s="1">
        <v>0.79166666666666663</v>
      </c>
      <c r="C263">
        <v>110591</v>
      </c>
      <c r="D263">
        <v>138780</v>
      </c>
      <c r="E263">
        <v>552265</v>
      </c>
      <c r="F263">
        <v>-247105</v>
      </c>
      <c r="G263">
        <v>7977</v>
      </c>
      <c r="H263">
        <v>234191</v>
      </c>
      <c r="I263">
        <v>126516</v>
      </c>
      <c r="J263">
        <v>3882</v>
      </c>
      <c r="K263">
        <v>537811</v>
      </c>
      <c r="L263">
        <v>-24840</v>
      </c>
      <c r="M263">
        <v>11.94</v>
      </c>
      <c r="N263">
        <v>1440068</v>
      </c>
      <c r="O263">
        <v>21175550</v>
      </c>
      <c r="P263" s="2">
        <v>6.8006167490336731</v>
      </c>
      <c r="Q263" t="str">
        <v/>
      </c>
      <c r="R263" s="2">
        <v>6.8006167490336731</v>
      </c>
      <c r="S263" s="5">
        <v>25.2836067</v>
      </c>
    </row>
    <row r="264" spans="1:19" x14ac:dyDescent="0.4">
      <c r="A264">
        <v>20210808</v>
      </c>
      <c r="B264" s="1">
        <v>0.8125</v>
      </c>
      <c r="C264">
        <v>130265</v>
      </c>
      <c r="D264">
        <v>123733</v>
      </c>
      <c r="E264">
        <v>410477</v>
      </c>
      <c r="F264">
        <v>-176964</v>
      </c>
      <c r="G264">
        <v>-4761</v>
      </c>
      <c r="H264">
        <v>199422</v>
      </c>
      <c r="I264">
        <v>117210</v>
      </c>
      <c r="J264">
        <v>23368</v>
      </c>
      <c r="K264">
        <v>580688</v>
      </c>
      <c r="L264">
        <v>-19902</v>
      </c>
      <c r="M264">
        <v>10.4</v>
      </c>
      <c r="N264">
        <v>1383536</v>
      </c>
      <c r="O264">
        <v>21157300</v>
      </c>
      <c r="P264" s="2">
        <v>6.5392843132157692</v>
      </c>
      <c r="Q264" t="str">
        <v/>
      </c>
      <c r="R264" s="2">
        <v>6.5392843132157692</v>
      </c>
      <c r="S264" s="5">
        <v>22.003592000000001</v>
      </c>
    </row>
    <row r="265" spans="1:19" x14ac:dyDescent="0.4">
      <c r="A265">
        <v>20210808</v>
      </c>
      <c r="B265" s="1">
        <v>0.83333333333333337</v>
      </c>
      <c r="C265">
        <v>154963</v>
      </c>
      <c r="D265">
        <v>218448</v>
      </c>
      <c r="E265">
        <v>384292</v>
      </c>
      <c r="F265">
        <v>-200017</v>
      </c>
      <c r="G265">
        <v>-1488</v>
      </c>
      <c r="H265">
        <v>206917</v>
      </c>
      <c r="I265">
        <v>212638</v>
      </c>
      <c r="J265">
        <v>24474</v>
      </c>
      <c r="K265">
        <v>629551</v>
      </c>
      <c r="L265">
        <v>-34799</v>
      </c>
      <c r="M265">
        <v>10.27</v>
      </c>
      <c r="N265">
        <v>1594979</v>
      </c>
      <c r="O265">
        <v>21131900</v>
      </c>
      <c r="P265" s="2">
        <v>7.5477311552676287</v>
      </c>
      <c r="Q265" t="str">
        <v/>
      </c>
      <c r="R265" s="2">
        <v>7.5477311552676287</v>
      </c>
      <c r="S265" s="5">
        <v>21.7024613</v>
      </c>
    </row>
    <row r="266" spans="1:19" x14ac:dyDescent="0.4">
      <c r="A266">
        <v>20210808</v>
      </c>
      <c r="B266" s="1">
        <v>0.85416666666666663</v>
      </c>
      <c r="C266">
        <v>116979</v>
      </c>
      <c r="D266">
        <v>199443</v>
      </c>
      <c r="E266">
        <v>416294</v>
      </c>
      <c r="F266">
        <v>-124707</v>
      </c>
      <c r="G266">
        <v>-60229</v>
      </c>
      <c r="H266">
        <v>115081</v>
      </c>
      <c r="I266">
        <v>165061</v>
      </c>
      <c r="J266">
        <v>25063</v>
      </c>
      <c r="K266">
        <v>672026</v>
      </c>
      <c r="L266">
        <v>-18734</v>
      </c>
      <c r="M266">
        <v>10.27</v>
      </c>
      <c r="N266">
        <v>1506277</v>
      </c>
      <c r="O266">
        <v>21041850</v>
      </c>
      <c r="P266" s="2">
        <v>7.1584817874854156</v>
      </c>
      <c r="Q266" t="str">
        <v/>
      </c>
      <c r="R266" s="2">
        <v>7.1584817874854156</v>
      </c>
      <c r="S266" s="5">
        <v>21.60997995</v>
      </c>
    </row>
    <row r="267" spans="1:19" x14ac:dyDescent="0.4">
      <c r="A267">
        <v>20210808</v>
      </c>
      <c r="B267" s="1">
        <v>0.875</v>
      </c>
      <c r="C267">
        <v>192652</v>
      </c>
      <c r="D267">
        <v>232840</v>
      </c>
      <c r="E267">
        <v>430562</v>
      </c>
      <c r="F267">
        <v>-134774</v>
      </c>
      <c r="G267">
        <v>16596</v>
      </c>
      <c r="H267">
        <v>108893</v>
      </c>
      <c r="I267">
        <v>144695</v>
      </c>
      <c r="J267">
        <v>23880</v>
      </c>
      <c r="K267">
        <v>587636</v>
      </c>
      <c r="L267">
        <v>-31143</v>
      </c>
      <c r="M267">
        <v>10.01</v>
      </c>
      <c r="N267">
        <v>1571837</v>
      </c>
      <c r="O267">
        <v>20448400</v>
      </c>
      <c r="P267" s="2">
        <v>7.6868459145947847</v>
      </c>
      <c r="Q267" t="str">
        <v/>
      </c>
      <c r="R267" s="2">
        <v>7.6868459145947847</v>
      </c>
      <c r="S267" s="5">
        <v>20.468848399999999</v>
      </c>
    </row>
    <row r="268" spans="1:19" x14ac:dyDescent="0.4">
      <c r="A268">
        <v>20210808</v>
      </c>
      <c r="B268" s="1">
        <v>0.89583333333333337</v>
      </c>
      <c r="C268">
        <v>165686</v>
      </c>
      <c r="D268">
        <v>253293</v>
      </c>
      <c r="E268">
        <v>415522</v>
      </c>
      <c r="F268">
        <v>-204215</v>
      </c>
      <c r="G268">
        <v>-6958</v>
      </c>
      <c r="H268">
        <v>7333</v>
      </c>
      <c r="I268">
        <v>135408</v>
      </c>
      <c r="J268">
        <v>14935</v>
      </c>
      <c r="K268">
        <v>525466</v>
      </c>
      <c r="L268">
        <v>-18322</v>
      </c>
      <c r="M268">
        <v>9.9600000000000009</v>
      </c>
      <c r="N268">
        <v>1288148</v>
      </c>
      <c r="O268">
        <v>20319300</v>
      </c>
      <c r="P268" s="2">
        <v>6.3395294129226896</v>
      </c>
      <c r="Q268" t="str">
        <v/>
      </c>
      <c r="R268" s="2">
        <v>6.3395294129226896</v>
      </c>
      <c r="S268" s="5">
        <v>20.238022800000003</v>
      </c>
    </row>
    <row r="269" spans="1:19" x14ac:dyDescent="0.4">
      <c r="A269">
        <v>20210808</v>
      </c>
      <c r="B269" s="1">
        <v>0.91666666666666663</v>
      </c>
      <c r="C269">
        <v>183690</v>
      </c>
      <c r="D269">
        <v>223383</v>
      </c>
      <c r="E269">
        <v>417697</v>
      </c>
      <c r="F269">
        <v>-118362</v>
      </c>
      <c r="G269">
        <v>18465</v>
      </c>
      <c r="H269">
        <v>100789</v>
      </c>
      <c r="I269">
        <v>114011</v>
      </c>
      <c r="J269">
        <v>13560</v>
      </c>
      <c r="K269">
        <v>470362</v>
      </c>
      <c r="L269">
        <v>-31084</v>
      </c>
      <c r="M269">
        <v>9.6</v>
      </c>
      <c r="N269">
        <v>1392511</v>
      </c>
      <c r="O269">
        <v>19929650</v>
      </c>
      <c r="P269" s="2">
        <v>6.9871322376459197</v>
      </c>
      <c r="Q269" t="str">
        <v/>
      </c>
      <c r="R269" s="2">
        <v>6.9871322376459197</v>
      </c>
      <c r="S269" s="5">
        <v>19.132463999999999</v>
      </c>
    </row>
    <row r="270" spans="1:19" x14ac:dyDescent="0.4">
      <c r="A270">
        <v>20210808</v>
      </c>
      <c r="B270" s="1">
        <v>0.9375</v>
      </c>
      <c r="C270">
        <v>141944</v>
      </c>
      <c r="D270">
        <v>230447</v>
      </c>
      <c r="E270">
        <v>276550</v>
      </c>
      <c r="F270">
        <v>-148405</v>
      </c>
      <c r="G270">
        <v>11387</v>
      </c>
      <c r="H270">
        <v>-33188</v>
      </c>
      <c r="I270">
        <v>181491</v>
      </c>
      <c r="J270">
        <v>18298</v>
      </c>
      <c r="K270">
        <v>458358</v>
      </c>
      <c r="L270">
        <v>-15522</v>
      </c>
      <c r="M270">
        <v>9.5500000000000007</v>
      </c>
      <c r="N270">
        <v>1121360</v>
      </c>
      <c r="O270">
        <v>19679000</v>
      </c>
      <c r="P270" s="2">
        <v>5.6982570252553479</v>
      </c>
      <c r="Q270" t="str">
        <v/>
      </c>
      <c r="R270" s="2">
        <v>5.6982570252553479</v>
      </c>
      <c r="S270" s="5">
        <v>18.793444999999998</v>
      </c>
    </row>
    <row r="271" spans="1:19" x14ac:dyDescent="0.4">
      <c r="A271">
        <v>20210808</v>
      </c>
      <c r="B271" s="1">
        <v>0.95833333333333337</v>
      </c>
      <c r="C271">
        <v>166197</v>
      </c>
      <c r="D271">
        <v>159705</v>
      </c>
      <c r="E271">
        <v>344733</v>
      </c>
      <c r="F271">
        <v>-204915</v>
      </c>
      <c r="G271">
        <v>10032</v>
      </c>
      <c r="H271">
        <v>-72403</v>
      </c>
      <c r="I271">
        <v>209716</v>
      </c>
      <c r="J271">
        <v>35281</v>
      </c>
      <c r="K271">
        <v>346152</v>
      </c>
      <c r="L271">
        <v>-27159</v>
      </c>
      <c r="M271">
        <v>7.89</v>
      </c>
      <c r="N271">
        <v>967339</v>
      </c>
      <c r="O271">
        <v>19169200</v>
      </c>
      <c r="P271" s="2">
        <v>5.0463190952152415</v>
      </c>
      <c r="Q271" t="str">
        <v/>
      </c>
      <c r="R271" s="2">
        <v>5.0463190952152415</v>
      </c>
      <c r="S271" s="5">
        <v>15.1244988</v>
      </c>
    </row>
    <row r="272" spans="1:19" x14ac:dyDescent="0.4">
      <c r="A272">
        <v>20210808</v>
      </c>
      <c r="B272" s="1">
        <v>0.97916666666666663</v>
      </c>
      <c r="C272">
        <v>186422</v>
      </c>
      <c r="D272">
        <v>169296</v>
      </c>
      <c r="E272">
        <v>280735</v>
      </c>
      <c r="F272">
        <v>-157004</v>
      </c>
      <c r="G272">
        <v>-13862</v>
      </c>
      <c r="H272">
        <v>-111969</v>
      </c>
      <c r="I272">
        <v>215983</v>
      </c>
      <c r="J272">
        <v>22447</v>
      </c>
      <c r="K272">
        <v>460253</v>
      </c>
      <c r="L272">
        <v>-8094</v>
      </c>
      <c r="M272">
        <v>7.44</v>
      </c>
      <c r="N272">
        <v>1044207</v>
      </c>
      <c r="O272">
        <v>18127700</v>
      </c>
      <c r="P272" s="2">
        <v>5.7602839852821921</v>
      </c>
      <c r="Q272" t="str">
        <v/>
      </c>
      <c r="R272" s="2">
        <v>5.7602839852821921</v>
      </c>
      <c r="S272" s="5">
        <v>13.4870088</v>
      </c>
    </row>
    <row r="273" spans="1:19" x14ac:dyDescent="0.4">
      <c r="A273">
        <v>20210809</v>
      </c>
      <c r="B273" s="1">
        <v>0</v>
      </c>
      <c r="C273">
        <v>168407</v>
      </c>
      <c r="D273">
        <v>265083</v>
      </c>
      <c r="E273">
        <v>215417</v>
      </c>
      <c r="F273">
        <v>-133492</v>
      </c>
      <c r="G273">
        <v>13250</v>
      </c>
      <c r="H273">
        <v>-80713</v>
      </c>
      <c r="I273">
        <v>184494</v>
      </c>
      <c r="J273">
        <v>-20127</v>
      </c>
      <c r="K273">
        <v>375447</v>
      </c>
      <c r="L273">
        <v>-10883</v>
      </c>
      <c r="M273">
        <v>7.11</v>
      </c>
      <c r="N273">
        <v>976883</v>
      </c>
      <c r="O273">
        <v>17704200</v>
      </c>
      <c r="P273" s="2">
        <v>5.517803685001299</v>
      </c>
      <c r="Q273" t="str">
        <v/>
      </c>
      <c r="R273" s="2">
        <v>5.517803685001299</v>
      </c>
      <c r="S273" s="5">
        <v>12.5876862</v>
      </c>
    </row>
    <row r="274" spans="1:19" x14ac:dyDescent="0.4">
      <c r="A274">
        <v>20210809</v>
      </c>
      <c r="B274" s="1">
        <v>2.0833333333333332E-2</v>
      </c>
      <c r="C274">
        <v>149436</v>
      </c>
      <c r="D274">
        <v>272159</v>
      </c>
      <c r="E274">
        <v>338632</v>
      </c>
      <c r="F274">
        <v>-90221</v>
      </c>
      <c r="G274">
        <v>19442</v>
      </c>
      <c r="H274">
        <v>-196659</v>
      </c>
      <c r="I274">
        <v>235506</v>
      </c>
      <c r="J274">
        <v>-24041</v>
      </c>
      <c r="K274">
        <v>315983</v>
      </c>
      <c r="L274">
        <v>4590</v>
      </c>
      <c r="M274">
        <v>6.99</v>
      </c>
      <c r="N274">
        <v>1024827</v>
      </c>
      <c r="O274">
        <v>18817900</v>
      </c>
      <c r="P274" s="2">
        <v>5.4460221384957936</v>
      </c>
      <c r="Q274" t="str">
        <v/>
      </c>
      <c r="R274" s="2">
        <v>5.4460221384957936</v>
      </c>
      <c r="S274" s="5">
        <v>13.1537121</v>
      </c>
    </row>
    <row r="275" spans="1:19" x14ac:dyDescent="0.4">
      <c r="A275">
        <v>20210809</v>
      </c>
      <c r="B275" s="1">
        <v>4.1666666666666664E-2</v>
      </c>
      <c r="C275">
        <v>121258</v>
      </c>
      <c r="D275">
        <v>244032</v>
      </c>
      <c r="E275">
        <v>290166</v>
      </c>
      <c r="F275">
        <v>-121296</v>
      </c>
      <c r="G275">
        <v>37801</v>
      </c>
      <c r="H275">
        <v>-48060</v>
      </c>
      <c r="I275">
        <v>243665</v>
      </c>
      <c r="J275">
        <v>-10490</v>
      </c>
      <c r="K275">
        <v>222185</v>
      </c>
      <c r="L275">
        <v>-6093</v>
      </c>
      <c r="M275">
        <v>6.99</v>
      </c>
      <c r="N275">
        <v>973168</v>
      </c>
      <c r="O275">
        <v>19280350</v>
      </c>
      <c r="P275" s="2">
        <v>5.0474602380143514</v>
      </c>
      <c r="Q275" t="str">
        <v/>
      </c>
      <c r="R275" s="2">
        <v>5.0474602380143514</v>
      </c>
      <c r="S275" s="5">
        <v>13.476964649999999</v>
      </c>
    </row>
    <row r="276" spans="1:19" x14ac:dyDescent="0.4">
      <c r="A276">
        <v>20210809</v>
      </c>
      <c r="B276" s="1">
        <v>6.25E-2</v>
      </c>
      <c r="C276">
        <v>111951</v>
      </c>
      <c r="D276">
        <v>225542</v>
      </c>
      <c r="E276">
        <v>355736</v>
      </c>
      <c r="F276">
        <v>-30483</v>
      </c>
      <c r="G276">
        <v>38224</v>
      </c>
      <c r="H276">
        <v>-101582</v>
      </c>
      <c r="I276">
        <v>218447</v>
      </c>
      <c r="J276">
        <v>-7756</v>
      </c>
      <c r="K276">
        <v>266596</v>
      </c>
      <c r="L276">
        <v>6140</v>
      </c>
      <c r="M276">
        <v>6.92</v>
      </c>
      <c r="N276">
        <v>1082815</v>
      </c>
      <c r="O276">
        <v>19425750</v>
      </c>
      <c r="P276" s="2">
        <v>5.5741219772724344</v>
      </c>
      <c r="Q276" t="str">
        <v/>
      </c>
      <c r="R276" s="2">
        <v>5.5741219772724344</v>
      </c>
      <c r="S276" s="5">
        <v>13.442619000000001</v>
      </c>
    </row>
    <row r="277" spans="1:19" x14ac:dyDescent="0.4">
      <c r="A277">
        <v>20210809</v>
      </c>
      <c r="B277" s="1">
        <v>8.3333333333333329E-2</v>
      </c>
      <c r="C277">
        <v>75529</v>
      </c>
      <c r="D277">
        <v>284092</v>
      </c>
      <c r="E277">
        <v>260248</v>
      </c>
      <c r="F277">
        <v>-37968</v>
      </c>
      <c r="G277">
        <v>21950</v>
      </c>
      <c r="H277">
        <v>-42892</v>
      </c>
      <c r="I277">
        <v>295260</v>
      </c>
      <c r="J277">
        <v>-87</v>
      </c>
      <c r="K277">
        <v>173604</v>
      </c>
      <c r="L277">
        <v>1945</v>
      </c>
      <c r="M277">
        <v>6.99</v>
      </c>
      <c r="N277">
        <v>1031681</v>
      </c>
      <c r="O277">
        <v>19490400</v>
      </c>
      <c r="P277" s="2">
        <v>5.2932777162090057</v>
      </c>
      <c r="Q277" t="str">
        <v/>
      </c>
      <c r="R277" s="2">
        <v>5.2932777162090057</v>
      </c>
      <c r="S277" s="5">
        <v>13.6237896</v>
      </c>
    </row>
    <row r="278" spans="1:19" x14ac:dyDescent="0.4">
      <c r="A278">
        <v>20210809</v>
      </c>
      <c r="B278" s="1">
        <v>0.10416666666666667</v>
      </c>
      <c r="C278">
        <v>142276</v>
      </c>
      <c r="D278">
        <v>282133</v>
      </c>
      <c r="E278">
        <v>246136</v>
      </c>
      <c r="F278">
        <v>-26624</v>
      </c>
      <c r="G278">
        <v>5629</v>
      </c>
      <c r="H278">
        <v>-38638</v>
      </c>
      <c r="I278">
        <v>285079</v>
      </c>
      <c r="J278">
        <v>-40291</v>
      </c>
      <c r="K278">
        <v>75296</v>
      </c>
      <c r="L278">
        <v>1056</v>
      </c>
      <c r="M278">
        <v>6.99</v>
      </c>
      <c r="N278">
        <v>932052</v>
      </c>
      <c r="O278">
        <v>19515650</v>
      </c>
      <c r="P278" s="2">
        <v>4.7759208635121047</v>
      </c>
      <c r="Q278" t="str">
        <v/>
      </c>
      <c r="R278" s="2">
        <v>4.7759208635121047</v>
      </c>
      <c r="S278" s="5">
        <v>13.641439350000001</v>
      </c>
    </row>
    <row r="279" spans="1:19" x14ac:dyDescent="0.4">
      <c r="A279">
        <v>20210809</v>
      </c>
      <c r="B279" s="1">
        <v>0.125</v>
      </c>
      <c r="C279">
        <v>124986</v>
      </c>
      <c r="D279">
        <v>271334</v>
      </c>
      <c r="E279">
        <v>1003680</v>
      </c>
      <c r="F279">
        <v>-105025</v>
      </c>
      <c r="G279">
        <v>16695</v>
      </c>
      <c r="H279">
        <v>-28298</v>
      </c>
      <c r="I279">
        <v>173294</v>
      </c>
      <c r="J279">
        <v>-13825</v>
      </c>
      <c r="K279">
        <v>133609</v>
      </c>
      <c r="L279">
        <v>-11596</v>
      </c>
      <c r="M279">
        <v>6.99</v>
      </c>
      <c r="N279">
        <v>1564854</v>
      </c>
      <c r="O279">
        <v>19607750</v>
      </c>
      <c r="P279" s="2">
        <v>7.9807933087682166</v>
      </c>
      <c r="Q279" t="str">
        <v/>
      </c>
      <c r="R279" s="2">
        <v>7.9807933087682166</v>
      </c>
      <c r="S279" s="5">
        <v>13.705817250000001</v>
      </c>
    </row>
    <row r="280" spans="1:19" x14ac:dyDescent="0.4">
      <c r="A280">
        <v>20210809</v>
      </c>
      <c r="B280" s="1">
        <v>0.14583333333333334</v>
      </c>
      <c r="C280">
        <v>100823</v>
      </c>
      <c r="D280">
        <v>289872</v>
      </c>
      <c r="E280">
        <v>950721</v>
      </c>
      <c r="F280">
        <v>-96072</v>
      </c>
      <c r="G280">
        <v>27940</v>
      </c>
      <c r="H280">
        <v>18057</v>
      </c>
      <c r="I280">
        <v>100451</v>
      </c>
      <c r="J280">
        <v>-7621</v>
      </c>
      <c r="K280">
        <v>114071</v>
      </c>
      <c r="L280">
        <v>-4437</v>
      </c>
      <c r="M280">
        <v>7.03</v>
      </c>
      <c r="N280">
        <v>1493805</v>
      </c>
      <c r="O280">
        <v>19671100</v>
      </c>
      <c r="P280" s="2">
        <v>7.5939067972812913</v>
      </c>
      <c r="Q280" t="str">
        <v/>
      </c>
      <c r="R280" s="2">
        <v>7.5939067972812913</v>
      </c>
      <c r="S280" s="5">
        <v>13.8287833</v>
      </c>
    </row>
    <row r="281" spans="1:19" x14ac:dyDescent="0.4">
      <c r="A281">
        <v>20210809</v>
      </c>
      <c r="B281" s="1">
        <v>0.16666666666666666</v>
      </c>
      <c r="C281">
        <v>52491</v>
      </c>
      <c r="D281">
        <v>270808</v>
      </c>
      <c r="E281">
        <v>937624</v>
      </c>
      <c r="F281">
        <v>-156639</v>
      </c>
      <c r="G281">
        <v>28345</v>
      </c>
      <c r="H281">
        <v>87325</v>
      </c>
      <c r="I281">
        <v>95787</v>
      </c>
      <c r="J281">
        <v>6484</v>
      </c>
      <c r="K281">
        <v>102579</v>
      </c>
      <c r="L281">
        <v>-12121</v>
      </c>
      <c r="M281">
        <v>7.01</v>
      </c>
      <c r="N281">
        <v>1412683</v>
      </c>
      <c r="O281">
        <v>19708350</v>
      </c>
      <c r="P281" s="2">
        <v>7.1679415070262094</v>
      </c>
      <c r="Q281" t="str">
        <v/>
      </c>
      <c r="R281" s="2">
        <v>7.1679415070262094</v>
      </c>
      <c r="S281" s="5">
        <v>13.81555335</v>
      </c>
    </row>
    <row r="282" spans="1:19" x14ac:dyDescent="0.4">
      <c r="A282">
        <v>20210809</v>
      </c>
      <c r="B282" s="1">
        <v>0.1875</v>
      </c>
      <c r="C282">
        <v>105812</v>
      </c>
      <c r="D282">
        <v>252120</v>
      </c>
      <c r="E282">
        <v>177231</v>
      </c>
      <c r="F282">
        <v>-138224</v>
      </c>
      <c r="G282">
        <v>-14478</v>
      </c>
      <c r="H282">
        <v>-111553</v>
      </c>
      <c r="I282">
        <v>153072</v>
      </c>
      <c r="J282">
        <v>-9110</v>
      </c>
      <c r="K282">
        <v>84375</v>
      </c>
      <c r="L282">
        <v>-7935</v>
      </c>
      <c r="M282">
        <v>7.01</v>
      </c>
      <c r="N282">
        <v>491310</v>
      </c>
      <c r="O282">
        <v>19739450</v>
      </c>
      <c r="P282" s="2">
        <v>2.4889751234203588</v>
      </c>
      <c r="Q282" t="str">
        <v/>
      </c>
      <c r="R282" s="2">
        <v>2.4889751234203588</v>
      </c>
      <c r="S282" s="5">
        <v>13.837354449999999</v>
      </c>
    </row>
    <row r="283" spans="1:19" x14ac:dyDescent="0.4">
      <c r="A283">
        <v>20210809</v>
      </c>
      <c r="B283" s="1">
        <v>0.20833333333333334</v>
      </c>
      <c r="C283">
        <v>75535</v>
      </c>
      <c r="D283">
        <v>213509</v>
      </c>
      <c r="E283">
        <v>309039</v>
      </c>
      <c r="F283">
        <v>-284827</v>
      </c>
      <c r="G283">
        <v>-17100</v>
      </c>
      <c r="H283">
        <v>-223168</v>
      </c>
      <c r="I283">
        <v>125451</v>
      </c>
      <c r="J283">
        <v>-49689</v>
      </c>
      <c r="K283">
        <v>108670</v>
      </c>
      <c r="L283">
        <v>-17295</v>
      </c>
      <c r="M283">
        <v>7.08</v>
      </c>
      <c r="N283">
        <v>240125</v>
      </c>
      <c r="O283">
        <v>19724900</v>
      </c>
      <c r="P283" s="2">
        <v>1.2173699232949216</v>
      </c>
      <c r="Q283" t="str">
        <v/>
      </c>
      <c r="R283" s="2">
        <v>1.2173699232949216</v>
      </c>
      <c r="S283" s="5">
        <v>13.9652292</v>
      </c>
    </row>
    <row r="284" spans="1:19" x14ac:dyDescent="0.4">
      <c r="A284">
        <v>20210809</v>
      </c>
      <c r="B284" s="1">
        <v>0.22916666666666666</v>
      </c>
      <c r="C284">
        <v>48791</v>
      </c>
      <c r="D284">
        <v>260899</v>
      </c>
      <c r="E284">
        <v>523335</v>
      </c>
      <c r="F284">
        <v>-298666</v>
      </c>
      <c r="G284">
        <v>-10068</v>
      </c>
      <c r="H284">
        <v>-213175</v>
      </c>
      <c r="I284">
        <v>208583</v>
      </c>
      <c r="J284">
        <v>-38049</v>
      </c>
      <c r="K284">
        <v>77373</v>
      </c>
      <c r="L284">
        <v>-8319</v>
      </c>
      <c r="M284">
        <v>7.01</v>
      </c>
      <c r="N284">
        <v>550704</v>
      </c>
      <c r="O284">
        <v>19951700</v>
      </c>
      <c r="P284" s="2">
        <v>2.760185848824912</v>
      </c>
      <c r="Q284" t="str">
        <v/>
      </c>
      <c r="R284" s="2">
        <v>2.760185848824912</v>
      </c>
      <c r="S284" s="5">
        <v>13.986141699999999</v>
      </c>
    </row>
    <row r="285" spans="1:19" x14ac:dyDescent="0.4">
      <c r="A285">
        <v>20210809</v>
      </c>
      <c r="B285" s="1">
        <v>0.25</v>
      </c>
      <c r="C285">
        <v>106149</v>
      </c>
      <c r="D285">
        <v>279344</v>
      </c>
      <c r="E285">
        <v>399259</v>
      </c>
      <c r="F285">
        <v>-293333</v>
      </c>
      <c r="G285">
        <v>-7876</v>
      </c>
      <c r="H285">
        <v>-296046</v>
      </c>
      <c r="I285">
        <v>186219</v>
      </c>
      <c r="J285">
        <v>5596</v>
      </c>
      <c r="K285">
        <v>-23148</v>
      </c>
      <c r="L285">
        <v>-15624</v>
      </c>
      <c r="M285">
        <v>6.99</v>
      </c>
      <c r="N285">
        <v>340540</v>
      </c>
      <c r="O285">
        <v>20327300</v>
      </c>
      <c r="P285" s="2">
        <v>1.67528397770486</v>
      </c>
      <c r="Q285" t="str">
        <v/>
      </c>
      <c r="R285" s="2">
        <v>1.67528397770486</v>
      </c>
      <c r="S285" s="5">
        <v>14.2087827</v>
      </c>
    </row>
    <row r="286" spans="1:19" x14ac:dyDescent="0.4">
      <c r="A286">
        <v>20210809</v>
      </c>
      <c r="B286" s="1">
        <v>0.27083333333333331</v>
      </c>
      <c r="C286">
        <v>108698</v>
      </c>
      <c r="D286">
        <v>315071</v>
      </c>
      <c r="E286">
        <v>291594</v>
      </c>
      <c r="F286">
        <v>-156863</v>
      </c>
      <c r="G286">
        <v>-14966</v>
      </c>
      <c r="H286">
        <v>-199963</v>
      </c>
      <c r="I286">
        <v>299214</v>
      </c>
      <c r="J286">
        <v>60129</v>
      </c>
      <c r="K286">
        <v>-81469</v>
      </c>
      <c r="L286">
        <v>-10542</v>
      </c>
      <c r="M286">
        <v>6.99</v>
      </c>
      <c r="N286">
        <v>610903</v>
      </c>
      <c r="O286">
        <v>20681950</v>
      </c>
      <c r="P286" s="2">
        <v>2.9537978768926529</v>
      </c>
      <c r="Q286" t="str">
        <v/>
      </c>
      <c r="R286" s="2">
        <v>2.9537978768926529</v>
      </c>
      <c r="S286" s="5">
        <v>14.456683050000001</v>
      </c>
    </row>
    <row r="287" spans="1:19" x14ac:dyDescent="0.4">
      <c r="A287">
        <v>20210809</v>
      </c>
      <c r="B287" s="1">
        <v>0.29166666666666669</v>
      </c>
      <c r="C287">
        <v>150917</v>
      </c>
      <c r="D287">
        <v>325085</v>
      </c>
      <c r="E287">
        <v>238538</v>
      </c>
      <c r="F287">
        <v>48488</v>
      </c>
      <c r="G287">
        <v>42600</v>
      </c>
      <c r="H287">
        <v>-227471</v>
      </c>
      <c r="I287">
        <v>296926</v>
      </c>
      <c r="J287">
        <v>51510</v>
      </c>
      <c r="K287">
        <v>-133766</v>
      </c>
      <c r="L287">
        <v>-5279</v>
      </c>
      <c r="M287">
        <v>6.99</v>
      </c>
      <c r="N287">
        <v>787548</v>
      </c>
      <c r="O287">
        <v>21160500</v>
      </c>
      <c r="P287" s="2">
        <v>3.7217835117317644</v>
      </c>
      <c r="Q287" t="str">
        <v/>
      </c>
      <c r="R287" s="2">
        <v>3.7217835117317644</v>
      </c>
      <c r="S287" s="5">
        <v>14.7911895</v>
      </c>
    </row>
    <row r="288" spans="1:19" x14ac:dyDescent="0.4">
      <c r="A288">
        <v>20210809</v>
      </c>
      <c r="B288" s="1">
        <v>0.3125</v>
      </c>
      <c r="C288">
        <v>215648</v>
      </c>
      <c r="D288">
        <v>411920</v>
      </c>
      <c r="E288">
        <v>454084</v>
      </c>
      <c r="F288">
        <v>214906</v>
      </c>
      <c r="G288">
        <v>87480</v>
      </c>
      <c r="H288">
        <v>-259159</v>
      </c>
      <c r="I288">
        <v>400006</v>
      </c>
      <c r="J288">
        <v>51598</v>
      </c>
      <c r="K288">
        <v>-97469</v>
      </c>
      <c r="L288">
        <v>-4200</v>
      </c>
      <c r="M288">
        <v>7.17</v>
      </c>
      <c r="N288">
        <v>1474814</v>
      </c>
      <c r="O288">
        <v>21250150</v>
      </c>
      <c r="P288" s="2">
        <v>6.9402521864551545</v>
      </c>
      <c r="Q288" t="str">
        <v/>
      </c>
      <c r="R288" s="2">
        <v>6.9402521864551545</v>
      </c>
      <c r="S288" s="5">
        <v>15.236357549999999</v>
      </c>
    </row>
    <row r="289" spans="1:19" x14ac:dyDescent="0.4">
      <c r="A289">
        <v>20210809</v>
      </c>
      <c r="B289" s="1">
        <v>0.33333333333333331</v>
      </c>
      <c r="C289">
        <v>135460</v>
      </c>
      <c r="D289">
        <v>310576</v>
      </c>
      <c r="E289">
        <v>368248</v>
      </c>
      <c r="F289">
        <v>352096</v>
      </c>
      <c r="G289">
        <v>170026</v>
      </c>
      <c r="H289">
        <v>-326032</v>
      </c>
      <c r="I289">
        <v>-82699</v>
      </c>
      <c r="J289">
        <v>-74427</v>
      </c>
      <c r="K289">
        <v>-115724</v>
      </c>
      <c r="L289">
        <v>-6485</v>
      </c>
      <c r="M289">
        <v>7.91</v>
      </c>
      <c r="N289">
        <v>731039</v>
      </c>
      <c r="O289">
        <v>22050950</v>
      </c>
      <c r="P289" s="2">
        <v>3.3152267816125836</v>
      </c>
      <c r="Q289" t="str">
        <v/>
      </c>
      <c r="R289" s="2">
        <v>3.3152267816125836</v>
      </c>
      <c r="S289" s="5">
        <v>17.442301449999999</v>
      </c>
    </row>
    <row r="290" spans="1:19" x14ac:dyDescent="0.4">
      <c r="A290">
        <v>20210809</v>
      </c>
      <c r="B290" s="1">
        <v>0.35416666666666669</v>
      </c>
      <c r="C290">
        <v>191777</v>
      </c>
      <c r="D290">
        <v>319446</v>
      </c>
      <c r="E290">
        <v>239712</v>
      </c>
      <c r="F290">
        <v>206731</v>
      </c>
      <c r="G290">
        <v>194768</v>
      </c>
      <c r="H290">
        <v>-385502</v>
      </c>
      <c r="I290">
        <v>-122765</v>
      </c>
      <c r="J290">
        <v>-92180</v>
      </c>
      <c r="K290">
        <v>-85833</v>
      </c>
      <c r="L290">
        <v>-17887</v>
      </c>
      <c r="M290">
        <v>8.11</v>
      </c>
      <c r="N290">
        <v>448267</v>
      </c>
      <c r="O290">
        <v>22305550</v>
      </c>
      <c r="P290" s="2">
        <v>2.0096657558320685</v>
      </c>
      <c r="Q290" t="str">
        <v/>
      </c>
      <c r="R290" s="2">
        <v>2.0096657558320685</v>
      </c>
      <c r="S290" s="5">
        <v>18.089801049999998</v>
      </c>
    </row>
    <row r="291" spans="1:19" x14ac:dyDescent="0.4">
      <c r="A291">
        <v>20210809</v>
      </c>
      <c r="B291" s="1">
        <v>0.375</v>
      </c>
      <c r="C291">
        <v>124358</v>
      </c>
      <c r="D291">
        <v>307309</v>
      </c>
      <c r="E291">
        <v>80896</v>
      </c>
      <c r="F291">
        <v>141051</v>
      </c>
      <c r="G291">
        <v>182203</v>
      </c>
      <c r="H291">
        <v>-353147</v>
      </c>
      <c r="I291">
        <v>-77256</v>
      </c>
      <c r="J291">
        <v>-50025</v>
      </c>
      <c r="K291">
        <v>-82712</v>
      </c>
      <c r="L291">
        <v>7321</v>
      </c>
      <c r="M291">
        <v>8.86</v>
      </c>
      <c r="N291">
        <v>279998</v>
      </c>
      <c r="O291">
        <v>22504000</v>
      </c>
      <c r="P291" s="2">
        <v>1.2442143618912194</v>
      </c>
      <c r="Q291" t="str">
        <v/>
      </c>
      <c r="R291" s="2">
        <v>1.2442143618912194</v>
      </c>
      <c r="S291" s="5">
        <v>19.938544</v>
      </c>
    </row>
    <row r="292" spans="1:19" x14ac:dyDescent="0.4">
      <c r="A292">
        <v>20210809</v>
      </c>
      <c r="B292" s="1">
        <v>0.39583333333333331</v>
      </c>
      <c r="C292">
        <v>146922</v>
      </c>
      <c r="D292">
        <v>256565</v>
      </c>
      <c r="E292">
        <v>-148051</v>
      </c>
      <c r="F292">
        <v>6804</v>
      </c>
      <c r="G292">
        <v>151854</v>
      </c>
      <c r="H292">
        <v>-5466</v>
      </c>
      <c r="I292">
        <v>-16161</v>
      </c>
      <c r="J292">
        <v>-21289</v>
      </c>
      <c r="K292">
        <v>-10571</v>
      </c>
      <c r="L292">
        <v>371</v>
      </c>
      <c r="M292">
        <v>8.86</v>
      </c>
      <c r="N292">
        <v>360978</v>
      </c>
      <c r="O292">
        <v>22661800</v>
      </c>
      <c r="P292" s="2">
        <v>1.5928920032830578</v>
      </c>
      <c r="Q292" t="str">
        <v/>
      </c>
      <c r="R292" s="2">
        <v>1.5928920032830578</v>
      </c>
      <c r="S292" s="5">
        <v>20.0783548</v>
      </c>
    </row>
    <row r="293" spans="1:19" x14ac:dyDescent="0.4">
      <c r="A293">
        <v>20210809</v>
      </c>
      <c r="B293" s="1">
        <v>0.41666666666666669</v>
      </c>
      <c r="C293">
        <v>165808</v>
      </c>
      <c r="D293">
        <v>272843</v>
      </c>
      <c r="E293">
        <v>482129</v>
      </c>
      <c r="F293">
        <v>134904</v>
      </c>
      <c r="G293">
        <v>135448</v>
      </c>
      <c r="H293">
        <v>261932</v>
      </c>
      <c r="I293">
        <v>-67611</v>
      </c>
      <c r="J293">
        <v>85343</v>
      </c>
      <c r="K293">
        <v>183682</v>
      </c>
      <c r="L293">
        <v>-175</v>
      </c>
      <c r="M293">
        <v>9.5299999999999994</v>
      </c>
      <c r="N293">
        <v>1654303</v>
      </c>
      <c r="O293">
        <v>22659300</v>
      </c>
      <c r="P293" s="2">
        <v>7.3007683379451267</v>
      </c>
      <c r="Q293" t="str">
        <v/>
      </c>
      <c r="R293" s="2">
        <v>7.3007683379451267</v>
      </c>
      <c r="S293" s="5">
        <v>21.594312899999998</v>
      </c>
    </row>
    <row r="294" spans="1:19" x14ac:dyDescent="0.4">
      <c r="A294">
        <v>20210809</v>
      </c>
      <c r="B294" s="1">
        <v>0.4375</v>
      </c>
      <c r="C294">
        <v>160686</v>
      </c>
      <c r="D294">
        <v>392919</v>
      </c>
      <c r="E294">
        <v>1728306</v>
      </c>
      <c r="F294">
        <v>144187</v>
      </c>
      <c r="G294">
        <v>129039</v>
      </c>
      <c r="H294">
        <v>443992</v>
      </c>
      <c r="I294">
        <v>49004</v>
      </c>
      <c r="J294">
        <v>129015</v>
      </c>
      <c r="K294">
        <v>205557</v>
      </c>
      <c r="L294">
        <v>-1083</v>
      </c>
      <c r="M294">
        <v>9.59</v>
      </c>
      <c r="N294">
        <v>3381622</v>
      </c>
      <c r="O294">
        <v>22712050</v>
      </c>
      <c r="P294" s="2">
        <v>14.889109525560221</v>
      </c>
      <c r="Q294" t="str">
        <v/>
      </c>
      <c r="R294" s="2">
        <v>14.889109525560221</v>
      </c>
      <c r="S294" s="5">
        <v>21.780855949999999</v>
      </c>
    </row>
    <row r="295" spans="1:19" x14ac:dyDescent="0.4">
      <c r="A295">
        <v>20210809</v>
      </c>
      <c r="B295" s="1">
        <v>0.45833333333333331</v>
      </c>
      <c r="C295">
        <v>152621</v>
      </c>
      <c r="D295">
        <v>399947</v>
      </c>
      <c r="E295">
        <v>2543856</v>
      </c>
      <c r="F295">
        <v>260955</v>
      </c>
      <c r="G295">
        <v>141097</v>
      </c>
      <c r="H295">
        <v>638086</v>
      </c>
      <c r="I295">
        <v>16553</v>
      </c>
      <c r="J295">
        <v>173167</v>
      </c>
      <c r="K295">
        <v>265857</v>
      </c>
      <c r="L295">
        <v>6873</v>
      </c>
      <c r="M295">
        <v>10.27</v>
      </c>
      <c r="N295">
        <v>4599012</v>
      </c>
      <c r="O295">
        <v>22856250</v>
      </c>
      <c r="P295" s="2">
        <v>20.121463494667761</v>
      </c>
      <c r="Q295" t="str">
        <v/>
      </c>
      <c r="R295" s="2">
        <v>20.121463494667761</v>
      </c>
      <c r="S295" s="5">
        <v>23.473368749999999</v>
      </c>
    </row>
    <row r="296" spans="1:19" x14ac:dyDescent="0.4">
      <c r="A296">
        <v>20210809</v>
      </c>
      <c r="B296" s="1">
        <v>0.47916666666666669</v>
      </c>
      <c r="C296">
        <v>134575</v>
      </c>
      <c r="D296">
        <v>435232</v>
      </c>
      <c r="E296">
        <v>2014186</v>
      </c>
      <c r="F296">
        <v>408944</v>
      </c>
      <c r="G296">
        <v>136519</v>
      </c>
      <c r="H296">
        <v>806232</v>
      </c>
      <c r="I296">
        <v>79943</v>
      </c>
      <c r="J296">
        <v>154228</v>
      </c>
      <c r="K296">
        <v>126230</v>
      </c>
      <c r="L296">
        <v>-3843</v>
      </c>
      <c r="M296">
        <v>10.27</v>
      </c>
      <c r="N296">
        <v>4292246</v>
      </c>
      <c r="O296">
        <v>23534700</v>
      </c>
      <c r="P296" s="2">
        <v>18.237946521519287</v>
      </c>
      <c r="Q296" t="str">
        <v/>
      </c>
      <c r="R296" s="2">
        <v>18.237946521519287</v>
      </c>
      <c r="S296" s="5">
        <v>24.170136899999999</v>
      </c>
    </row>
    <row r="297" spans="1:19" x14ac:dyDescent="0.4">
      <c r="A297">
        <v>20210809</v>
      </c>
      <c r="B297" s="1">
        <v>0.5</v>
      </c>
      <c r="C297">
        <v>152594</v>
      </c>
      <c r="D297">
        <v>478237</v>
      </c>
      <c r="E297">
        <v>2071487</v>
      </c>
      <c r="F297">
        <v>403669</v>
      </c>
      <c r="G297">
        <v>106350</v>
      </c>
      <c r="H297">
        <v>741285</v>
      </c>
      <c r="I297">
        <v>94473</v>
      </c>
      <c r="J297">
        <v>178557</v>
      </c>
      <c r="K297">
        <v>300767</v>
      </c>
      <c r="L297">
        <v>-9101</v>
      </c>
      <c r="M297">
        <v>10.220000000000001</v>
      </c>
      <c r="N297">
        <v>4518318</v>
      </c>
      <c r="O297">
        <v>23247400</v>
      </c>
      <c r="P297" s="2">
        <v>19.435799272176673</v>
      </c>
      <c r="Q297" t="str">
        <v/>
      </c>
      <c r="R297" s="2">
        <v>19.435799272176673</v>
      </c>
      <c r="S297" s="5">
        <v>23.7588428</v>
      </c>
    </row>
    <row r="298" spans="1:19" x14ac:dyDescent="0.4">
      <c r="A298">
        <v>20210809</v>
      </c>
      <c r="B298" s="1">
        <v>0.52083333333333337</v>
      </c>
      <c r="C298">
        <v>131017</v>
      </c>
      <c r="D298">
        <v>594513</v>
      </c>
      <c r="E298">
        <v>1972259</v>
      </c>
      <c r="F298">
        <v>558782</v>
      </c>
      <c r="G298">
        <v>79886</v>
      </c>
      <c r="H298">
        <v>769817</v>
      </c>
      <c r="I298">
        <v>187808</v>
      </c>
      <c r="J298">
        <v>-164225</v>
      </c>
      <c r="K298">
        <v>424401</v>
      </c>
      <c r="L298">
        <v>-29603</v>
      </c>
      <c r="M298">
        <v>10.220000000000001</v>
      </c>
      <c r="N298">
        <v>4524655</v>
      </c>
      <c r="O298">
        <v>23076250</v>
      </c>
      <c r="P298" s="2">
        <v>19.607410216131303</v>
      </c>
      <c r="Q298" t="str">
        <v/>
      </c>
      <c r="R298" s="2">
        <v>19.607410216131303</v>
      </c>
      <c r="S298" s="5">
        <v>23.583927500000001</v>
      </c>
    </row>
    <row r="299" spans="1:19" x14ac:dyDescent="0.4">
      <c r="A299">
        <v>20210809</v>
      </c>
      <c r="B299" s="1">
        <v>0.54166666666666663</v>
      </c>
      <c r="C299">
        <v>118648</v>
      </c>
      <c r="D299">
        <v>429946</v>
      </c>
      <c r="E299">
        <v>1894482</v>
      </c>
      <c r="F299">
        <v>439382</v>
      </c>
      <c r="G299">
        <v>73963</v>
      </c>
      <c r="H299">
        <v>1005136</v>
      </c>
      <c r="I299">
        <v>359557</v>
      </c>
      <c r="J299">
        <v>-261073</v>
      </c>
      <c r="K299">
        <v>624933</v>
      </c>
      <c r="L299">
        <v>-14271</v>
      </c>
      <c r="M299">
        <v>10.220000000000001</v>
      </c>
      <c r="N299">
        <v>4670703</v>
      </c>
      <c r="O299">
        <v>22735500</v>
      </c>
      <c r="P299" s="2">
        <v>20.54365639638451</v>
      </c>
      <c r="Q299" t="str">
        <v/>
      </c>
      <c r="R299" s="2">
        <v>20.54365639638451</v>
      </c>
      <c r="S299" s="5">
        <v>23.235681</v>
      </c>
    </row>
    <row r="300" spans="1:19" x14ac:dyDescent="0.4">
      <c r="A300">
        <v>20210809</v>
      </c>
      <c r="B300" s="1">
        <v>0.5625</v>
      </c>
      <c r="C300">
        <v>119943</v>
      </c>
      <c r="D300">
        <v>477912</v>
      </c>
      <c r="E300">
        <v>1413788</v>
      </c>
      <c r="F300">
        <v>572744</v>
      </c>
      <c r="G300">
        <v>64634</v>
      </c>
      <c r="H300">
        <v>1158427</v>
      </c>
      <c r="I300">
        <v>17041</v>
      </c>
      <c r="J300">
        <v>-350471</v>
      </c>
      <c r="K300">
        <v>607851</v>
      </c>
      <c r="L300">
        <v>-21051</v>
      </c>
      <c r="M300">
        <v>10.220000000000001</v>
      </c>
      <c r="N300">
        <v>4060818</v>
      </c>
      <c r="O300">
        <v>22839400</v>
      </c>
      <c r="P300" s="2">
        <v>17.77988038214664</v>
      </c>
      <c r="Q300" t="str">
        <v/>
      </c>
      <c r="R300" s="2">
        <v>17.77988038214664</v>
      </c>
      <c r="S300" s="5">
        <v>23.341866799999998</v>
      </c>
    </row>
    <row r="301" spans="1:19" x14ac:dyDescent="0.4">
      <c r="A301">
        <v>20210809</v>
      </c>
      <c r="B301" s="1">
        <v>0.58333333333333337</v>
      </c>
      <c r="C301">
        <v>120538</v>
      </c>
      <c r="D301">
        <v>431723</v>
      </c>
      <c r="E301">
        <v>1247633</v>
      </c>
      <c r="F301">
        <v>625215</v>
      </c>
      <c r="G301">
        <v>19079</v>
      </c>
      <c r="H301">
        <v>669131</v>
      </c>
      <c r="I301">
        <v>5948</v>
      </c>
      <c r="J301">
        <v>-278593</v>
      </c>
      <c r="K301">
        <v>546265</v>
      </c>
      <c r="L301">
        <v>-10094</v>
      </c>
      <c r="M301">
        <v>10.27</v>
      </c>
      <c r="N301">
        <v>3376845</v>
      </c>
      <c r="O301">
        <v>22719200</v>
      </c>
      <c r="P301" s="2">
        <v>14.863397478784464</v>
      </c>
      <c r="Q301" t="str">
        <v/>
      </c>
      <c r="R301" s="2">
        <v>14.863397478784464</v>
      </c>
      <c r="S301" s="5">
        <v>23.332618400000001</v>
      </c>
    </row>
    <row r="302" spans="1:19" x14ac:dyDescent="0.4">
      <c r="A302">
        <v>20210809</v>
      </c>
      <c r="B302" s="1">
        <v>0.60416666666666663</v>
      </c>
      <c r="C302">
        <v>63697</v>
      </c>
      <c r="D302">
        <v>419471</v>
      </c>
      <c r="E302">
        <v>934883</v>
      </c>
      <c r="F302">
        <v>773470</v>
      </c>
      <c r="G302">
        <v>42346</v>
      </c>
      <c r="H302">
        <v>719378</v>
      </c>
      <c r="I302">
        <v>217711</v>
      </c>
      <c r="J302">
        <v>-227644</v>
      </c>
      <c r="K302">
        <v>548901</v>
      </c>
      <c r="L302">
        <v>-18500</v>
      </c>
      <c r="M302">
        <v>10.27</v>
      </c>
      <c r="N302">
        <v>3473713</v>
      </c>
      <c r="O302">
        <v>22591800</v>
      </c>
      <c r="P302" s="2">
        <v>15.375990403597765</v>
      </c>
      <c r="Q302" t="str">
        <v/>
      </c>
      <c r="R302" s="2">
        <v>15.375990403597765</v>
      </c>
      <c r="S302" s="5">
        <v>23.201778600000001</v>
      </c>
    </row>
    <row r="303" spans="1:19" x14ac:dyDescent="0.4">
      <c r="A303">
        <v>20210809</v>
      </c>
      <c r="B303" s="1">
        <v>0.625</v>
      </c>
      <c r="C303">
        <v>97944</v>
      </c>
      <c r="D303">
        <v>320924</v>
      </c>
      <c r="E303">
        <v>778041</v>
      </c>
      <c r="F303">
        <v>850594</v>
      </c>
      <c r="G303">
        <v>3735</v>
      </c>
      <c r="H303">
        <v>1254716</v>
      </c>
      <c r="I303">
        <v>106531</v>
      </c>
      <c r="J303">
        <v>-182146</v>
      </c>
      <c r="K303">
        <v>584592</v>
      </c>
      <c r="L303">
        <v>-6832</v>
      </c>
      <c r="M303">
        <v>10.55</v>
      </c>
      <c r="N303">
        <v>3808099</v>
      </c>
      <c r="O303">
        <v>22549400</v>
      </c>
      <c r="P303" s="2">
        <v>16.887806327441083</v>
      </c>
      <c r="Q303" t="str">
        <v/>
      </c>
      <c r="R303" s="2">
        <v>16.887806327441083</v>
      </c>
      <c r="S303" s="5">
        <v>23.789617000000003</v>
      </c>
    </row>
    <row r="304" spans="1:19" x14ac:dyDescent="0.4">
      <c r="A304">
        <v>20210809</v>
      </c>
      <c r="B304" s="1">
        <v>0.64583333333333337</v>
      </c>
      <c r="C304">
        <v>100199</v>
      </c>
      <c r="D304">
        <v>276963</v>
      </c>
      <c r="E304">
        <v>646941</v>
      </c>
      <c r="F304">
        <v>651810</v>
      </c>
      <c r="G304">
        <v>50292</v>
      </c>
      <c r="H304">
        <v>1102860</v>
      </c>
      <c r="I304">
        <v>177068</v>
      </c>
      <c r="J304">
        <v>-169853</v>
      </c>
      <c r="K304">
        <v>538214</v>
      </c>
      <c r="L304">
        <v>-19154</v>
      </c>
      <c r="M304">
        <v>15</v>
      </c>
      <c r="N304">
        <v>3355340</v>
      </c>
      <c r="O304">
        <v>22192650</v>
      </c>
      <c r="P304" s="2">
        <v>15.119149808607805</v>
      </c>
      <c r="Q304" t="str">
        <v/>
      </c>
      <c r="R304" s="2">
        <v>15.119149808607805</v>
      </c>
      <c r="S304" s="5">
        <v>33.288975000000001</v>
      </c>
    </row>
    <row r="305" spans="1:19" x14ac:dyDescent="0.4">
      <c r="A305">
        <v>20210809</v>
      </c>
      <c r="B305" s="1">
        <v>0.66666666666666663</v>
      </c>
      <c r="C305">
        <v>101977</v>
      </c>
      <c r="D305">
        <v>303262</v>
      </c>
      <c r="E305">
        <v>682177</v>
      </c>
      <c r="F305">
        <v>789437</v>
      </c>
      <c r="G305">
        <v>38591</v>
      </c>
      <c r="H305">
        <v>1030676</v>
      </c>
      <c r="I305">
        <v>527622</v>
      </c>
      <c r="J305">
        <v>-103640</v>
      </c>
      <c r="K305">
        <v>483565</v>
      </c>
      <c r="L305">
        <v>-7722</v>
      </c>
      <c r="M305">
        <v>12</v>
      </c>
      <c r="N305">
        <v>3845945</v>
      </c>
      <c r="O305">
        <v>22824900</v>
      </c>
      <c r="P305" s="2">
        <v>16.849778093222753</v>
      </c>
      <c r="Q305" t="str">
        <v/>
      </c>
      <c r="R305" s="2">
        <v>16.849778093222753</v>
      </c>
      <c r="S305" s="5">
        <v>27.389880000000002</v>
      </c>
    </row>
    <row r="306" spans="1:19" x14ac:dyDescent="0.4">
      <c r="A306">
        <v>20210809</v>
      </c>
      <c r="B306" s="1">
        <v>0.6875</v>
      </c>
      <c r="C306">
        <v>95505</v>
      </c>
      <c r="D306">
        <v>281181</v>
      </c>
      <c r="E306">
        <v>712267</v>
      </c>
      <c r="F306">
        <v>831461</v>
      </c>
      <c r="G306">
        <v>63925</v>
      </c>
      <c r="H306">
        <v>940412</v>
      </c>
      <c r="I306">
        <v>541309</v>
      </c>
      <c r="J306">
        <v>-49366</v>
      </c>
      <c r="K306">
        <v>458370</v>
      </c>
      <c r="L306">
        <v>-28263</v>
      </c>
      <c r="M306">
        <v>12.79</v>
      </c>
      <c r="N306">
        <v>3846801</v>
      </c>
      <c r="O306">
        <v>22483750</v>
      </c>
      <c r="P306" s="2">
        <v>17.109250013898926</v>
      </c>
      <c r="Q306" t="str">
        <v/>
      </c>
      <c r="R306" s="2">
        <v>17.109250013898926</v>
      </c>
      <c r="S306" s="5">
        <v>28.75671625</v>
      </c>
    </row>
    <row r="307" spans="1:19" x14ac:dyDescent="0.4">
      <c r="A307">
        <v>20210809</v>
      </c>
      <c r="B307" s="1">
        <v>0.70833333333333337</v>
      </c>
      <c r="C307">
        <v>69628</v>
      </c>
      <c r="D307">
        <v>252470</v>
      </c>
      <c r="E307">
        <v>617868</v>
      </c>
      <c r="F307">
        <v>824415</v>
      </c>
      <c r="G307">
        <v>117394</v>
      </c>
      <c r="H307">
        <v>470185</v>
      </c>
      <c r="I307">
        <v>438048</v>
      </c>
      <c r="J307">
        <v>-8676</v>
      </c>
      <c r="K307">
        <v>338880</v>
      </c>
      <c r="L307">
        <v>-19209</v>
      </c>
      <c r="M307">
        <v>12.79</v>
      </c>
      <c r="N307">
        <v>3101003</v>
      </c>
      <c r="O307">
        <v>22299400</v>
      </c>
      <c r="P307" s="2">
        <v>13.906217207637873</v>
      </c>
      <c r="Q307" t="str">
        <v/>
      </c>
      <c r="R307" s="2">
        <v>13.906217207637873</v>
      </c>
      <c r="S307" s="5">
        <v>28.520932599999998</v>
      </c>
    </row>
    <row r="308" spans="1:19" x14ac:dyDescent="0.4">
      <c r="A308">
        <v>20210809</v>
      </c>
      <c r="B308" s="1">
        <v>0.72916666666666663</v>
      </c>
      <c r="C308">
        <v>100580</v>
      </c>
      <c r="D308">
        <v>144315</v>
      </c>
      <c r="E308">
        <v>532983</v>
      </c>
      <c r="F308">
        <v>770417</v>
      </c>
      <c r="G308">
        <v>111558</v>
      </c>
      <c r="H308">
        <v>326369</v>
      </c>
      <c r="I308">
        <v>286720</v>
      </c>
      <c r="J308">
        <v>1023</v>
      </c>
      <c r="K308">
        <v>284830</v>
      </c>
      <c r="L308">
        <v>-33346</v>
      </c>
      <c r="M308">
        <v>13.14</v>
      </c>
      <c r="N308">
        <v>2525449</v>
      </c>
      <c r="O308">
        <v>21977850</v>
      </c>
      <c r="P308" s="2">
        <v>11.490882866158428</v>
      </c>
      <c r="Q308" t="str">
        <v/>
      </c>
      <c r="R308" s="2">
        <v>11.490882866158428</v>
      </c>
      <c r="S308" s="5">
        <v>28.878894899999999</v>
      </c>
    </row>
    <row r="309" spans="1:19" x14ac:dyDescent="0.4">
      <c r="A309">
        <v>20210809</v>
      </c>
      <c r="B309" s="1">
        <v>0.75</v>
      </c>
      <c r="C309">
        <v>53050</v>
      </c>
      <c r="D309">
        <v>286711</v>
      </c>
      <c r="E309">
        <v>341674</v>
      </c>
      <c r="F309">
        <v>592647</v>
      </c>
      <c r="G309">
        <v>61059</v>
      </c>
      <c r="H309">
        <v>429762</v>
      </c>
      <c r="I309">
        <v>323908</v>
      </c>
      <c r="J309">
        <v>52982</v>
      </c>
      <c r="K309">
        <v>289778</v>
      </c>
      <c r="L309">
        <v>-18648</v>
      </c>
      <c r="M309">
        <v>14.63</v>
      </c>
      <c r="N309">
        <v>2412923</v>
      </c>
      <c r="O309">
        <v>22005350</v>
      </c>
      <c r="P309" s="2">
        <v>10.965165289350089</v>
      </c>
      <c r="Q309" t="str">
        <v/>
      </c>
      <c r="R309" s="2">
        <v>10.965165289350089</v>
      </c>
      <c r="S309" s="5">
        <v>32.193827050000003</v>
      </c>
    </row>
    <row r="310" spans="1:19" x14ac:dyDescent="0.4">
      <c r="A310">
        <v>20210809</v>
      </c>
      <c r="B310" s="1">
        <v>0.77083333333333337</v>
      </c>
      <c r="C310">
        <v>105998</v>
      </c>
      <c r="D310">
        <v>169847</v>
      </c>
      <c r="E310">
        <v>225060</v>
      </c>
      <c r="F310">
        <v>520613</v>
      </c>
      <c r="G310">
        <v>74221</v>
      </c>
      <c r="H310">
        <v>469078</v>
      </c>
      <c r="I310">
        <v>215803</v>
      </c>
      <c r="J310">
        <v>82016</v>
      </c>
      <c r="K310">
        <v>358727</v>
      </c>
      <c r="L310">
        <v>-25278</v>
      </c>
      <c r="M310">
        <v>16.27</v>
      </c>
      <c r="N310">
        <v>2196085</v>
      </c>
      <c r="O310">
        <v>21889150</v>
      </c>
      <c r="P310" s="2">
        <v>10.032755954434046</v>
      </c>
      <c r="Q310" t="str">
        <v/>
      </c>
      <c r="R310" s="2">
        <v>10.032755954434046</v>
      </c>
      <c r="S310" s="5">
        <v>35.613647049999997</v>
      </c>
    </row>
    <row r="311" spans="1:19" x14ac:dyDescent="0.4">
      <c r="A311">
        <v>20210809</v>
      </c>
      <c r="B311" s="1">
        <v>0.79166666666666663</v>
      </c>
      <c r="C311">
        <v>87638</v>
      </c>
      <c r="D311">
        <v>278241</v>
      </c>
      <c r="E311">
        <v>126058</v>
      </c>
      <c r="F311">
        <v>628509</v>
      </c>
      <c r="G311">
        <v>84167</v>
      </c>
      <c r="H311">
        <v>437926</v>
      </c>
      <c r="I311">
        <v>250833</v>
      </c>
      <c r="J311">
        <v>108656</v>
      </c>
      <c r="K311">
        <v>380424</v>
      </c>
      <c r="L311">
        <v>-13758</v>
      </c>
      <c r="M311">
        <v>15</v>
      </c>
      <c r="N311">
        <v>2368694</v>
      </c>
      <c r="O311">
        <v>21872700</v>
      </c>
      <c r="P311" s="2">
        <v>10.829454068313469</v>
      </c>
      <c r="Q311" t="str">
        <v/>
      </c>
      <c r="R311" s="2">
        <v>10.829454068313469</v>
      </c>
      <c r="S311" s="5">
        <v>32.809049999999999</v>
      </c>
    </row>
    <row r="312" spans="1:19" x14ac:dyDescent="0.4">
      <c r="A312">
        <v>20210809</v>
      </c>
      <c r="B312" s="1">
        <v>0.8125</v>
      </c>
      <c r="C312">
        <v>128185</v>
      </c>
      <c r="D312">
        <v>304412</v>
      </c>
      <c r="E312">
        <v>199560</v>
      </c>
      <c r="F312">
        <v>606517</v>
      </c>
      <c r="G312">
        <v>78646</v>
      </c>
      <c r="H312">
        <v>605952</v>
      </c>
      <c r="I312">
        <v>217662</v>
      </c>
      <c r="J312">
        <v>119898</v>
      </c>
      <c r="K312">
        <v>404911</v>
      </c>
      <c r="L312">
        <v>-16698</v>
      </c>
      <c r="M312">
        <v>13.14</v>
      </c>
      <c r="N312">
        <v>2649045</v>
      </c>
      <c r="O312">
        <v>21573800</v>
      </c>
      <c r="P312" s="2">
        <v>12.27899118375066</v>
      </c>
      <c r="Q312" t="str">
        <v/>
      </c>
      <c r="R312" s="2">
        <v>12.27899118375066</v>
      </c>
      <c r="S312" s="5">
        <v>28.347973199999998</v>
      </c>
    </row>
    <row r="313" spans="1:19" x14ac:dyDescent="0.4">
      <c r="A313">
        <v>20210809</v>
      </c>
      <c r="B313" s="1">
        <v>0.83333333333333337</v>
      </c>
      <c r="C313">
        <v>157144</v>
      </c>
      <c r="D313">
        <v>241358</v>
      </c>
      <c r="E313">
        <v>130860</v>
      </c>
      <c r="F313">
        <v>732217</v>
      </c>
      <c r="G313">
        <v>106706</v>
      </c>
      <c r="H313">
        <v>779140</v>
      </c>
      <c r="I313">
        <v>205386</v>
      </c>
      <c r="J313">
        <v>118302</v>
      </c>
      <c r="K313">
        <v>442957</v>
      </c>
      <c r="L313">
        <v>-12511</v>
      </c>
      <c r="M313">
        <v>12.56</v>
      </c>
      <c r="N313">
        <v>2901559</v>
      </c>
      <c r="O313">
        <v>20973250</v>
      </c>
      <c r="P313" s="2">
        <v>13.834570226359768</v>
      </c>
      <c r="Q313" t="str">
        <v/>
      </c>
      <c r="R313" s="2">
        <v>13.834570226359768</v>
      </c>
      <c r="S313" s="5">
        <v>26.342402</v>
      </c>
    </row>
    <row r="314" spans="1:19" x14ac:dyDescent="0.4">
      <c r="A314">
        <v>20210809</v>
      </c>
      <c r="B314" s="1">
        <v>0.85416666666666663</v>
      </c>
      <c r="C314">
        <v>75528</v>
      </c>
      <c r="D314">
        <v>230874</v>
      </c>
      <c r="E314">
        <v>309443</v>
      </c>
      <c r="F314">
        <v>661930</v>
      </c>
      <c r="G314">
        <v>81268</v>
      </c>
      <c r="H314">
        <v>799546</v>
      </c>
      <c r="I314">
        <v>132984</v>
      </c>
      <c r="J314">
        <v>119618</v>
      </c>
      <c r="K314">
        <v>472886</v>
      </c>
      <c r="L314">
        <v>-7566</v>
      </c>
      <c r="M314">
        <v>12.02</v>
      </c>
      <c r="N314">
        <v>2876511</v>
      </c>
      <c r="O314">
        <v>20837700</v>
      </c>
      <c r="P314" s="2">
        <v>13.804359406268446</v>
      </c>
      <c r="Q314" t="str">
        <v/>
      </c>
      <c r="R314" s="2">
        <v>13.804359406268446</v>
      </c>
      <c r="S314" s="5">
        <v>25.0469154</v>
      </c>
    </row>
    <row r="315" spans="1:19" x14ac:dyDescent="0.4">
      <c r="A315">
        <v>20210809</v>
      </c>
      <c r="B315" s="1">
        <v>0.875</v>
      </c>
      <c r="C315">
        <v>112661</v>
      </c>
      <c r="D315">
        <v>222640</v>
      </c>
      <c r="E315">
        <v>367756</v>
      </c>
      <c r="F315">
        <v>712606</v>
      </c>
      <c r="G315">
        <v>70161</v>
      </c>
      <c r="H315">
        <v>764070</v>
      </c>
      <c r="I315">
        <v>193642</v>
      </c>
      <c r="J315">
        <v>122982</v>
      </c>
      <c r="K315">
        <v>477405</v>
      </c>
      <c r="L315">
        <v>-15058</v>
      </c>
      <c r="M315">
        <v>10.19</v>
      </c>
      <c r="N315">
        <v>3028865</v>
      </c>
      <c r="O315">
        <v>20585850</v>
      </c>
      <c r="P315" s="2">
        <v>14.713334644913861</v>
      </c>
      <c r="Q315" t="str">
        <v/>
      </c>
      <c r="R315" s="2">
        <v>14.713334644913861</v>
      </c>
      <c r="S315" s="5">
        <v>20.97698115</v>
      </c>
    </row>
    <row r="316" spans="1:19" x14ac:dyDescent="0.4">
      <c r="A316">
        <v>20210809</v>
      </c>
      <c r="B316" s="1">
        <v>0.89583333333333337</v>
      </c>
      <c r="C316">
        <v>65816</v>
      </c>
      <c r="D316">
        <v>202350</v>
      </c>
      <c r="E316">
        <v>425502</v>
      </c>
      <c r="F316">
        <v>710847</v>
      </c>
      <c r="G316">
        <v>77162</v>
      </c>
      <c r="H316">
        <v>693762</v>
      </c>
      <c r="I316">
        <v>108874</v>
      </c>
      <c r="J316">
        <v>122768</v>
      </c>
      <c r="K316">
        <v>500849</v>
      </c>
      <c r="L316">
        <v>-7120</v>
      </c>
      <c r="M316">
        <v>9.9499999999999993</v>
      </c>
      <c r="N316">
        <v>2900810</v>
      </c>
      <c r="O316">
        <v>20381900</v>
      </c>
      <c r="P316" s="2">
        <v>14.232284526957741</v>
      </c>
      <c r="Q316" t="str">
        <v/>
      </c>
      <c r="R316" s="2">
        <v>14.232284526957741</v>
      </c>
      <c r="S316" s="5">
        <v>20.2799905</v>
      </c>
    </row>
    <row r="317" spans="1:19" x14ac:dyDescent="0.4">
      <c r="A317">
        <v>20210809</v>
      </c>
      <c r="B317" s="1">
        <v>0.91666666666666663</v>
      </c>
      <c r="C317">
        <v>69128</v>
      </c>
      <c r="D317">
        <v>186789</v>
      </c>
      <c r="E317">
        <v>451773</v>
      </c>
      <c r="F317">
        <v>409105</v>
      </c>
      <c r="G317">
        <v>44492</v>
      </c>
      <c r="H317">
        <v>676064</v>
      </c>
      <c r="I317">
        <v>36527</v>
      </c>
      <c r="J317">
        <v>130895</v>
      </c>
      <c r="K317">
        <v>468868</v>
      </c>
      <c r="L317">
        <v>-5392</v>
      </c>
      <c r="M317">
        <v>9.57</v>
      </c>
      <c r="N317">
        <v>2468249</v>
      </c>
      <c r="O317">
        <v>20082100</v>
      </c>
      <c r="P317" s="2">
        <v>12.290791301706495</v>
      </c>
      <c r="Q317" t="str">
        <v/>
      </c>
      <c r="R317" s="2">
        <v>12.290791301706495</v>
      </c>
      <c r="S317" s="5">
        <v>19.2185697</v>
      </c>
    </row>
    <row r="318" spans="1:19" x14ac:dyDescent="0.4">
      <c r="A318">
        <v>20210809</v>
      </c>
      <c r="B318" s="1">
        <v>0.9375</v>
      </c>
      <c r="C318">
        <v>39758</v>
      </c>
      <c r="D318">
        <v>187301</v>
      </c>
      <c r="E318">
        <v>475072</v>
      </c>
      <c r="F318">
        <v>341615</v>
      </c>
      <c r="G318">
        <v>46574</v>
      </c>
      <c r="H318">
        <v>643108</v>
      </c>
      <c r="I318">
        <v>74088</v>
      </c>
      <c r="J318">
        <v>125175</v>
      </c>
      <c r="K318">
        <v>447793</v>
      </c>
      <c r="L318">
        <v>2613</v>
      </c>
      <c r="M318">
        <v>9.5</v>
      </c>
      <c r="N318">
        <v>2383097</v>
      </c>
      <c r="O318">
        <v>19809400</v>
      </c>
      <c r="P318" s="2">
        <v>12.030132159479843</v>
      </c>
      <c r="Q318" t="str">
        <v/>
      </c>
      <c r="R318" s="2">
        <v>12.030132159479843</v>
      </c>
      <c r="S318" s="5">
        <v>18.818930000000002</v>
      </c>
    </row>
    <row r="319" spans="1:19" x14ac:dyDescent="0.4">
      <c r="A319">
        <v>20210809</v>
      </c>
      <c r="B319" s="1">
        <v>0.95833333333333337</v>
      </c>
      <c r="C319">
        <v>55103</v>
      </c>
      <c r="D319">
        <v>174750</v>
      </c>
      <c r="E319">
        <v>450046</v>
      </c>
      <c r="F319">
        <v>311317</v>
      </c>
      <c r="G319">
        <v>-2808</v>
      </c>
      <c r="H319">
        <v>583457</v>
      </c>
      <c r="I319">
        <v>-39195</v>
      </c>
      <c r="J319">
        <v>112821</v>
      </c>
      <c r="K319">
        <v>220746</v>
      </c>
      <c r="L319">
        <v>-20605</v>
      </c>
      <c r="M319">
        <v>7.79</v>
      </c>
      <c r="N319">
        <v>1845632</v>
      </c>
      <c r="O319">
        <v>19257550</v>
      </c>
      <c r="P319" s="2">
        <v>9.5839398054269616</v>
      </c>
      <c r="Q319" t="str">
        <v/>
      </c>
      <c r="R319" s="2">
        <v>9.5839398054269616</v>
      </c>
      <c r="S319" s="5">
        <v>15.00163145</v>
      </c>
    </row>
    <row r="320" spans="1:19" x14ac:dyDescent="0.4">
      <c r="A320">
        <v>20210809</v>
      </c>
      <c r="B320" s="1">
        <v>0.97916666666666663</v>
      </c>
      <c r="C320">
        <v>49181</v>
      </c>
      <c r="D320">
        <v>162974</v>
      </c>
      <c r="E320">
        <v>355370</v>
      </c>
      <c r="F320">
        <v>262505</v>
      </c>
      <c r="G320">
        <v>-8756</v>
      </c>
      <c r="H320">
        <v>389951</v>
      </c>
      <c r="I320">
        <v>-31410</v>
      </c>
      <c r="J320">
        <v>92214</v>
      </c>
      <c r="K320">
        <v>205161</v>
      </c>
      <c r="L320">
        <v>-10094</v>
      </c>
      <c r="M320">
        <v>7.3</v>
      </c>
      <c r="N320">
        <v>1467096</v>
      </c>
      <c r="O320">
        <v>18288650</v>
      </c>
      <c r="P320" s="2">
        <v>8.0218933600894538</v>
      </c>
      <c r="Q320" t="str">
        <v/>
      </c>
      <c r="R320" s="2">
        <v>8.0218933600894538</v>
      </c>
      <c r="S320" s="5">
        <v>13.3507145</v>
      </c>
    </row>
    <row r="321" spans="1:19" x14ac:dyDescent="0.4">
      <c r="A321">
        <v>20210810</v>
      </c>
      <c r="B321" s="1">
        <v>0</v>
      </c>
      <c r="C321">
        <v>83381</v>
      </c>
      <c r="D321">
        <v>151864</v>
      </c>
      <c r="E321">
        <v>68070</v>
      </c>
      <c r="F321">
        <v>137556</v>
      </c>
      <c r="G321">
        <v>74302</v>
      </c>
      <c r="H321">
        <v>540284</v>
      </c>
      <c r="I321">
        <v>86304</v>
      </c>
      <c r="J321">
        <v>91153</v>
      </c>
      <c r="K321">
        <v>218356</v>
      </c>
      <c r="L321">
        <v>-11427</v>
      </c>
      <c r="M321">
        <v>6.99</v>
      </c>
      <c r="N321">
        <v>1439843</v>
      </c>
      <c r="O321">
        <v>18431950</v>
      </c>
      <c r="P321" s="2">
        <v>7.8116694109955809</v>
      </c>
      <c r="Q321" t="str">
        <v/>
      </c>
      <c r="R321" s="2">
        <v>7.8116694109955809</v>
      </c>
      <c r="S321" s="5">
        <v>12.88393305</v>
      </c>
    </row>
    <row r="322" spans="1:19" x14ac:dyDescent="0.4">
      <c r="A322">
        <v>20210810</v>
      </c>
      <c r="B322" s="1">
        <v>2.0833333333333332E-2</v>
      </c>
      <c r="C322">
        <v>49054</v>
      </c>
      <c r="D322">
        <v>87756</v>
      </c>
      <c r="E322">
        <v>118325</v>
      </c>
      <c r="F322">
        <v>130759</v>
      </c>
      <c r="G322">
        <v>59364</v>
      </c>
      <c r="H322">
        <v>433732</v>
      </c>
      <c r="I322">
        <v>141962</v>
      </c>
      <c r="J322">
        <v>93834</v>
      </c>
      <c r="K322">
        <v>184385</v>
      </c>
      <c r="L322">
        <v>-1809</v>
      </c>
      <c r="M322">
        <v>6.99</v>
      </c>
      <c r="N322">
        <v>1297362</v>
      </c>
      <c r="O322">
        <v>19776300</v>
      </c>
      <c r="P322" s="2">
        <v>6.5601856767949513</v>
      </c>
      <c r="Q322" t="str">
        <v/>
      </c>
      <c r="R322" s="2">
        <v>6.5601856767949513</v>
      </c>
      <c r="S322" s="5">
        <v>13.8236337</v>
      </c>
    </row>
    <row r="323" spans="1:19" x14ac:dyDescent="0.4">
      <c r="A323">
        <v>20210810</v>
      </c>
      <c r="B323" s="1">
        <v>4.1666666666666664E-2</v>
      </c>
      <c r="C323">
        <v>67428</v>
      </c>
      <c r="D323">
        <v>100775</v>
      </c>
      <c r="E323">
        <v>-74332</v>
      </c>
      <c r="F323">
        <v>-12655</v>
      </c>
      <c r="G323">
        <v>-2513</v>
      </c>
      <c r="H323">
        <v>371955</v>
      </c>
      <c r="I323">
        <v>107525</v>
      </c>
      <c r="J323">
        <v>93784</v>
      </c>
      <c r="K323">
        <v>162000</v>
      </c>
      <c r="L323">
        <v>-22314</v>
      </c>
      <c r="M323">
        <v>6.98</v>
      </c>
      <c r="N323">
        <v>791653</v>
      </c>
      <c r="O323">
        <v>19808050</v>
      </c>
      <c r="P323" s="2">
        <v>3.9966225852620525</v>
      </c>
      <c r="Q323" t="str">
        <v/>
      </c>
      <c r="R323" s="2">
        <v>3.9966225852620525</v>
      </c>
      <c r="S323" s="5">
        <v>13.826018899999999</v>
      </c>
    </row>
    <row r="324" spans="1:19" x14ac:dyDescent="0.4">
      <c r="A324">
        <v>20210810</v>
      </c>
      <c r="B324" s="1">
        <v>6.25E-2</v>
      </c>
      <c r="C324">
        <v>47520</v>
      </c>
      <c r="D324">
        <v>35175</v>
      </c>
      <c r="E324">
        <v>10922</v>
      </c>
      <c r="F324">
        <v>-160</v>
      </c>
      <c r="G324">
        <v>-18195</v>
      </c>
      <c r="H324">
        <v>315857</v>
      </c>
      <c r="I324">
        <v>88133</v>
      </c>
      <c r="J324">
        <v>91933</v>
      </c>
      <c r="K324">
        <v>148549</v>
      </c>
      <c r="L324">
        <v>-7083</v>
      </c>
      <c r="M324">
        <v>6.98</v>
      </c>
      <c r="N324">
        <v>712651</v>
      </c>
      <c r="O324">
        <v>19930850</v>
      </c>
      <c r="P324" s="2">
        <v>3.5756176981914969</v>
      </c>
      <c r="Q324" t="str">
        <v/>
      </c>
      <c r="R324" s="2">
        <v>3.5756176981914969</v>
      </c>
      <c r="S324" s="5">
        <v>13.9117333</v>
      </c>
    </row>
    <row r="325" spans="1:19" x14ac:dyDescent="0.4">
      <c r="A325">
        <v>20210810</v>
      </c>
      <c r="B325" s="1">
        <v>8.3333333333333329E-2</v>
      </c>
      <c r="C325">
        <v>28206</v>
      </c>
      <c r="D325">
        <v>69549</v>
      </c>
      <c r="E325">
        <v>-10625</v>
      </c>
      <c r="F325">
        <v>-16266</v>
      </c>
      <c r="G325">
        <v>-37713</v>
      </c>
      <c r="H325">
        <v>354522</v>
      </c>
      <c r="I325">
        <v>109015</v>
      </c>
      <c r="J325">
        <v>94152</v>
      </c>
      <c r="K325">
        <v>188766</v>
      </c>
      <c r="L325">
        <v>-16176</v>
      </c>
      <c r="M325">
        <v>7.03</v>
      </c>
      <c r="N325">
        <v>763430</v>
      </c>
      <c r="O325">
        <v>20143900</v>
      </c>
      <c r="P325" s="2">
        <v>3.7898818004457926</v>
      </c>
      <c r="Q325" t="str">
        <v/>
      </c>
      <c r="R325" s="2">
        <v>3.7898818004457926</v>
      </c>
      <c r="S325" s="5">
        <v>14.161161699999999</v>
      </c>
    </row>
    <row r="326" spans="1:19" x14ac:dyDescent="0.4">
      <c r="A326">
        <v>20210810</v>
      </c>
      <c r="B326" s="1">
        <v>0.10416666666666667</v>
      </c>
      <c r="C326">
        <v>78224</v>
      </c>
      <c r="D326">
        <v>35902</v>
      </c>
      <c r="E326">
        <v>-41753</v>
      </c>
      <c r="F326">
        <v>-56591</v>
      </c>
      <c r="G326">
        <v>-45530</v>
      </c>
      <c r="H326">
        <v>388421</v>
      </c>
      <c r="I326">
        <v>112896</v>
      </c>
      <c r="J326">
        <v>93536</v>
      </c>
      <c r="K326">
        <v>215644</v>
      </c>
      <c r="L326">
        <v>-14497</v>
      </c>
      <c r="M326">
        <v>7.03</v>
      </c>
      <c r="N326">
        <v>766252</v>
      </c>
      <c r="O326">
        <v>20184300</v>
      </c>
      <c r="P326" s="2">
        <v>3.7962773046377629</v>
      </c>
      <c r="Q326" t="str">
        <v/>
      </c>
      <c r="R326" s="2">
        <v>3.7962773046377629</v>
      </c>
      <c r="S326" s="5">
        <v>14.1895629</v>
      </c>
    </row>
    <row r="327" spans="1:19" x14ac:dyDescent="0.4">
      <c r="A327">
        <v>20210810</v>
      </c>
      <c r="B327" s="1">
        <v>0.125</v>
      </c>
      <c r="C327">
        <v>99709</v>
      </c>
      <c r="D327">
        <v>10268</v>
      </c>
      <c r="E327">
        <v>-36141</v>
      </c>
      <c r="F327">
        <v>-161005</v>
      </c>
      <c r="G327">
        <v>-24247</v>
      </c>
      <c r="H327">
        <v>409672</v>
      </c>
      <c r="I327">
        <v>146995</v>
      </c>
      <c r="J327">
        <v>84936</v>
      </c>
      <c r="K327">
        <v>240972</v>
      </c>
      <c r="L327">
        <v>-19306</v>
      </c>
      <c r="M327">
        <v>7.07</v>
      </c>
      <c r="N327">
        <v>751853</v>
      </c>
      <c r="O327">
        <v>20255900</v>
      </c>
      <c r="P327" s="2">
        <v>3.7117728661772618</v>
      </c>
      <c r="Q327" t="str">
        <v/>
      </c>
      <c r="R327" s="2">
        <v>3.7117728661772618</v>
      </c>
      <c r="S327" s="5">
        <v>14.3209213</v>
      </c>
    </row>
    <row r="328" spans="1:19" x14ac:dyDescent="0.4">
      <c r="A328">
        <v>20210810</v>
      </c>
      <c r="B328" s="1">
        <v>0.14583333333333334</v>
      </c>
      <c r="C328">
        <v>102260</v>
      </c>
      <c r="D328">
        <v>26045</v>
      </c>
      <c r="E328">
        <v>-24257</v>
      </c>
      <c r="F328">
        <v>-190101</v>
      </c>
      <c r="G328">
        <v>-6037</v>
      </c>
      <c r="H328">
        <v>437896</v>
      </c>
      <c r="I328">
        <v>152870</v>
      </c>
      <c r="J328">
        <v>81254</v>
      </c>
      <c r="K328">
        <v>272188</v>
      </c>
      <c r="L328">
        <v>-11371</v>
      </c>
      <c r="M328">
        <v>7.03</v>
      </c>
      <c r="N328">
        <v>840747</v>
      </c>
      <c r="O328">
        <v>20418400</v>
      </c>
      <c r="P328" s="2">
        <v>4.1175949143909412</v>
      </c>
      <c r="Q328" t="str">
        <v/>
      </c>
      <c r="R328" s="2">
        <v>4.1175949143909412</v>
      </c>
      <c r="S328" s="5">
        <v>14.3541352</v>
      </c>
    </row>
    <row r="329" spans="1:19" x14ac:dyDescent="0.4">
      <c r="A329">
        <v>20210810</v>
      </c>
      <c r="B329" s="1">
        <v>0.16666666666666666</v>
      </c>
      <c r="C329">
        <v>60344</v>
      </c>
      <c r="D329">
        <v>35932</v>
      </c>
      <c r="E329">
        <v>-32780</v>
      </c>
      <c r="F329">
        <v>-86250</v>
      </c>
      <c r="G329">
        <v>19442</v>
      </c>
      <c r="H329">
        <v>543115</v>
      </c>
      <c r="I329">
        <v>96456</v>
      </c>
      <c r="J329">
        <v>69740</v>
      </c>
      <c r="K329">
        <v>279252</v>
      </c>
      <c r="L329">
        <v>-15243</v>
      </c>
      <c r="M329">
        <v>7.03</v>
      </c>
      <c r="N329">
        <v>970008</v>
      </c>
      <c r="O329">
        <v>20415650</v>
      </c>
      <c r="P329" s="2">
        <v>4.7512961869938017</v>
      </c>
      <c r="Q329" t="str">
        <v/>
      </c>
      <c r="R329" s="2">
        <v>4.7512961869938017</v>
      </c>
      <c r="S329" s="5">
        <v>14.35220195</v>
      </c>
    </row>
    <row r="330" spans="1:19" x14ac:dyDescent="0.4">
      <c r="A330">
        <v>20210810</v>
      </c>
      <c r="B330" s="1">
        <v>0.1875</v>
      </c>
      <c r="C330">
        <v>100161</v>
      </c>
      <c r="D330">
        <v>114453</v>
      </c>
      <c r="E330">
        <v>-43667</v>
      </c>
      <c r="F330">
        <v>-167183</v>
      </c>
      <c r="G330">
        <v>15886</v>
      </c>
      <c r="H330">
        <v>539396</v>
      </c>
      <c r="I330">
        <v>91961</v>
      </c>
      <c r="J330">
        <v>55977</v>
      </c>
      <c r="K330">
        <v>336162</v>
      </c>
      <c r="L330">
        <v>-12770</v>
      </c>
      <c r="M330">
        <v>6.98</v>
      </c>
      <c r="N330">
        <v>1030376</v>
      </c>
      <c r="O330">
        <v>20483050</v>
      </c>
      <c r="P330" s="2">
        <v>5.0303836586836432</v>
      </c>
      <c r="Q330" t="str">
        <v/>
      </c>
      <c r="R330" s="2">
        <v>5.0303836586836432</v>
      </c>
      <c r="S330" s="5">
        <v>14.297168900000001</v>
      </c>
    </row>
    <row r="331" spans="1:19" x14ac:dyDescent="0.4">
      <c r="A331">
        <v>20210810</v>
      </c>
      <c r="B331" s="1">
        <v>0.20833333333333334</v>
      </c>
      <c r="C331">
        <v>23116</v>
      </c>
      <c r="D331">
        <v>158493</v>
      </c>
      <c r="E331">
        <v>66702</v>
      </c>
      <c r="F331">
        <v>-133551</v>
      </c>
      <c r="G331">
        <v>40244</v>
      </c>
      <c r="H331">
        <v>491099</v>
      </c>
      <c r="I331">
        <v>52467</v>
      </c>
      <c r="J331">
        <v>59605</v>
      </c>
      <c r="K331">
        <v>314749</v>
      </c>
      <c r="L331">
        <v>-14206</v>
      </c>
      <c r="M331">
        <v>7</v>
      </c>
      <c r="N331">
        <v>1058718</v>
      </c>
      <c r="O331">
        <v>20483250</v>
      </c>
      <c r="P331" s="2">
        <v>5.1687012559042147</v>
      </c>
      <c r="Q331" t="str">
        <v/>
      </c>
      <c r="R331" s="2">
        <v>5.1687012559042147</v>
      </c>
      <c r="S331" s="5">
        <v>14.338274999999999</v>
      </c>
    </row>
    <row r="332" spans="1:19" x14ac:dyDescent="0.4">
      <c r="A332">
        <v>20210810</v>
      </c>
      <c r="B332" s="1">
        <v>0.22916666666666666</v>
      </c>
      <c r="C332">
        <v>87979</v>
      </c>
      <c r="D332">
        <v>174290</v>
      </c>
      <c r="E332">
        <v>152804</v>
      </c>
      <c r="F332">
        <v>-42838</v>
      </c>
      <c r="G332">
        <v>65487</v>
      </c>
      <c r="H332">
        <v>303229</v>
      </c>
      <c r="I332">
        <v>51394</v>
      </c>
      <c r="J332">
        <v>67691</v>
      </c>
      <c r="K332">
        <v>384469</v>
      </c>
      <c r="L332">
        <v>-15928</v>
      </c>
      <c r="M332">
        <v>7.14</v>
      </c>
      <c r="N332">
        <v>1228577</v>
      </c>
      <c r="O332">
        <v>20663000</v>
      </c>
      <c r="P332" s="2">
        <v>5.9457823162173931</v>
      </c>
      <c r="Q332" t="str">
        <v/>
      </c>
      <c r="R332" s="2">
        <v>5.9457823162173931</v>
      </c>
      <c r="S332" s="5">
        <v>14.753382</v>
      </c>
    </row>
    <row r="333" spans="1:19" x14ac:dyDescent="0.4">
      <c r="A333">
        <v>20210810</v>
      </c>
      <c r="B333" s="1">
        <v>0.25</v>
      </c>
      <c r="C333">
        <v>37220</v>
      </c>
      <c r="D333">
        <v>260617</v>
      </c>
      <c r="E333">
        <v>329861</v>
      </c>
      <c r="F333">
        <v>-146439</v>
      </c>
      <c r="G333">
        <v>62110</v>
      </c>
      <c r="H333">
        <v>262284</v>
      </c>
      <c r="I333">
        <v>106291</v>
      </c>
      <c r="J333">
        <v>88072</v>
      </c>
      <c r="K333">
        <v>353921</v>
      </c>
      <c r="L333">
        <v>-6374</v>
      </c>
      <c r="M333">
        <v>7.23</v>
      </c>
      <c r="N333">
        <v>1347563</v>
      </c>
      <c r="O333">
        <v>21193200</v>
      </c>
      <c r="P333" s="2">
        <v>6.3584687541286824</v>
      </c>
      <c r="Q333" t="str">
        <v/>
      </c>
      <c r="R333" s="2">
        <v>6.3584687541286824</v>
      </c>
      <c r="S333" s="5">
        <v>15.3226836</v>
      </c>
    </row>
    <row r="334" spans="1:19" x14ac:dyDescent="0.4">
      <c r="A334">
        <v>20210810</v>
      </c>
      <c r="B334" s="1">
        <v>0.27083333333333331</v>
      </c>
      <c r="C334">
        <v>61134</v>
      </c>
      <c r="D334">
        <v>311013</v>
      </c>
      <c r="E334">
        <v>208582</v>
      </c>
      <c r="F334">
        <v>-186539</v>
      </c>
      <c r="G334">
        <v>43616</v>
      </c>
      <c r="H334">
        <v>312230</v>
      </c>
      <c r="I334">
        <v>320047</v>
      </c>
      <c r="J334">
        <v>98618</v>
      </c>
      <c r="K334">
        <v>411752</v>
      </c>
      <c r="L334">
        <v>-18358</v>
      </c>
      <c r="M334">
        <v>7.15</v>
      </c>
      <c r="N334">
        <v>1562095</v>
      </c>
      <c r="O334">
        <v>21928050</v>
      </c>
      <c r="P334" s="2">
        <v>7.1237296522034566</v>
      </c>
      <c r="Q334" t="str">
        <v/>
      </c>
      <c r="R334" s="2">
        <v>7.1237296522034566</v>
      </c>
      <c r="S334" s="5">
        <v>15.678555749999999</v>
      </c>
    </row>
    <row r="335" spans="1:19" x14ac:dyDescent="0.4">
      <c r="A335">
        <v>20210810</v>
      </c>
      <c r="B335" s="1">
        <v>0.29166666666666669</v>
      </c>
      <c r="C335">
        <v>30861</v>
      </c>
      <c r="D335">
        <v>302322</v>
      </c>
      <c r="E335">
        <v>787049</v>
      </c>
      <c r="F335">
        <v>1760</v>
      </c>
      <c r="G335">
        <v>42740</v>
      </c>
      <c r="H335">
        <v>374260</v>
      </c>
      <c r="I335">
        <v>516207</v>
      </c>
      <c r="J335">
        <v>105095</v>
      </c>
      <c r="K335">
        <v>439857</v>
      </c>
      <c r="L335">
        <v>7630</v>
      </c>
      <c r="M335">
        <v>7.12</v>
      </c>
      <c r="N335">
        <v>2607781</v>
      </c>
      <c r="O335">
        <v>22982000</v>
      </c>
      <c r="P335" s="2">
        <v>11.347058567574624</v>
      </c>
      <c r="Q335" t="str">
        <v/>
      </c>
      <c r="R335" s="2">
        <v>11.347058567574624</v>
      </c>
      <c r="S335" s="5">
        <v>16.363184</v>
      </c>
    </row>
    <row r="336" spans="1:19" x14ac:dyDescent="0.4">
      <c r="A336">
        <v>20210810</v>
      </c>
      <c r="B336" s="1">
        <v>0.3125</v>
      </c>
      <c r="C336">
        <v>49222</v>
      </c>
      <c r="D336">
        <v>491856</v>
      </c>
      <c r="E336">
        <v>1133335</v>
      </c>
      <c r="F336">
        <v>-116661</v>
      </c>
      <c r="G336">
        <v>60206</v>
      </c>
      <c r="H336">
        <v>462560</v>
      </c>
      <c r="I336">
        <v>820845</v>
      </c>
      <c r="J336">
        <v>177318</v>
      </c>
      <c r="K336">
        <v>587940</v>
      </c>
      <c r="L336">
        <v>-658</v>
      </c>
      <c r="M336">
        <v>7.23</v>
      </c>
      <c r="N336">
        <v>3665963</v>
      </c>
      <c r="O336">
        <v>23500750</v>
      </c>
      <c r="P336" s="2">
        <v>15.599344701764837</v>
      </c>
      <c r="Q336" t="str">
        <v/>
      </c>
      <c r="R336" s="2">
        <v>15.599344701764837</v>
      </c>
      <c r="S336" s="5">
        <v>16.99104225</v>
      </c>
    </row>
    <row r="337" spans="1:19" x14ac:dyDescent="0.4">
      <c r="A337">
        <v>20210810</v>
      </c>
      <c r="B337" s="1">
        <v>0.33333333333333331</v>
      </c>
      <c r="C337">
        <v>104533</v>
      </c>
      <c r="D337">
        <v>435119</v>
      </c>
      <c r="E337">
        <v>1788950</v>
      </c>
      <c r="F337">
        <v>294652</v>
      </c>
      <c r="G337">
        <v>77113</v>
      </c>
      <c r="H337">
        <v>724223</v>
      </c>
      <c r="I337">
        <v>392515</v>
      </c>
      <c r="J337">
        <v>231444</v>
      </c>
      <c r="K337">
        <v>626783</v>
      </c>
      <c r="L337">
        <v>7151</v>
      </c>
      <c r="M337">
        <v>7.44</v>
      </c>
      <c r="N337">
        <v>4682483</v>
      </c>
      <c r="O337">
        <v>25258450</v>
      </c>
      <c r="P337" s="2">
        <v>18.538283227989048</v>
      </c>
      <c r="Q337" t="str">
        <v/>
      </c>
      <c r="R337" s="2">
        <v>18.538283227989048</v>
      </c>
      <c r="S337" s="5">
        <v>18.792286799999999</v>
      </c>
    </row>
    <row r="338" spans="1:19" x14ac:dyDescent="0.4">
      <c r="A338">
        <v>20210810</v>
      </c>
      <c r="B338" s="1">
        <v>0.35416666666666669</v>
      </c>
      <c r="C338">
        <v>97872</v>
      </c>
      <c r="D338">
        <v>677849</v>
      </c>
      <c r="E338">
        <v>1623870</v>
      </c>
      <c r="F338">
        <v>87890</v>
      </c>
      <c r="G338">
        <v>84616</v>
      </c>
      <c r="H338">
        <v>891024</v>
      </c>
      <c r="I338">
        <v>492099</v>
      </c>
      <c r="J338">
        <v>255424</v>
      </c>
      <c r="K338">
        <v>672254</v>
      </c>
      <c r="L338">
        <v>-7168</v>
      </c>
      <c r="M338">
        <v>7.88</v>
      </c>
      <c r="N338">
        <v>4875730</v>
      </c>
      <c r="O338">
        <v>25789300</v>
      </c>
      <c r="P338" s="2">
        <v>18.906019162986201</v>
      </c>
      <c r="Q338" t="str">
        <v/>
      </c>
      <c r="R338" s="2">
        <v>18.906019162986201</v>
      </c>
      <c r="S338" s="5">
        <v>20.321968399999999</v>
      </c>
    </row>
    <row r="339" spans="1:19" x14ac:dyDescent="0.4">
      <c r="A339">
        <v>20210810</v>
      </c>
      <c r="B339" s="1">
        <v>0.375</v>
      </c>
      <c r="C339">
        <v>140218</v>
      </c>
      <c r="D339">
        <v>929908</v>
      </c>
      <c r="E339">
        <v>1544939</v>
      </c>
      <c r="F339">
        <v>194559</v>
      </c>
      <c r="G339">
        <v>93647</v>
      </c>
      <c r="H339">
        <v>1093083</v>
      </c>
      <c r="I339">
        <v>506914</v>
      </c>
      <c r="J339">
        <v>290726</v>
      </c>
      <c r="K339">
        <v>687237</v>
      </c>
      <c r="L339">
        <v>-14247</v>
      </c>
      <c r="M339">
        <v>8.39</v>
      </c>
      <c r="N339">
        <v>5466984</v>
      </c>
      <c r="O339">
        <v>26168850</v>
      </c>
      <c r="P339" s="2">
        <v>20.891189333883606</v>
      </c>
      <c r="Q339" t="str">
        <v/>
      </c>
      <c r="R339" s="2">
        <v>20.891189333883606</v>
      </c>
      <c r="S339" s="5">
        <v>21.955665150000002</v>
      </c>
    </row>
    <row r="340" spans="1:19" x14ac:dyDescent="0.4">
      <c r="A340">
        <v>20210810</v>
      </c>
      <c r="B340" s="1">
        <v>0.39583333333333331</v>
      </c>
      <c r="C340">
        <v>112238</v>
      </c>
      <c r="D340">
        <v>797955</v>
      </c>
      <c r="E340">
        <v>1564197</v>
      </c>
      <c r="F340">
        <v>473521</v>
      </c>
      <c r="G340">
        <v>119979</v>
      </c>
      <c r="H340">
        <v>960127</v>
      </c>
      <c r="I340">
        <v>509361</v>
      </c>
      <c r="J340">
        <v>309696</v>
      </c>
      <c r="K340">
        <v>586373</v>
      </c>
      <c r="L340">
        <v>-19608</v>
      </c>
      <c r="M340">
        <v>8.86</v>
      </c>
      <c r="N340">
        <v>5413839</v>
      </c>
      <c r="O340">
        <v>26466750</v>
      </c>
      <c r="P340" s="2">
        <v>20.455246677434896</v>
      </c>
      <c r="Q340" t="str">
        <v/>
      </c>
      <c r="R340" s="2">
        <v>20.455246677434896</v>
      </c>
      <c r="S340" s="5">
        <v>23.449540499999998</v>
      </c>
    </row>
    <row r="341" spans="1:19" x14ac:dyDescent="0.4">
      <c r="A341">
        <v>20210810</v>
      </c>
      <c r="B341" s="1">
        <v>0.41666666666666669</v>
      </c>
      <c r="C341">
        <v>157794</v>
      </c>
      <c r="D341">
        <v>977557</v>
      </c>
      <c r="E341">
        <v>1025752</v>
      </c>
      <c r="F341">
        <v>339775</v>
      </c>
      <c r="G341">
        <v>155878</v>
      </c>
      <c r="H341">
        <v>883255</v>
      </c>
      <c r="I341">
        <v>550257</v>
      </c>
      <c r="J341">
        <v>318463</v>
      </c>
      <c r="K341">
        <v>737499</v>
      </c>
      <c r="L341">
        <v>-22956</v>
      </c>
      <c r="M341">
        <v>8.86</v>
      </c>
      <c r="N341">
        <v>5123274</v>
      </c>
      <c r="O341">
        <v>26684100</v>
      </c>
      <c r="P341" s="2">
        <v>19.199725679337135</v>
      </c>
      <c r="Q341" t="str">
        <v/>
      </c>
      <c r="R341" s="2">
        <v>19.199725679337135</v>
      </c>
      <c r="S341" s="5">
        <v>23.642112599999997</v>
      </c>
    </row>
    <row r="342" spans="1:19" x14ac:dyDescent="0.4">
      <c r="A342">
        <v>20210810</v>
      </c>
      <c r="B342" s="1">
        <v>0.4375</v>
      </c>
      <c r="C342">
        <v>150528</v>
      </c>
      <c r="D342">
        <v>1110154</v>
      </c>
      <c r="E342">
        <v>717121</v>
      </c>
      <c r="F342">
        <v>299733</v>
      </c>
      <c r="G342">
        <v>181706</v>
      </c>
      <c r="H342">
        <v>970008</v>
      </c>
      <c r="I342">
        <v>505505</v>
      </c>
      <c r="J342">
        <v>299540</v>
      </c>
      <c r="K342">
        <v>784608</v>
      </c>
      <c r="L342">
        <v>-17871</v>
      </c>
      <c r="M342">
        <v>8.86</v>
      </c>
      <c r="N342">
        <v>5001032</v>
      </c>
      <c r="O342">
        <v>26716450</v>
      </c>
      <c r="P342" s="2">
        <v>18.718924108554841</v>
      </c>
      <c r="Q342" t="str">
        <v/>
      </c>
      <c r="R342" s="2">
        <v>18.718924108554841</v>
      </c>
      <c r="S342" s="5">
        <v>23.670774699999996</v>
      </c>
    </row>
    <row r="343" spans="1:19" x14ac:dyDescent="0.4">
      <c r="A343">
        <v>20210810</v>
      </c>
      <c r="B343" s="1">
        <v>0.45833333333333331</v>
      </c>
      <c r="C343">
        <v>167231</v>
      </c>
      <c r="D343">
        <v>1150303</v>
      </c>
      <c r="E343">
        <v>522564</v>
      </c>
      <c r="F343">
        <v>577260</v>
      </c>
      <c r="G343">
        <v>202828</v>
      </c>
      <c r="H343">
        <v>966820</v>
      </c>
      <c r="I343">
        <v>426097</v>
      </c>
      <c r="J343">
        <v>202028</v>
      </c>
      <c r="K343">
        <v>916630</v>
      </c>
      <c r="L343">
        <v>-42239</v>
      </c>
      <c r="M343">
        <v>8.86</v>
      </c>
      <c r="N343">
        <v>5089522</v>
      </c>
      <c r="O343">
        <v>27140350</v>
      </c>
      <c r="P343" s="2">
        <v>18.752602674615471</v>
      </c>
      <c r="Q343" t="str">
        <v/>
      </c>
      <c r="R343" s="2">
        <v>18.752602674615471</v>
      </c>
      <c r="S343" s="5">
        <v>24.046350099999998</v>
      </c>
    </row>
    <row r="344" spans="1:19" x14ac:dyDescent="0.4">
      <c r="A344">
        <v>20210810</v>
      </c>
      <c r="B344" s="1">
        <v>0.47916666666666669</v>
      </c>
      <c r="C344">
        <v>173087</v>
      </c>
      <c r="D344">
        <v>1138472</v>
      </c>
      <c r="E344">
        <v>453267</v>
      </c>
      <c r="F344">
        <v>505345</v>
      </c>
      <c r="G344">
        <v>213271</v>
      </c>
      <c r="H344">
        <v>950713</v>
      </c>
      <c r="I344">
        <v>570472</v>
      </c>
      <c r="J344">
        <v>184541</v>
      </c>
      <c r="K344">
        <v>681141</v>
      </c>
      <c r="L344">
        <v>-40574</v>
      </c>
      <c r="M344">
        <v>8.86</v>
      </c>
      <c r="N344">
        <v>4829735</v>
      </c>
      <c r="O344">
        <v>27241250</v>
      </c>
      <c r="P344" s="2">
        <v>17.729491121002155</v>
      </c>
      <c r="Q344" t="str">
        <v/>
      </c>
      <c r="R344" s="2">
        <v>17.729491121002155</v>
      </c>
      <c r="S344" s="5">
        <v>24.135747499999997</v>
      </c>
    </row>
    <row r="345" spans="1:19" x14ac:dyDescent="0.4">
      <c r="A345">
        <v>20210810</v>
      </c>
      <c r="B345" s="1">
        <v>0.5</v>
      </c>
      <c r="C345">
        <v>130565</v>
      </c>
      <c r="D345">
        <v>815533</v>
      </c>
      <c r="E345">
        <v>189801</v>
      </c>
      <c r="F345">
        <v>654327</v>
      </c>
      <c r="G345">
        <v>229902</v>
      </c>
      <c r="H345">
        <v>344900</v>
      </c>
      <c r="I345">
        <v>568938</v>
      </c>
      <c r="J345">
        <v>164018</v>
      </c>
      <c r="K345">
        <v>653420</v>
      </c>
      <c r="L345">
        <v>-38190</v>
      </c>
      <c r="M345">
        <v>8.86</v>
      </c>
      <c r="N345">
        <v>3713214</v>
      </c>
      <c r="O345">
        <v>27162350</v>
      </c>
      <c r="P345" s="2">
        <v>13.670444567572394</v>
      </c>
      <c r="Q345" t="str">
        <v/>
      </c>
      <c r="R345" s="2">
        <v>13.670444567572394</v>
      </c>
      <c r="S345" s="5">
        <v>24.065842099999998</v>
      </c>
    </row>
    <row r="346" spans="1:19" x14ac:dyDescent="0.4">
      <c r="A346">
        <v>20210810</v>
      </c>
      <c r="B346" s="1">
        <v>0.52083333333333337</v>
      </c>
      <c r="C346">
        <v>138559</v>
      </c>
      <c r="D346">
        <v>808228</v>
      </c>
      <c r="E346">
        <v>710854</v>
      </c>
      <c r="F346">
        <v>497508</v>
      </c>
      <c r="G346">
        <v>196801</v>
      </c>
      <c r="H346">
        <v>254300</v>
      </c>
      <c r="I346">
        <v>585232</v>
      </c>
      <c r="J346">
        <v>137001</v>
      </c>
      <c r="K346">
        <v>431354</v>
      </c>
      <c r="L346">
        <v>-36227</v>
      </c>
      <c r="M346">
        <v>8.86</v>
      </c>
      <c r="N346">
        <v>3723610</v>
      </c>
      <c r="O346">
        <v>27100900</v>
      </c>
      <c r="P346" s="2">
        <v>13.739801999195599</v>
      </c>
      <c r="Q346" t="str">
        <v/>
      </c>
      <c r="R346" s="2">
        <v>13.739801999195599</v>
      </c>
      <c r="S346" s="5">
        <v>24.011397399999996</v>
      </c>
    </row>
    <row r="347" spans="1:19" x14ac:dyDescent="0.4">
      <c r="A347">
        <v>20210810</v>
      </c>
      <c r="B347" s="1">
        <v>0.54166666666666663</v>
      </c>
      <c r="C347">
        <v>166987</v>
      </c>
      <c r="D347">
        <v>836837</v>
      </c>
      <c r="E347">
        <v>588810</v>
      </c>
      <c r="F347">
        <v>683447</v>
      </c>
      <c r="G347">
        <v>196014</v>
      </c>
      <c r="H347">
        <v>515783</v>
      </c>
      <c r="I347">
        <v>468479</v>
      </c>
      <c r="J347">
        <v>135674</v>
      </c>
      <c r="K347">
        <v>349327</v>
      </c>
      <c r="L347">
        <v>-38116</v>
      </c>
      <c r="M347">
        <v>9.61</v>
      </c>
      <c r="N347">
        <v>3903242</v>
      </c>
      <c r="O347">
        <v>26336400</v>
      </c>
      <c r="P347" s="2">
        <v>14.82071201834723</v>
      </c>
      <c r="Q347" t="str">
        <v/>
      </c>
      <c r="R347" s="2">
        <v>14.82071201834723</v>
      </c>
      <c r="S347" s="5">
        <v>25.309280399999999</v>
      </c>
    </row>
    <row r="348" spans="1:19" x14ac:dyDescent="0.4">
      <c r="A348">
        <v>20210810</v>
      </c>
      <c r="B348" s="1">
        <v>0.5625</v>
      </c>
      <c r="C348">
        <v>161739</v>
      </c>
      <c r="D348">
        <v>941983</v>
      </c>
      <c r="E348">
        <v>1277718</v>
      </c>
      <c r="F348">
        <v>574043</v>
      </c>
      <c r="G348">
        <v>179112</v>
      </c>
      <c r="H348">
        <v>609616</v>
      </c>
      <c r="I348">
        <v>435645</v>
      </c>
      <c r="J348">
        <v>161607</v>
      </c>
      <c r="K348">
        <v>151711</v>
      </c>
      <c r="L348">
        <v>-43971</v>
      </c>
      <c r="M348">
        <v>9.83</v>
      </c>
      <c r="N348">
        <v>4449203</v>
      </c>
      <c r="O348">
        <v>26118650</v>
      </c>
      <c r="P348" s="2">
        <v>17.034582568394615</v>
      </c>
      <c r="Q348" t="str">
        <v/>
      </c>
      <c r="R348" s="2">
        <v>17.034582568394615</v>
      </c>
      <c r="S348" s="5">
        <v>25.674632949999999</v>
      </c>
    </row>
    <row r="349" spans="1:19" x14ac:dyDescent="0.4">
      <c r="A349">
        <v>20210810</v>
      </c>
      <c r="B349" s="1">
        <v>0.58333333333333337</v>
      </c>
      <c r="C349">
        <v>162966</v>
      </c>
      <c r="D349">
        <v>1025474</v>
      </c>
      <c r="E349">
        <v>1649795</v>
      </c>
      <c r="F349">
        <v>361645</v>
      </c>
      <c r="G349">
        <v>131643</v>
      </c>
      <c r="H349">
        <v>805345</v>
      </c>
      <c r="I349">
        <v>458895</v>
      </c>
      <c r="J349">
        <v>181699</v>
      </c>
      <c r="K349">
        <v>-293704</v>
      </c>
      <c r="L349">
        <v>-34794</v>
      </c>
      <c r="M349">
        <v>10.27</v>
      </c>
      <c r="N349">
        <v>4448964</v>
      </c>
      <c r="O349">
        <v>26171500</v>
      </c>
      <c r="P349" s="2">
        <v>16.999270198498365</v>
      </c>
      <c r="Q349" t="str">
        <v/>
      </c>
      <c r="R349" s="2">
        <v>16.999270198498365</v>
      </c>
      <c r="S349" s="5">
        <v>26.878130500000001</v>
      </c>
    </row>
    <row r="350" spans="1:19" x14ac:dyDescent="0.4">
      <c r="A350">
        <v>20210810</v>
      </c>
      <c r="B350" s="1">
        <v>0.60416666666666663</v>
      </c>
      <c r="C350">
        <v>102278</v>
      </c>
      <c r="D350">
        <v>921573</v>
      </c>
      <c r="E350">
        <v>1667754</v>
      </c>
      <c r="F350">
        <v>568755</v>
      </c>
      <c r="G350">
        <v>98710</v>
      </c>
      <c r="H350">
        <v>799898</v>
      </c>
      <c r="I350">
        <v>428992</v>
      </c>
      <c r="J350">
        <v>148271</v>
      </c>
      <c r="K350">
        <v>-491260</v>
      </c>
      <c r="L350">
        <v>-35796</v>
      </c>
      <c r="M350">
        <v>10.27</v>
      </c>
      <c r="N350">
        <v>4209175</v>
      </c>
      <c r="O350">
        <v>25726500</v>
      </c>
      <c r="P350" s="2">
        <v>16.361242298796959</v>
      </c>
      <c r="Q350" t="str">
        <v/>
      </c>
      <c r="R350" s="2">
        <v>16.361242298796959</v>
      </c>
      <c r="S350" s="5">
        <v>26.421115499999999</v>
      </c>
    </row>
    <row r="351" spans="1:19" x14ac:dyDescent="0.4">
      <c r="A351">
        <v>20210810</v>
      </c>
      <c r="B351" s="1">
        <v>0.625</v>
      </c>
      <c r="C351">
        <v>100094</v>
      </c>
      <c r="D351">
        <v>909820</v>
      </c>
      <c r="E351">
        <v>1672918</v>
      </c>
      <c r="F351">
        <v>504819</v>
      </c>
      <c r="G351">
        <v>118031</v>
      </c>
      <c r="H351">
        <v>884326</v>
      </c>
      <c r="I351">
        <v>235765</v>
      </c>
      <c r="J351">
        <v>140497</v>
      </c>
      <c r="K351">
        <v>-482209</v>
      </c>
      <c r="L351">
        <v>-38443</v>
      </c>
      <c r="M351">
        <v>10.220000000000001</v>
      </c>
      <c r="N351">
        <v>4045618</v>
      </c>
      <c r="O351">
        <v>25238100</v>
      </c>
      <c r="P351" s="2">
        <v>16.029804145319972</v>
      </c>
      <c r="Q351" t="str">
        <v/>
      </c>
      <c r="R351" s="2">
        <v>16.029804145319972</v>
      </c>
      <c r="S351" s="5">
        <v>25.793338200000004</v>
      </c>
    </row>
    <row r="352" spans="1:19" x14ac:dyDescent="0.4">
      <c r="A352">
        <v>20210810</v>
      </c>
      <c r="B352" s="1">
        <v>0.64583333333333337</v>
      </c>
      <c r="C352">
        <v>159555</v>
      </c>
      <c r="D352">
        <v>838840</v>
      </c>
      <c r="E352">
        <v>1564855</v>
      </c>
      <c r="F352">
        <v>463103</v>
      </c>
      <c r="G352">
        <v>179497</v>
      </c>
      <c r="H352">
        <v>991881</v>
      </c>
      <c r="I352">
        <v>262283</v>
      </c>
      <c r="J352">
        <v>69002</v>
      </c>
      <c r="K352">
        <v>-390161</v>
      </c>
      <c r="L352">
        <v>-48605</v>
      </c>
      <c r="M352">
        <v>10.84</v>
      </c>
      <c r="N352">
        <v>4090250</v>
      </c>
      <c r="O352">
        <v>24759650</v>
      </c>
      <c r="P352" s="2">
        <v>16.519821564521308</v>
      </c>
      <c r="Q352" t="str">
        <v/>
      </c>
      <c r="R352" s="2">
        <v>16.519821564521308</v>
      </c>
      <c r="S352" s="5">
        <v>26.839460599999999</v>
      </c>
    </row>
    <row r="353" spans="1:19" x14ac:dyDescent="0.4">
      <c r="A353">
        <v>20210810</v>
      </c>
      <c r="B353" s="1">
        <v>0.66666666666666663</v>
      </c>
      <c r="C353">
        <v>161645</v>
      </c>
      <c r="D353">
        <v>838163</v>
      </c>
      <c r="E353">
        <v>676037</v>
      </c>
      <c r="F353">
        <v>297461</v>
      </c>
      <c r="G353">
        <v>148216</v>
      </c>
      <c r="H353">
        <v>867850</v>
      </c>
      <c r="I353">
        <v>755414</v>
      </c>
      <c r="J353">
        <v>3289</v>
      </c>
      <c r="K353">
        <v>-280094</v>
      </c>
      <c r="L353">
        <v>-52515</v>
      </c>
      <c r="M353">
        <v>12.64</v>
      </c>
      <c r="N353">
        <v>3415466</v>
      </c>
      <c r="O353">
        <v>25126750</v>
      </c>
      <c r="P353" s="2">
        <v>13.592947754882745</v>
      </c>
      <c r="Q353" t="str">
        <v/>
      </c>
      <c r="R353" s="2">
        <v>13.592947754882745</v>
      </c>
      <c r="S353" s="5">
        <v>31.760211999999999</v>
      </c>
    </row>
    <row r="354" spans="1:19" x14ac:dyDescent="0.4">
      <c r="A354">
        <v>20210810</v>
      </c>
      <c r="B354" s="1">
        <v>0.6875</v>
      </c>
      <c r="C354">
        <v>173502</v>
      </c>
      <c r="D354">
        <v>721854</v>
      </c>
      <c r="E354">
        <v>773905</v>
      </c>
      <c r="F354">
        <v>490014</v>
      </c>
      <c r="G354">
        <v>157472</v>
      </c>
      <c r="H354">
        <v>790508</v>
      </c>
      <c r="I354">
        <v>373696</v>
      </c>
      <c r="J354">
        <v>37538</v>
      </c>
      <c r="K354">
        <v>-10286</v>
      </c>
      <c r="L354">
        <v>-41179</v>
      </c>
      <c r="M354">
        <v>12.79</v>
      </c>
      <c r="N354">
        <v>3467024</v>
      </c>
      <c r="O354">
        <v>24604400</v>
      </c>
      <c r="P354" s="2">
        <v>14.091073141389344</v>
      </c>
      <c r="Q354" t="str">
        <v/>
      </c>
      <c r="R354" s="2">
        <v>14.091073141389344</v>
      </c>
      <c r="S354" s="5">
        <v>31.4690276</v>
      </c>
    </row>
    <row r="355" spans="1:19" x14ac:dyDescent="0.4">
      <c r="A355">
        <v>20210810</v>
      </c>
      <c r="B355" s="1">
        <v>0.70833333333333337</v>
      </c>
      <c r="C355">
        <v>162751</v>
      </c>
      <c r="D355">
        <v>616381</v>
      </c>
      <c r="E355">
        <v>1122305</v>
      </c>
      <c r="F355">
        <v>526982</v>
      </c>
      <c r="G355">
        <v>155430</v>
      </c>
      <c r="H355">
        <v>476326</v>
      </c>
      <c r="I355">
        <v>246746</v>
      </c>
      <c r="J355">
        <v>37906</v>
      </c>
      <c r="K355">
        <v>128915</v>
      </c>
      <c r="L355">
        <v>-41424</v>
      </c>
      <c r="M355">
        <v>12.79</v>
      </c>
      <c r="N355">
        <v>3432318</v>
      </c>
      <c r="O355">
        <v>24257350</v>
      </c>
      <c r="P355" s="2">
        <v>14.149600018138832</v>
      </c>
      <c r="Q355" t="str">
        <v/>
      </c>
      <c r="R355" s="2">
        <v>14.149600018138832</v>
      </c>
      <c r="S355" s="5">
        <v>31.02515065</v>
      </c>
    </row>
    <row r="356" spans="1:19" x14ac:dyDescent="0.4">
      <c r="A356">
        <v>20210810</v>
      </c>
      <c r="B356" s="1">
        <v>0.72916666666666663</v>
      </c>
      <c r="C356">
        <v>175812</v>
      </c>
      <c r="D356">
        <v>505722</v>
      </c>
      <c r="E356">
        <v>1159073</v>
      </c>
      <c r="F356">
        <v>728818</v>
      </c>
      <c r="G356">
        <v>197871</v>
      </c>
      <c r="H356">
        <v>730428</v>
      </c>
      <c r="I356">
        <v>180493</v>
      </c>
      <c r="J356">
        <v>23644</v>
      </c>
      <c r="K356">
        <v>306476</v>
      </c>
      <c r="L356">
        <v>-34965</v>
      </c>
      <c r="M356">
        <v>13.41</v>
      </c>
      <c r="N356">
        <v>3973372</v>
      </c>
      <c r="O356">
        <v>23801600</v>
      </c>
      <c r="P356" s="2">
        <v>16.693718069373489</v>
      </c>
      <c r="Q356" t="str">
        <v/>
      </c>
      <c r="R356" s="2">
        <v>16.693718069373489</v>
      </c>
      <c r="S356" s="5">
        <v>31.917945599999999</v>
      </c>
    </row>
    <row r="357" spans="1:19" x14ac:dyDescent="0.4">
      <c r="A357">
        <v>20210810</v>
      </c>
      <c r="B357" s="1">
        <v>0.75</v>
      </c>
      <c r="C357">
        <v>139209</v>
      </c>
      <c r="D357">
        <v>406304</v>
      </c>
      <c r="E357">
        <v>1212855</v>
      </c>
      <c r="F357">
        <v>859201</v>
      </c>
      <c r="G357">
        <v>140467</v>
      </c>
      <c r="H357">
        <v>831535</v>
      </c>
      <c r="I357">
        <v>131453</v>
      </c>
      <c r="J357">
        <v>51128</v>
      </c>
      <c r="K357">
        <v>402649</v>
      </c>
      <c r="L357">
        <v>-28873</v>
      </c>
      <c r="M357">
        <v>13.41</v>
      </c>
      <c r="N357">
        <v>4145928</v>
      </c>
      <c r="O357">
        <v>23066050</v>
      </c>
      <c r="P357" s="2">
        <v>17.974156823556701</v>
      </c>
      <c r="Q357" t="str">
        <v/>
      </c>
      <c r="R357" s="2">
        <v>17.974156823556701</v>
      </c>
      <c r="S357" s="5">
        <v>30.931573050000001</v>
      </c>
    </row>
    <row r="358" spans="1:19" x14ac:dyDescent="0.4">
      <c r="A358">
        <v>20210810</v>
      </c>
      <c r="B358" s="1">
        <v>0.77083333333333337</v>
      </c>
      <c r="C358">
        <v>148702</v>
      </c>
      <c r="D358">
        <v>292337</v>
      </c>
      <c r="E358">
        <v>1129849</v>
      </c>
      <c r="F358">
        <v>1016657</v>
      </c>
      <c r="G358">
        <v>138053</v>
      </c>
      <c r="H358">
        <v>852620</v>
      </c>
      <c r="I358">
        <v>87134</v>
      </c>
      <c r="J358">
        <v>110007</v>
      </c>
      <c r="K358">
        <v>542326</v>
      </c>
      <c r="L358">
        <v>-33903</v>
      </c>
      <c r="M358">
        <v>14.96</v>
      </c>
      <c r="N358">
        <v>4283782</v>
      </c>
      <c r="O358">
        <v>22866900</v>
      </c>
      <c r="P358" s="2">
        <v>18.733549366114339</v>
      </c>
      <c r="Q358" t="str">
        <v/>
      </c>
      <c r="R358" s="2">
        <v>18.733549366114339</v>
      </c>
      <c r="S358" s="5">
        <v>34.2088824</v>
      </c>
    </row>
    <row r="359" spans="1:19" x14ac:dyDescent="0.4">
      <c r="A359">
        <v>20210810</v>
      </c>
      <c r="B359" s="1">
        <v>0.79166666666666663</v>
      </c>
      <c r="C359">
        <v>138438</v>
      </c>
      <c r="D359">
        <v>392089</v>
      </c>
      <c r="E359">
        <v>1193784</v>
      </c>
      <c r="F359">
        <v>937044</v>
      </c>
      <c r="G359">
        <v>146917</v>
      </c>
      <c r="H359">
        <v>870120</v>
      </c>
      <c r="I359">
        <v>138628</v>
      </c>
      <c r="J359">
        <v>146400</v>
      </c>
      <c r="K359">
        <v>511015</v>
      </c>
      <c r="L359">
        <v>-36255</v>
      </c>
      <c r="M359">
        <v>13.41</v>
      </c>
      <c r="N359">
        <v>4438180</v>
      </c>
      <c r="O359">
        <v>22985500</v>
      </c>
      <c r="P359" s="2">
        <v>19.308607600443757</v>
      </c>
      <c r="Q359" t="str">
        <v/>
      </c>
      <c r="R359" s="2">
        <v>19.308607600443757</v>
      </c>
      <c r="S359" s="5">
        <v>30.823555500000001</v>
      </c>
    </row>
    <row r="360" spans="1:19" x14ac:dyDescent="0.4">
      <c r="A360">
        <v>20210810</v>
      </c>
      <c r="B360" s="1">
        <v>0.8125</v>
      </c>
      <c r="C360">
        <v>166539</v>
      </c>
      <c r="D360">
        <v>415770</v>
      </c>
      <c r="E360">
        <v>1366293</v>
      </c>
      <c r="F360">
        <v>979962</v>
      </c>
      <c r="G360">
        <v>141880</v>
      </c>
      <c r="H360">
        <v>859621</v>
      </c>
      <c r="I360">
        <v>237071</v>
      </c>
      <c r="J360">
        <v>128909</v>
      </c>
      <c r="K360">
        <v>504757</v>
      </c>
      <c r="L360">
        <v>-33162</v>
      </c>
      <c r="M360">
        <v>13.41</v>
      </c>
      <c r="N360">
        <v>4767640</v>
      </c>
      <c r="O360">
        <v>22570350</v>
      </c>
      <c r="P360" s="2">
        <v>21.123465076970451</v>
      </c>
      <c r="Q360" t="str">
        <v/>
      </c>
      <c r="R360" s="2">
        <v>21.123465076970451</v>
      </c>
      <c r="S360" s="5">
        <v>30.266839350000001</v>
      </c>
    </row>
    <row r="361" spans="1:19" x14ac:dyDescent="0.4">
      <c r="A361">
        <v>20210810</v>
      </c>
      <c r="B361" s="1">
        <v>0.83333333333333337</v>
      </c>
      <c r="C361">
        <v>151632</v>
      </c>
      <c r="D361">
        <v>465036</v>
      </c>
      <c r="E361">
        <v>1177782</v>
      </c>
      <c r="F361">
        <v>936262</v>
      </c>
      <c r="G361">
        <v>152631</v>
      </c>
      <c r="H361">
        <v>855668</v>
      </c>
      <c r="I361">
        <v>292112</v>
      </c>
      <c r="J361">
        <v>109075</v>
      </c>
      <c r="K361">
        <v>565075</v>
      </c>
      <c r="L361">
        <v>-40361</v>
      </c>
      <c r="M361">
        <v>12.93</v>
      </c>
      <c r="N361">
        <v>4664912</v>
      </c>
      <c r="O361">
        <v>21919450</v>
      </c>
      <c r="P361" s="2">
        <v>21.282066840180754</v>
      </c>
      <c r="Q361" t="str">
        <v/>
      </c>
      <c r="R361" s="2">
        <v>21.282066840180754</v>
      </c>
      <c r="S361" s="5">
        <v>28.341848850000002</v>
      </c>
    </row>
    <row r="362" spans="1:19" x14ac:dyDescent="0.4">
      <c r="A362">
        <v>20210810</v>
      </c>
      <c r="B362" s="1">
        <v>0.85416666666666663</v>
      </c>
      <c r="C362">
        <v>198550</v>
      </c>
      <c r="D362">
        <v>430341</v>
      </c>
      <c r="E362">
        <v>1164104</v>
      </c>
      <c r="F362">
        <v>887308</v>
      </c>
      <c r="G362">
        <v>130027</v>
      </c>
      <c r="H362">
        <v>793674</v>
      </c>
      <c r="I362">
        <v>293161</v>
      </c>
      <c r="J362">
        <v>89899</v>
      </c>
      <c r="K362">
        <v>352268</v>
      </c>
      <c r="L362">
        <v>-32456</v>
      </c>
      <c r="M362">
        <v>10.57</v>
      </c>
      <c r="N362">
        <v>4306876</v>
      </c>
      <c r="O362">
        <v>21661450</v>
      </c>
      <c r="P362" s="2">
        <v>19.882676367463858</v>
      </c>
      <c r="Q362" t="str">
        <v/>
      </c>
      <c r="R362" s="2">
        <v>19.882676367463858</v>
      </c>
      <c r="S362" s="5">
        <v>22.896152650000001</v>
      </c>
    </row>
    <row r="363" spans="1:19" x14ac:dyDescent="0.4">
      <c r="A363">
        <v>20210810</v>
      </c>
      <c r="B363" s="1">
        <v>0.875</v>
      </c>
      <c r="C363">
        <v>170877</v>
      </c>
      <c r="D363">
        <v>522592</v>
      </c>
      <c r="E363">
        <v>1147780</v>
      </c>
      <c r="F363">
        <v>848219</v>
      </c>
      <c r="G363">
        <v>168435</v>
      </c>
      <c r="H363">
        <v>976280</v>
      </c>
      <c r="I363">
        <v>305140</v>
      </c>
      <c r="J363">
        <v>77641</v>
      </c>
      <c r="K363">
        <v>319845</v>
      </c>
      <c r="L363">
        <v>-41001</v>
      </c>
      <c r="M363">
        <v>9.84</v>
      </c>
      <c r="N363">
        <v>4495808</v>
      </c>
      <c r="O363">
        <v>21497600</v>
      </c>
      <c r="P363" s="2">
        <v>20.913069365882702</v>
      </c>
      <c r="Q363" t="str">
        <v/>
      </c>
      <c r="R363" s="2">
        <v>20.913069365882702</v>
      </c>
      <c r="S363" s="5">
        <v>21.153638399999998</v>
      </c>
    </row>
    <row r="364" spans="1:19" x14ac:dyDescent="0.4">
      <c r="A364">
        <v>20210810</v>
      </c>
      <c r="B364" s="1">
        <v>0.89583333333333337</v>
      </c>
      <c r="C364">
        <v>175103</v>
      </c>
      <c r="D364">
        <v>597784</v>
      </c>
      <c r="E364">
        <v>1290580</v>
      </c>
      <c r="F364">
        <v>567506</v>
      </c>
      <c r="G364">
        <v>173487</v>
      </c>
      <c r="H364">
        <v>745108</v>
      </c>
      <c r="I364">
        <v>290444</v>
      </c>
      <c r="J364">
        <v>66768</v>
      </c>
      <c r="K364">
        <v>341803</v>
      </c>
      <c r="L364">
        <v>-34514</v>
      </c>
      <c r="M364">
        <v>9.56</v>
      </c>
      <c r="N364">
        <v>4214069</v>
      </c>
      <c r="O364">
        <v>21459800</v>
      </c>
      <c r="P364" s="2">
        <v>19.637037623836196</v>
      </c>
      <c r="Q364" t="str">
        <v/>
      </c>
      <c r="R364" s="2">
        <v>19.637037623836196</v>
      </c>
      <c r="S364" s="5">
        <v>20.5155688</v>
      </c>
    </row>
    <row r="365" spans="1:19" x14ac:dyDescent="0.4">
      <c r="A365">
        <v>20210810</v>
      </c>
      <c r="B365" s="1">
        <v>0.91666666666666663</v>
      </c>
      <c r="C365">
        <v>170146</v>
      </c>
      <c r="D365">
        <v>533732</v>
      </c>
      <c r="E365">
        <v>1261035</v>
      </c>
      <c r="F365">
        <v>447958</v>
      </c>
      <c r="G365">
        <v>78229</v>
      </c>
      <c r="H365">
        <v>824115</v>
      </c>
      <c r="I365">
        <v>212510</v>
      </c>
      <c r="J365">
        <v>66169</v>
      </c>
      <c r="K365">
        <v>250459</v>
      </c>
      <c r="L365">
        <v>-42327</v>
      </c>
      <c r="M365">
        <v>9.33</v>
      </c>
      <c r="N365">
        <v>3802026</v>
      </c>
      <c r="O365">
        <v>20858900</v>
      </c>
      <c r="P365" s="2">
        <v>18.227356188485491</v>
      </c>
      <c r="Q365" t="str">
        <v/>
      </c>
      <c r="R365" s="2">
        <v>18.227356188485491</v>
      </c>
      <c r="S365" s="5">
        <v>19.4613537</v>
      </c>
    </row>
    <row r="366" spans="1:19" x14ac:dyDescent="0.4">
      <c r="A366">
        <v>20210810</v>
      </c>
      <c r="B366" s="1">
        <v>0.9375</v>
      </c>
      <c r="C366">
        <v>129132</v>
      </c>
      <c r="D366">
        <v>589490</v>
      </c>
      <c r="E366">
        <v>1308823</v>
      </c>
      <c r="F366">
        <v>576645</v>
      </c>
      <c r="G366">
        <v>92073</v>
      </c>
      <c r="H366">
        <v>812645</v>
      </c>
      <c r="I366">
        <v>166964</v>
      </c>
      <c r="J366">
        <v>55148</v>
      </c>
      <c r="K366">
        <v>200674</v>
      </c>
      <c r="L366">
        <v>-35796</v>
      </c>
      <c r="M366">
        <v>8.99</v>
      </c>
      <c r="N366">
        <v>3895798</v>
      </c>
      <c r="O366">
        <v>20690300</v>
      </c>
      <c r="P366" s="2">
        <v>18.829103492941137</v>
      </c>
      <c r="Q366" t="str">
        <v/>
      </c>
      <c r="R366" s="2">
        <v>18.829103492941137</v>
      </c>
      <c r="S366" s="5">
        <v>18.600579700000001</v>
      </c>
    </row>
    <row r="367" spans="1:19" x14ac:dyDescent="0.4">
      <c r="A367">
        <v>20210810</v>
      </c>
      <c r="B367" s="1">
        <v>0.95833333333333337</v>
      </c>
      <c r="C367">
        <v>133595</v>
      </c>
      <c r="D367">
        <v>569190</v>
      </c>
      <c r="E367">
        <v>1338930</v>
      </c>
      <c r="F367">
        <v>443996</v>
      </c>
      <c r="G367">
        <v>84618</v>
      </c>
      <c r="H367">
        <v>829335</v>
      </c>
      <c r="I367">
        <v>115333</v>
      </c>
      <c r="J367">
        <v>37084</v>
      </c>
      <c r="K367">
        <v>93663</v>
      </c>
      <c r="L367">
        <v>-29829</v>
      </c>
      <c r="M367">
        <v>7.88</v>
      </c>
      <c r="N367">
        <v>3615915</v>
      </c>
      <c r="O367">
        <v>19952250</v>
      </c>
      <c r="P367" s="2">
        <v>18.122843288350939</v>
      </c>
      <c r="Q367" t="str">
        <v/>
      </c>
      <c r="R367" s="2">
        <v>18.122843288350939</v>
      </c>
      <c r="S367" s="5">
        <v>15.722372999999999</v>
      </c>
    </row>
    <row r="368" spans="1:19" x14ac:dyDescent="0.4">
      <c r="A368">
        <v>20210810</v>
      </c>
      <c r="B368" s="1">
        <v>0.97916666666666663</v>
      </c>
      <c r="C368">
        <v>130910</v>
      </c>
      <c r="D368">
        <v>533822</v>
      </c>
      <c r="E368">
        <v>1301377</v>
      </c>
      <c r="F368">
        <v>419511</v>
      </c>
      <c r="G368">
        <v>98245</v>
      </c>
      <c r="H368">
        <v>724052</v>
      </c>
      <c r="I368">
        <v>56516</v>
      </c>
      <c r="J368">
        <v>33574</v>
      </c>
      <c r="K368">
        <v>112321</v>
      </c>
      <c r="L368">
        <v>-22712</v>
      </c>
      <c r="M368">
        <v>7.42</v>
      </c>
      <c r="N368">
        <v>3387616</v>
      </c>
      <c r="O368">
        <v>18979050</v>
      </c>
      <c r="P368" s="2">
        <v>17.849239029350784</v>
      </c>
      <c r="Q368" t="str">
        <v/>
      </c>
      <c r="R368" s="2">
        <v>17.849239029350784</v>
      </c>
      <c r="S368" s="5">
        <v>14.082455100000001</v>
      </c>
    </row>
    <row r="370" spans="2:2" x14ac:dyDescent="0.4">
      <c r="B370" t="s">
        <v>54</v>
      </c>
    </row>
    <row r="371" spans="2:2" x14ac:dyDescent="0.4">
      <c r="B371" s="1" cm="1">
        <f t="array" ref="B371:B379">_xlfn.MODE.MULT(B2:B368)</f>
        <v>0.4375</v>
      </c>
    </row>
    <row r="372" spans="2:2" x14ac:dyDescent="0.4">
      <c r="B372" s="1">
        <v>0.45833333333333331</v>
      </c>
    </row>
    <row r="373" spans="2:2" x14ac:dyDescent="0.4">
      <c r="B373" s="1">
        <v>0.47916666666666669</v>
      </c>
    </row>
    <row r="374" spans="2:2" x14ac:dyDescent="0.4">
      <c r="B374" s="1">
        <v>0.5</v>
      </c>
    </row>
    <row r="375" spans="2:2" x14ac:dyDescent="0.4">
      <c r="B375" s="1">
        <v>0.54166666666666663</v>
      </c>
    </row>
    <row r="376" spans="2:2" x14ac:dyDescent="0.4">
      <c r="B376" s="1">
        <v>0.5625</v>
      </c>
    </row>
    <row r="377" spans="2:2" x14ac:dyDescent="0.4">
      <c r="B377" s="1">
        <v>0.58333333333333337</v>
      </c>
    </row>
    <row r="378" spans="2:2" x14ac:dyDescent="0.4">
      <c r="B378" s="1">
        <v>0.60416666666666663</v>
      </c>
    </row>
    <row r="379" spans="2:2" x14ac:dyDescent="0.4">
      <c r="B379" s="1">
        <v>0.625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FFE0C-5D62-4976-A198-C1CBF6CB2181}">
  <dimension ref="A1:U24"/>
  <sheetViews>
    <sheetView zoomScale="85" zoomScaleNormal="85" workbookViewId="0">
      <selection activeCell="O2" sqref="O2"/>
    </sheetView>
  </sheetViews>
  <sheetFormatPr defaultRowHeight="18.75" x14ac:dyDescent="0.4"/>
  <cols>
    <col min="1" max="1" width="10" bestFit="1" customWidth="1"/>
    <col min="2" max="2" width="6.25" bestFit="1" customWidth="1"/>
    <col min="3" max="3" width="7.875" bestFit="1" customWidth="1"/>
    <col min="4" max="4" width="9" bestFit="1" customWidth="1"/>
    <col min="6" max="6" width="8.625" bestFit="1" customWidth="1"/>
    <col min="7" max="7" width="7.875" bestFit="1" customWidth="1"/>
    <col min="8" max="11" width="8.625" bestFit="1" customWidth="1"/>
    <col min="12" max="12" width="7.625" bestFit="1" customWidth="1"/>
    <col min="13" max="13" width="26" bestFit="1" customWidth="1"/>
    <col min="14" max="14" width="25" bestFit="1" customWidth="1"/>
    <col min="15" max="15" width="12.5" bestFit="1" customWidth="1"/>
    <col min="16" max="16" width="18.5" bestFit="1" customWidth="1"/>
    <col min="17" max="17" width="6.25" bestFit="1" customWidth="1"/>
    <col min="18" max="18" width="29.25" bestFit="1" customWidth="1"/>
    <col min="19" max="19" width="15.5" bestFit="1" customWidth="1"/>
    <col min="20" max="20" width="10.625" bestFit="1" customWidth="1"/>
  </cols>
  <sheetData>
    <row r="1" spans="1:21" x14ac:dyDescent="0.4">
      <c r="A1" t="s">
        <v>51</v>
      </c>
      <c r="B1" t="s">
        <v>52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49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50</v>
      </c>
      <c r="T1" t="s">
        <v>55</v>
      </c>
    </row>
    <row r="2" spans="1:21" x14ac:dyDescent="0.4">
      <c r="A2" cm="1">
        <f t="array" ref="A2:S11">_xlfn._xlws.FILTER('8月1日~8月10日の全国の取引状況'!A2:S481,'8月1日~8月10日の全国の取引状況'!B2:B481=0.75,"")</f>
        <v>20210801</v>
      </c>
      <c r="B2" s="1">
        <v>0.75</v>
      </c>
      <c r="C2">
        <v>4003</v>
      </c>
      <c r="D2">
        <v>4319</v>
      </c>
      <c r="E2">
        <v>-50796</v>
      </c>
      <c r="F2">
        <v>9381</v>
      </c>
      <c r="G2">
        <v>35481</v>
      </c>
      <c r="H2">
        <v>123156</v>
      </c>
      <c r="I2">
        <v>59671</v>
      </c>
      <c r="J2">
        <v>-180540</v>
      </c>
      <c r="K2">
        <v>-64885</v>
      </c>
      <c r="L2">
        <v>-26482</v>
      </c>
      <c r="M2">
        <v>9.85</v>
      </c>
      <c r="N2">
        <v>-86692</v>
      </c>
      <c r="O2">
        <v>20793150</v>
      </c>
      <c r="P2" s="2">
        <v>0.41692576641826756</v>
      </c>
      <c r="Q2" t="str">
        <v>〇</v>
      </c>
      <c r="R2" s="2">
        <v>-0.41692576641826756</v>
      </c>
      <c r="S2" s="5">
        <v>20.481252749999999</v>
      </c>
      <c r="T2">
        <f>O2+N2</f>
        <v>20706458</v>
      </c>
    </row>
    <row r="3" spans="1:21" x14ac:dyDescent="0.4">
      <c r="A3">
        <v>20210802</v>
      </c>
      <c r="B3" s="1">
        <v>0.75</v>
      </c>
      <c r="C3">
        <v>-22753</v>
      </c>
      <c r="D3">
        <v>-175779</v>
      </c>
      <c r="E3">
        <v>-122091</v>
      </c>
      <c r="F3">
        <v>172549</v>
      </c>
      <c r="G3">
        <v>-68883</v>
      </c>
      <c r="H3">
        <v>224784</v>
      </c>
      <c r="I3">
        <v>-53709</v>
      </c>
      <c r="J3">
        <v>-157439</v>
      </c>
      <c r="K3">
        <v>39207</v>
      </c>
      <c r="L3">
        <v>-47616</v>
      </c>
      <c r="M3">
        <v>16.010000000000002</v>
      </c>
      <c r="N3">
        <v>-211730</v>
      </c>
      <c r="O3">
        <v>22718850</v>
      </c>
      <c r="P3" s="2">
        <v>0.93195738340629042</v>
      </c>
      <c r="Q3" t="str">
        <v>〇</v>
      </c>
      <c r="R3" s="2">
        <v>-0.93195738340629042</v>
      </c>
      <c r="S3" s="5">
        <v>36.372878850000006</v>
      </c>
      <c r="T3">
        <f t="shared" ref="T3:T11" si="0">O3+N3</f>
        <v>22507120</v>
      </c>
    </row>
    <row r="4" spans="1:21" x14ac:dyDescent="0.4">
      <c r="A4">
        <v>20210803</v>
      </c>
      <c r="B4" s="1">
        <v>0.75</v>
      </c>
      <c r="C4">
        <v>-56486</v>
      </c>
      <c r="D4">
        <v>-201922</v>
      </c>
      <c r="E4">
        <v>-643194</v>
      </c>
      <c r="F4">
        <v>139455</v>
      </c>
      <c r="G4">
        <v>-8380</v>
      </c>
      <c r="H4">
        <v>49539</v>
      </c>
      <c r="I4">
        <v>73682</v>
      </c>
      <c r="J4">
        <v>-137552</v>
      </c>
      <c r="K4">
        <v>-296474</v>
      </c>
      <c r="L4">
        <v>-41948</v>
      </c>
      <c r="M4">
        <v>15.21</v>
      </c>
      <c r="N4">
        <v>-1123280</v>
      </c>
      <c r="O4">
        <v>22584950</v>
      </c>
      <c r="P4" s="2">
        <v>4.9735775372537905</v>
      </c>
      <c r="Q4" t="str">
        <v>〇</v>
      </c>
      <c r="R4" s="2">
        <v>-4.9735775372537905</v>
      </c>
      <c r="S4" s="5">
        <v>34.351708950000003</v>
      </c>
      <c r="T4">
        <f t="shared" si="0"/>
        <v>21461670</v>
      </c>
    </row>
    <row r="5" spans="1:21" x14ac:dyDescent="0.4">
      <c r="A5">
        <v>20210804</v>
      </c>
      <c r="B5" s="1">
        <v>0.75</v>
      </c>
      <c r="C5">
        <v>-4872</v>
      </c>
      <c r="D5">
        <v>-149075</v>
      </c>
      <c r="E5">
        <v>-568546</v>
      </c>
      <c r="F5">
        <v>-22555</v>
      </c>
      <c r="G5">
        <v>-62248</v>
      </c>
      <c r="H5">
        <v>-147330</v>
      </c>
      <c r="I5">
        <v>-172964</v>
      </c>
      <c r="J5">
        <v>-61782</v>
      </c>
      <c r="K5">
        <v>-119045</v>
      </c>
      <c r="L5">
        <v>-26692</v>
      </c>
      <c r="M5">
        <v>17.010000000000002</v>
      </c>
      <c r="N5">
        <v>-1335109</v>
      </c>
      <c r="O5">
        <v>22962300</v>
      </c>
      <c r="P5" s="2">
        <v>5.8143522208141167</v>
      </c>
      <c r="Q5" t="str">
        <v>〇</v>
      </c>
      <c r="R5" s="2">
        <v>-5.8143522208141167</v>
      </c>
      <c r="S5" s="5">
        <v>39.058872300000004</v>
      </c>
      <c r="T5">
        <f t="shared" si="0"/>
        <v>21627191</v>
      </c>
    </row>
    <row r="6" spans="1:21" x14ac:dyDescent="0.4">
      <c r="A6">
        <v>20210805</v>
      </c>
      <c r="B6" s="1">
        <v>0.75</v>
      </c>
      <c r="C6">
        <v>-67981</v>
      </c>
      <c r="D6">
        <v>-215613</v>
      </c>
      <c r="E6">
        <v>-196833</v>
      </c>
      <c r="F6">
        <v>236955</v>
      </c>
      <c r="G6">
        <v>79513</v>
      </c>
      <c r="H6">
        <v>-222447</v>
      </c>
      <c r="I6">
        <v>-64844</v>
      </c>
      <c r="J6">
        <v>-138428</v>
      </c>
      <c r="K6">
        <v>-280740</v>
      </c>
      <c r="L6">
        <v>17734</v>
      </c>
      <c r="M6">
        <v>30</v>
      </c>
      <c r="N6">
        <v>-852684</v>
      </c>
      <c r="O6">
        <v>23390400</v>
      </c>
      <c r="P6" s="2">
        <v>3.6454442848348041</v>
      </c>
      <c r="Q6" t="str">
        <v>〇</v>
      </c>
      <c r="R6" s="2">
        <v>-3.6454442848348041</v>
      </c>
      <c r="S6" s="5">
        <v>70.171199999999999</v>
      </c>
      <c r="T6">
        <f t="shared" si="0"/>
        <v>22537716</v>
      </c>
    </row>
    <row r="7" spans="1:21" x14ac:dyDescent="0.4">
      <c r="A7">
        <v>20210806</v>
      </c>
      <c r="B7" s="1">
        <v>0.75</v>
      </c>
      <c r="C7">
        <v>-15285</v>
      </c>
      <c r="D7">
        <v>-30186</v>
      </c>
      <c r="E7">
        <v>-676192</v>
      </c>
      <c r="F7">
        <v>494634</v>
      </c>
      <c r="G7">
        <v>-6539</v>
      </c>
      <c r="H7">
        <v>490081</v>
      </c>
      <c r="I7">
        <v>80553</v>
      </c>
      <c r="J7">
        <v>78582</v>
      </c>
      <c r="K7">
        <v>19829</v>
      </c>
      <c r="L7">
        <v>13825</v>
      </c>
      <c r="M7">
        <v>20.79</v>
      </c>
      <c r="N7">
        <v>449302</v>
      </c>
      <c r="O7">
        <v>23372750</v>
      </c>
      <c r="P7" s="2">
        <v>1.9223326309484334</v>
      </c>
      <c r="Q7" t="str">
        <v/>
      </c>
      <c r="R7" s="2">
        <v>1.9223326309484334</v>
      </c>
      <c r="S7" s="5">
        <v>48.591947249999997</v>
      </c>
      <c r="T7">
        <f t="shared" si="0"/>
        <v>23822052</v>
      </c>
    </row>
    <row r="8" spans="1:21" x14ac:dyDescent="0.4">
      <c r="A8">
        <v>20210807</v>
      </c>
      <c r="B8" s="1">
        <v>0.75</v>
      </c>
      <c r="C8">
        <v>121113</v>
      </c>
      <c r="D8">
        <v>55760</v>
      </c>
      <c r="E8">
        <v>77560</v>
      </c>
      <c r="F8">
        <v>-116872</v>
      </c>
      <c r="G8">
        <v>21824</v>
      </c>
      <c r="H8">
        <v>-206563</v>
      </c>
      <c r="I8">
        <v>85885</v>
      </c>
      <c r="J8">
        <v>-124716</v>
      </c>
      <c r="K8">
        <v>-43455</v>
      </c>
      <c r="L8">
        <v>-493</v>
      </c>
      <c r="M8">
        <v>10.28</v>
      </c>
      <c r="N8">
        <v>-129957</v>
      </c>
      <c r="O8">
        <v>21534900</v>
      </c>
      <c r="P8" s="2">
        <v>0.60347157404956608</v>
      </c>
      <c r="Q8" t="str">
        <v>〇</v>
      </c>
      <c r="R8" s="2">
        <v>-0.60347157404956608</v>
      </c>
      <c r="S8" s="5">
        <v>22.137877199999998</v>
      </c>
      <c r="T8">
        <f t="shared" si="0"/>
        <v>21404943</v>
      </c>
    </row>
    <row r="9" spans="1:21" x14ac:dyDescent="0.4">
      <c r="A9">
        <v>20210808</v>
      </c>
      <c r="B9" s="1">
        <v>0.75</v>
      </c>
      <c r="C9">
        <v>132937</v>
      </c>
      <c r="D9">
        <v>203470</v>
      </c>
      <c r="E9">
        <v>1163201</v>
      </c>
      <c r="F9">
        <v>-198983</v>
      </c>
      <c r="G9">
        <v>-28308</v>
      </c>
      <c r="H9">
        <v>308135</v>
      </c>
      <c r="I9">
        <v>157669</v>
      </c>
      <c r="J9">
        <v>2226</v>
      </c>
      <c r="K9">
        <v>294517</v>
      </c>
      <c r="L9">
        <v>-23606</v>
      </c>
      <c r="M9">
        <v>10.71</v>
      </c>
      <c r="N9">
        <v>2011258</v>
      </c>
      <c r="O9">
        <v>21374200</v>
      </c>
      <c r="P9" s="2">
        <v>9.4097463296871933</v>
      </c>
      <c r="Q9" t="str">
        <v/>
      </c>
      <c r="R9" s="2">
        <v>9.4097463296871933</v>
      </c>
      <c r="S9" s="5">
        <v>22.891768200000001</v>
      </c>
      <c r="T9">
        <f t="shared" si="0"/>
        <v>23385458</v>
      </c>
    </row>
    <row r="10" spans="1:21" x14ac:dyDescent="0.4">
      <c r="A10">
        <v>20210809</v>
      </c>
      <c r="B10" s="1">
        <v>0.75</v>
      </c>
      <c r="C10">
        <v>53050</v>
      </c>
      <c r="D10">
        <v>286711</v>
      </c>
      <c r="E10">
        <v>341674</v>
      </c>
      <c r="F10">
        <v>592647</v>
      </c>
      <c r="G10">
        <v>61059</v>
      </c>
      <c r="H10">
        <v>429762</v>
      </c>
      <c r="I10">
        <v>323908</v>
      </c>
      <c r="J10">
        <v>52982</v>
      </c>
      <c r="K10">
        <v>289778</v>
      </c>
      <c r="L10">
        <v>-18648</v>
      </c>
      <c r="M10">
        <v>14.63</v>
      </c>
      <c r="N10">
        <v>2412923</v>
      </c>
      <c r="O10">
        <v>22005350</v>
      </c>
      <c r="P10" s="2">
        <v>10.965165289350089</v>
      </c>
      <c r="Q10" t="str">
        <v/>
      </c>
      <c r="R10" s="2">
        <v>10.965165289350089</v>
      </c>
      <c r="S10" s="5">
        <v>32.193827050000003</v>
      </c>
      <c r="T10">
        <f t="shared" si="0"/>
        <v>24418273</v>
      </c>
      <c r="U10" s="6"/>
    </row>
    <row r="11" spans="1:21" x14ac:dyDescent="0.4">
      <c r="A11">
        <v>20210810</v>
      </c>
      <c r="B11" s="1">
        <v>0.75</v>
      </c>
      <c r="C11">
        <v>139209</v>
      </c>
      <c r="D11">
        <v>406304</v>
      </c>
      <c r="E11">
        <v>1212855</v>
      </c>
      <c r="F11">
        <v>859201</v>
      </c>
      <c r="G11">
        <v>140467</v>
      </c>
      <c r="H11">
        <v>831535</v>
      </c>
      <c r="I11">
        <v>131453</v>
      </c>
      <c r="J11">
        <v>51128</v>
      </c>
      <c r="K11">
        <v>402649</v>
      </c>
      <c r="L11">
        <v>-28873</v>
      </c>
      <c r="M11">
        <v>13.41</v>
      </c>
      <c r="N11">
        <v>4145928</v>
      </c>
      <c r="O11">
        <v>23066050</v>
      </c>
      <c r="P11" s="2">
        <v>17.974156823556701</v>
      </c>
      <c r="Q11" t="str">
        <v/>
      </c>
      <c r="R11" s="2">
        <v>17.974156823556701</v>
      </c>
      <c r="S11" s="5">
        <v>30.931573050000001</v>
      </c>
      <c r="T11">
        <f t="shared" si="0"/>
        <v>27211978</v>
      </c>
    </row>
    <row r="14" spans="1:21" x14ac:dyDescent="0.4">
      <c r="A14" t="s">
        <v>51</v>
      </c>
      <c r="B14" t="s">
        <v>52</v>
      </c>
      <c r="C14" t="s">
        <v>0</v>
      </c>
      <c r="D14" t="s">
        <v>1</v>
      </c>
      <c r="E14" t="s">
        <v>2</v>
      </c>
      <c r="F14" t="s">
        <v>3</v>
      </c>
      <c r="G14" t="s">
        <v>4</v>
      </c>
      <c r="H14" t="s">
        <v>5</v>
      </c>
      <c r="I14" t="s">
        <v>6</v>
      </c>
      <c r="J14" t="s">
        <v>7</v>
      </c>
      <c r="K14" t="s">
        <v>8</v>
      </c>
      <c r="L14" t="s">
        <v>9</v>
      </c>
      <c r="M14" t="s">
        <v>49</v>
      </c>
      <c r="N14" t="s">
        <v>10</v>
      </c>
      <c r="O14" t="s">
        <v>11</v>
      </c>
      <c r="P14" t="s">
        <v>12</v>
      </c>
      <c r="Q14" t="s">
        <v>13</v>
      </c>
      <c r="R14" t="s">
        <v>14</v>
      </c>
      <c r="S14" t="s">
        <v>50</v>
      </c>
    </row>
    <row r="15" spans="1:21" x14ac:dyDescent="0.4">
      <c r="A15" cm="1">
        <f t="array" ref="A15:S24">_xlfn._xlws.FILTER('8月1日~8月10日の全国の取引状況'!A2:S481,'8月1日~8月10日の全国の取引状況'!B2:B481='8月1日~8月10日の全国の取引状況'!B24,"")</f>
        <v>20210801</v>
      </c>
      <c r="B15" s="1">
        <v>0.45833333333333331</v>
      </c>
      <c r="C15">
        <v>6947</v>
      </c>
      <c r="D15">
        <v>176200</v>
      </c>
      <c r="E15">
        <v>167566</v>
      </c>
      <c r="F15">
        <v>632852</v>
      </c>
      <c r="G15">
        <v>108975</v>
      </c>
      <c r="H15">
        <v>-35495</v>
      </c>
      <c r="I15">
        <v>361279</v>
      </c>
      <c r="J15">
        <v>193198</v>
      </c>
      <c r="K15">
        <v>283850</v>
      </c>
      <c r="L15">
        <v>-30061</v>
      </c>
      <c r="M15">
        <v>6.99</v>
      </c>
      <c r="N15">
        <v>1865311</v>
      </c>
      <c r="O15">
        <v>23482850</v>
      </c>
      <c r="P15" s="2">
        <v>7.9432905290456652</v>
      </c>
      <c r="Q15" t="str">
        <v/>
      </c>
      <c r="R15" s="2">
        <v>7.9432905290456652</v>
      </c>
      <c r="S15" s="5">
        <v>16.41451215</v>
      </c>
    </row>
    <row r="16" spans="1:21" x14ac:dyDescent="0.4">
      <c r="A16">
        <v>20210802</v>
      </c>
      <c r="B16" s="1">
        <v>0.45833333333333331</v>
      </c>
      <c r="C16">
        <v>115914</v>
      </c>
      <c r="D16">
        <v>804124</v>
      </c>
      <c r="E16">
        <v>1303965</v>
      </c>
      <c r="F16">
        <v>-154032</v>
      </c>
      <c r="G16">
        <v>18041</v>
      </c>
      <c r="H16">
        <v>-96799</v>
      </c>
      <c r="I16">
        <v>4696</v>
      </c>
      <c r="J16">
        <v>72685</v>
      </c>
      <c r="K16">
        <v>180246</v>
      </c>
      <c r="L16">
        <v>-42454</v>
      </c>
      <c r="M16">
        <v>9.9700000000000006</v>
      </c>
      <c r="N16">
        <v>2206386</v>
      </c>
      <c r="O16">
        <v>26370600</v>
      </c>
      <c r="P16" s="2">
        <v>8.3668403449295798</v>
      </c>
      <c r="Q16" t="str">
        <v/>
      </c>
      <c r="R16" s="2">
        <v>8.3668403449295798</v>
      </c>
      <c r="S16" s="5">
        <v>26.291488200000003</v>
      </c>
    </row>
    <row r="17" spans="1:19" x14ac:dyDescent="0.4">
      <c r="A17">
        <v>20210803</v>
      </c>
      <c r="B17" s="1">
        <v>0.45833333333333331</v>
      </c>
      <c r="C17">
        <v>219276</v>
      </c>
      <c r="D17">
        <v>237035</v>
      </c>
      <c r="E17">
        <v>221008</v>
      </c>
      <c r="F17">
        <v>93107</v>
      </c>
      <c r="G17">
        <v>-604</v>
      </c>
      <c r="H17">
        <v>55475</v>
      </c>
      <c r="I17">
        <v>214328</v>
      </c>
      <c r="J17">
        <v>115101</v>
      </c>
      <c r="K17">
        <v>-154812</v>
      </c>
      <c r="L17">
        <v>-57193</v>
      </c>
      <c r="M17">
        <v>9.8800000000000008</v>
      </c>
      <c r="N17">
        <v>942721</v>
      </c>
      <c r="O17">
        <v>25843150</v>
      </c>
      <c r="P17" s="2">
        <v>3.6478563952149794</v>
      </c>
      <c r="Q17" t="str">
        <v/>
      </c>
      <c r="R17" s="2">
        <v>3.6478563952149794</v>
      </c>
      <c r="S17" s="5">
        <v>25.533032200000005</v>
      </c>
    </row>
    <row r="18" spans="1:19" x14ac:dyDescent="0.4">
      <c r="A18">
        <v>20210804</v>
      </c>
      <c r="B18" s="1">
        <v>0.45833333333333331</v>
      </c>
      <c r="C18">
        <v>-2340</v>
      </c>
      <c r="D18">
        <v>230006</v>
      </c>
      <c r="E18">
        <v>228727</v>
      </c>
      <c r="F18">
        <v>300148</v>
      </c>
      <c r="G18">
        <v>40117</v>
      </c>
      <c r="H18">
        <v>-252619</v>
      </c>
      <c r="I18">
        <v>-67601</v>
      </c>
      <c r="J18">
        <v>91725</v>
      </c>
      <c r="K18">
        <v>-28334</v>
      </c>
      <c r="L18">
        <v>-61331</v>
      </c>
      <c r="M18">
        <v>10.01</v>
      </c>
      <c r="N18">
        <v>478498</v>
      </c>
      <c r="O18">
        <v>26841900</v>
      </c>
      <c r="P18" s="2">
        <v>1.7826532398973247</v>
      </c>
      <c r="Q18" t="str">
        <v/>
      </c>
      <c r="R18" s="2">
        <v>1.7826532398973247</v>
      </c>
      <c r="S18" s="5">
        <v>26.8687419</v>
      </c>
    </row>
    <row r="19" spans="1:19" x14ac:dyDescent="0.4">
      <c r="A19">
        <v>20210805</v>
      </c>
      <c r="B19" s="1">
        <v>0.45833333333333331</v>
      </c>
      <c r="C19">
        <v>87945</v>
      </c>
      <c r="D19">
        <v>343253</v>
      </c>
      <c r="E19">
        <v>196615</v>
      </c>
      <c r="F19">
        <v>-124079</v>
      </c>
      <c r="G19">
        <v>28740</v>
      </c>
      <c r="H19">
        <v>-149865</v>
      </c>
      <c r="I19">
        <v>35012</v>
      </c>
      <c r="J19">
        <v>-13074</v>
      </c>
      <c r="K19">
        <v>-62041</v>
      </c>
      <c r="L19">
        <v>-20449</v>
      </c>
      <c r="M19">
        <v>9.9600000000000009</v>
      </c>
      <c r="N19">
        <v>322057</v>
      </c>
      <c r="O19">
        <v>27664100</v>
      </c>
      <c r="P19" s="2">
        <v>1.1641694470450874</v>
      </c>
      <c r="Q19" t="str">
        <v/>
      </c>
      <c r="R19" s="2">
        <v>1.1641694470450874</v>
      </c>
      <c r="S19" s="5">
        <v>27.553443600000001</v>
      </c>
    </row>
    <row r="20" spans="1:19" x14ac:dyDescent="0.4">
      <c r="A20">
        <v>20210806</v>
      </c>
      <c r="B20" s="1">
        <v>0.45833333333333331</v>
      </c>
      <c r="C20">
        <v>946</v>
      </c>
      <c r="D20">
        <v>350534</v>
      </c>
      <c r="E20">
        <v>866302</v>
      </c>
      <c r="F20">
        <v>438308</v>
      </c>
      <c r="G20">
        <v>54750</v>
      </c>
      <c r="H20">
        <v>342875</v>
      </c>
      <c r="I20">
        <v>176859</v>
      </c>
      <c r="J20">
        <v>76196</v>
      </c>
      <c r="K20">
        <v>621486</v>
      </c>
      <c r="L20">
        <v>-2358</v>
      </c>
      <c r="M20">
        <v>10.27</v>
      </c>
      <c r="N20">
        <v>2925898</v>
      </c>
      <c r="O20">
        <v>27681950</v>
      </c>
      <c r="P20" s="2">
        <v>10.569696137735962</v>
      </c>
      <c r="Q20" t="str">
        <v/>
      </c>
      <c r="R20" s="2">
        <v>10.569696137735962</v>
      </c>
      <c r="S20" s="5">
        <v>28.429362650000002</v>
      </c>
    </row>
    <row r="21" spans="1:19" x14ac:dyDescent="0.4">
      <c r="A21">
        <v>20210807</v>
      </c>
      <c r="B21" s="1">
        <v>0.45833333333333331</v>
      </c>
      <c r="C21">
        <v>152496</v>
      </c>
      <c r="D21">
        <v>110780</v>
      </c>
      <c r="E21">
        <v>1260104</v>
      </c>
      <c r="F21">
        <v>764117</v>
      </c>
      <c r="G21">
        <v>86389</v>
      </c>
      <c r="H21">
        <v>231971</v>
      </c>
      <c r="I21">
        <v>330759</v>
      </c>
      <c r="J21">
        <v>187362</v>
      </c>
      <c r="K21">
        <v>-223185</v>
      </c>
      <c r="L21">
        <v>-25672</v>
      </c>
      <c r="M21">
        <v>9.5500000000000007</v>
      </c>
      <c r="N21">
        <v>2875121</v>
      </c>
      <c r="O21">
        <v>23149000</v>
      </c>
      <c r="P21" s="2">
        <v>12.420065661583653</v>
      </c>
      <c r="Q21" t="str">
        <v/>
      </c>
      <c r="R21" s="2">
        <v>12.420065661583653</v>
      </c>
      <c r="S21" s="5">
        <v>22.107295000000004</v>
      </c>
    </row>
    <row r="22" spans="1:19" x14ac:dyDescent="0.4">
      <c r="A22">
        <v>20210808</v>
      </c>
      <c r="B22" s="1">
        <v>0.45833333333333331</v>
      </c>
      <c r="C22">
        <v>325839</v>
      </c>
      <c r="D22">
        <v>546336</v>
      </c>
      <c r="E22">
        <v>1033379</v>
      </c>
      <c r="F22">
        <v>234636</v>
      </c>
      <c r="G22">
        <v>135649</v>
      </c>
      <c r="H22">
        <v>542100</v>
      </c>
      <c r="I22">
        <v>278475</v>
      </c>
      <c r="J22">
        <v>204809</v>
      </c>
      <c r="K22">
        <v>98699</v>
      </c>
      <c r="L22">
        <v>-18993</v>
      </c>
      <c r="M22">
        <v>8.86</v>
      </c>
      <c r="N22">
        <v>3380929</v>
      </c>
      <c r="O22">
        <v>22791500</v>
      </c>
      <c r="P22" s="2">
        <v>14.834166246188271</v>
      </c>
      <c r="Q22" t="str">
        <v/>
      </c>
      <c r="R22" s="2">
        <v>14.834166246188271</v>
      </c>
      <c r="S22" s="5">
        <v>20.193269000000001</v>
      </c>
    </row>
    <row r="23" spans="1:19" x14ac:dyDescent="0.4">
      <c r="A23">
        <v>20210809</v>
      </c>
      <c r="B23" s="1">
        <v>0.45833333333333331</v>
      </c>
      <c r="C23">
        <v>152621</v>
      </c>
      <c r="D23">
        <v>399947</v>
      </c>
      <c r="E23">
        <v>2543856</v>
      </c>
      <c r="F23">
        <v>260955</v>
      </c>
      <c r="G23">
        <v>141097</v>
      </c>
      <c r="H23">
        <v>638086</v>
      </c>
      <c r="I23">
        <v>16553</v>
      </c>
      <c r="J23">
        <v>173167</v>
      </c>
      <c r="K23">
        <v>265857</v>
      </c>
      <c r="L23">
        <v>6873</v>
      </c>
      <c r="M23">
        <v>10.27</v>
      </c>
      <c r="N23">
        <v>4599012</v>
      </c>
      <c r="O23">
        <v>22856250</v>
      </c>
      <c r="P23" s="2">
        <v>20.121463494667761</v>
      </c>
      <c r="Q23" t="str">
        <v/>
      </c>
      <c r="R23" s="2">
        <v>20.121463494667761</v>
      </c>
      <c r="S23" s="5">
        <v>23.473368749999999</v>
      </c>
    </row>
    <row r="24" spans="1:19" x14ac:dyDescent="0.4">
      <c r="A24">
        <v>20210810</v>
      </c>
      <c r="B24" s="1">
        <v>0.45833333333333331</v>
      </c>
      <c r="C24">
        <v>167231</v>
      </c>
      <c r="D24">
        <v>1150303</v>
      </c>
      <c r="E24">
        <v>522564</v>
      </c>
      <c r="F24">
        <v>577260</v>
      </c>
      <c r="G24">
        <v>202828</v>
      </c>
      <c r="H24">
        <v>966820</v>
      </c>
      <c r="I24">
        <v>426097</v>
      </c>
      <c r="J24">
        <v>202028</v>
      </c>
      <c r="K24">
        <v>916630</v>
      </c>
      <c r="L24">
        <v>-42239</v>
      </c>
      <c r="M24">
        <v>8.86</v>
      </c>
      <c r="N24">
        <v>5089522</v>
      </c>
      <c r="O24">
        <v>27140350</v>
      </c>
      <c r="P24" s="2">
        <v>18.752602674615471</v>
      </c>
      <c r="Q24" t="str">
        <v/>
      </c>
      <c r="R24" s="2">
        <v>18.752602674615471</v>
      </c>
      <c r="S24" s="5">
        <v>24.046350099999998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AD499-548E-4544-8876-ECA264ECB349}">
  <dimension ref="A1:W40"/>
  <sheetViews>
    <sheetView tabSelected="1" topLeftCell="A10" zoomScale="85" zoomScaleNormal="85" workbookViewId="0">
      <selection activeCell="T20" sqref="T20"/>
    </sheetView>
  </sheetViews>
  <sheetFormatPr defaultRowHeight="18.75" x14ac:dyDescent="0.4"/>
  <cols>
    <col min="3" max="3" width="10.5" bestFit="1" customWidth="1"/>
    <col min="4" max="4" width="7.875" customWidth="1"/>
    <col min="7" max="7" width="9.5" bestFit="1" customWidth="1"/>
    <col min="8" max="8" width="6.375" bestFit="1" customWidth="1"/>
    <col min="9" max="9" width="10.625" bestFit="1" customWidth="1"/>
    <col min="11" max="11" width="9.5" bestFit="1" customWidth="1"/>
    <col min="13" max="14" width="10.5" bestFit="1" customWidth="1"/>
    <col min="15" max="15" width="6" bestFit="1" customWidth="1"/>
    <col min="16" max="16" width="9.5" bestFit="1" customWidth="1"/>
    <col min="17" max="17" width="10.5" bestFit="1" customWidth="1"/>
    <col min="18" max="18" width="10.625" bestFit="1" customWidth="1"/>
  </cols>
  <sheetData>
    <row r="1" spans="1:23" x14ac:dyDescent="0.4">
      <c r="A1" s="26" t="s">
        <v>56</v>
      </c>
      <c r="C1" s="26" t="s">
        <v>57</v>
      </c>
      <c r="D1" s="26"/>
      <c r="G1" s="26" t="s">
        <v>59</v>
      </c>
      <c r="H1" s="26"/>
      <c r="I1" s="26"/>
      <c r="M1" s="26" t="s">
        <v>61</v>
      </c>
      <c r="N1" s="26"/>
      <c r="O1" s="26"/>
      <c r="P1" s="26"/>
      <c r="Q1" s="26"/>
      <c r="R1" s="26"/>
    </row>
    <row r="2" spans="1:23" x14ac:dyDescent="0.4">
      <c r="A2" s="26"/>
      <c r="C2" t="s">
        <v>60</v>
      </c>
      <c r="D2" t="s">
        <v>58</v>
      </c>
      <c r="G2" t="s">
        <v>60</v>
      </c>
      <c r="H2" t="s">
        <v>58</v>
      </c>
      <c r="I2" t="s">
        <v>55</v>
      </c>
      <c r="M2" s="26" t="s">
        <v>57</v>
      </c>
      <c r="N2" s="26"/>
      <c r="O2" s="26" t="s">
        <v>63</v>
      </c>
      <c r="P2" s="26" t="s">
        <v>59</v>
      </c>
      <c r="Q2" s="26"/>
      <c r="R2" s="26"/>
    </row>
    <row r="3" spans="1:23" x14ac:dyDescent="0.4">
      <c r="A3">
        <v>1</v>
      </c>
      <c r="C3">
        <f>M13</f>
        <v>223802900</v>
      </c>
      <c r="D3" s="7">
        <v>20.481252749999999</v>
      </c>
      <c r="G3">
        <v>20793150</v>
      </c>
      <c r="H3" s="7">
        <v>20.481252749999999</v>
      </c>
      <c r="I3">
        <v>20706458</v>
      </c>
      <c r="M3" s="3" t="s">
        <v>62</v>
      </c>
      <c r="N3" s="3" t="s">
        <v>60</v>
      </c>
      <c r="O3" s="26"/>
      <c r="P3" s="3" t="s">
        <v>60</v>
      </c>
      <c r="Q3" s="3" t="s">
        <v>62</v>
      </c>
      <c r="R3" s="3" t="s">
        <v>55</v>
      </c>
    </row>
    <row r="4" spans="1:23" x14ac:dyDescent="0.4">
      <c r="A4">
        <v>2</v>
      </c>
      <c r="G4">
        <v>22718850</v>
      </c>
      <c r="H4" s="7">
        <v>36.372878850000006</v>
      </c>
      <c r="I4">
        <v>22507120</v>
      </c>
      <c r="O4" s="7">
        <v>70.171199999999999</v>
      </c>
      <c r="P4">
        <v>23390400</v>
      </c>
      <c r="Q4">
        <f>P4</f>
        <v>23390400</v>
      </c>
      <c r="R4">
        <v>22537716</v>
      </c>
      <c r="S4">
        <f>R4-P4</f>
        <v>-852684</v>
      </c>
      <c r="T4">
        <f>ROUNDDOWN(100-((R4*100)/P4),0)</f>
        <v>3</v>
      </c>
      <c r="U4">
        <v>4</v>
      </c>
      <c r="W4">
        <f>P4/400</f>
        <v>58476</v>
      </c>
    </row>
    <row r="5" spans="1:23" x14ac:dyDescent="0.4">
      <c r="A5">
        <v>3</v>
      </c>
      <c r="G5">
        <v>22584950</v>
      </c>
      <c r="H5" s="7">
        <v>34.351708950000003</v>
      </c>
      <c r="I5">
        <v>21461670</v>
      </c>
      <c r="O5" s="7">
        <v>48.591947249999997</v>
      </c>
      <c r="P5">
        <v>23372750</v>
      </c>
      <c r="Q5">
        <f>Q4+P5</f>
        <v>46763150</v>
      </c>
      <c r="R5">
        <v>23822052</v>
      </c>
      <c r="S5">
        <f t="shared" ref="S5:S13" si="0">R5-P5</f>
        <v>449302</v>
      </c>
      <c r="T5">
        <f>ROUNDDOWN(((R5*100)/P5)-100,0)</f>
        <v>1</v>
      </c>
    </row>
    <row r="6" spans="1:23" x14ac:dyDescent="0.4">
      <c r="A6">
        <v>4</v>
      </c>
      <c r="G6">
        <v>22962300</v>
      </c>
      <c r="H6" s="7">
        <v>39.058872300000004</v>
      </c>
      <c r="I6">
        <v>21627191</v>
      </c>
      <c r="O6" s="7">
        <v>39.058872300000004</v>
      </c>
      <c r="P6">
        <v>22962300</v>
      </c>
      <c r="Q6">
        <f t="shared" ref="Q6:Q13" si="1">Q5+P6</f>
        <v>69725450</v>
      </c>
      <c r="R6">
        <v>21627191</v>
      </c>
      <c r="S6">
        <f t="shared" si="0"/>
        <v>-1335109</v>
      </c>
      <c r="T6">
        <f t="shared" ref="T6:T13" si="2">ROUNDDOWN(100-((R6*100)/P6),0)</f>
        <v>5</v>
      </c>
      <c r="U6">
        <v>6</v>
      </c>
    </row>
    <row r="7" spans="1:23" x14ac:dyDescent="0.4">
      <c r="A7">
        <v>5</v>
      </c>
      <c r="G7">
        <v>23390400</v>
      </c>
      <c r="H7" s="7">
        <v>70.171199999999999</v>
      </c>
      <c r="I7">
        <v>22537716</v>
      </c>
      <c r="O7" s="7">
        <v>36.372878850000006</v>
      </c>
      <c r="P7">
        <v>22718850</v>
      </c>
      <c r="Q7">
        <f t="shared" si="1"/>
        <v>92444300</v>
      </c>
      <c r="R7">
        <v>22507120</v>
      </c>
      <c r="S7">
        <f t="shared" si="0"/>
        <v>-211730</v>
      </c>
      <c r="T7">
        <f t="shared" si="2"/>
        <v>0</v>
      </c>
      <c r="U7">
        <v>1</v>
      </c>
    </row>
    <row r="8" spans="1:23" x14ac:dyDescent="0.4">
      <c r="A8">
        <v>6</v>
      </c>
      <c r="G8">
        <v>23372750</v>
      </c>
      <c r="H8" s="7">
        <v>48.591947249999997</v>
      </c>
      <c r="I8">
        <v>23822052</v>
      </c>
      <c r="O8" s="7">
        <v>34.351708950000003</v>
      </c>
      <c r="P8">
        <v>22584950</v>
      </c>
      <c r="Q8">
        <f t="shared" si="1"/>
        <v>115029250</v>
      </c>
      <c r="R8">
        <v>21461670</v>
      </c>
      <c r="S8">
        <f t="shared" si="0"/>
        <v>-1123280</v>
      </c>
      <c r="T8">
        <f t="shared" si="2"/>
        <v>4</v>
      </c>
      <c r="U8">
        <v>5</v>
      </c>
    </row>
    <row r="9" spans="1:23" x14ac:dyDescent="0.4">
      <c r="A9">
        <v>7</v>
      </c>
      <c r="G9">
        <v>21534900</v>
      </c>
      <c r="H9" s="7">
        <v>22.137877199999998</v>
      </c>
      <c r="I9">
        <v>21404943</v>
      </c>
      <c r="O9" s="7">
        <v>32.193827050000003</v>
      </c>
      <c r="P9">
        <v>22005350</v>
      </c>
      <c r="Q9">
        <f t="shared" si="1"/>
        <v>137034600</v>
      </c>
      <c r="R9">
        <v>24418273</v>
      </c>
      <c r="S9">
        <f t="shared" si="0"/>
        <v>2412923</v>
      </c>
      <c r="T9">
        <f>ROUNDDOWN(((R9*100)/P9)-100,0)</f>
        <v>10</v>
      </c>
    </row>
    <row r="10" spans="1:23" x14ac:dyDescent="0.4">
      <c r="A10">
        <v>8</v>
      </c>
      <c r="G10">
        <v>21374200</v>
      </c>
      <c r="H10" s="7">
        <v>22.891768200000001</v>
      </c>
      <c r="I10">
        <v>23385458</v>
      </c>
      <c r="O10" s="7">
        <v>30.931573050000001</v>
      </c>
      <c r="P10">
        <v>23066050</v>
      </c>
      <c r="Q10">
        <f t="shared" si="1"/>
        <v>160100650</v>
      </c>
      <c r="R10">
        <v>27211978</v>
      </c>
      <c r="S10">
        <f t="shared" si="0"/>
        <v>4145928</v>
      </c>
      <c r="T10">
        <f t="shared" ref="T10:T11" si="3">ROUNDDOWN(((R10*100)/P10)-100,0)</f>
        <v>17</v>
      </c>
    </row>
    <row r="11" spans="1:23" x14ac:dyDescent="0.4">
      <c r="A11">
        <v>9</v>
      </c>
      <c r="G11">
        <v>22005350</v>
      </c>
      <c r="H11" s="7">
        <v>32.193827050000003</v>
      </c>
      <c r="I11">
        <v>24418273</v>
      </c>
      <c r="O11" s="7">
        <v>22.891768200000001</v>
      </c>
      <c r="P11">
        <v>21374200</v>
      </c>
      <c r="Q11">
        <f t="shared" si="1"/>
        <v>181474850</v>
      </c>
      <c r="R11">
        <v>23385458</v>
      </c>
      <c r="S11">
        <f t="shared" si="0"/>
        <v>2011258</v>
      </c>
      <c r="T11">
        <f t="shared" si="3"/>
        <v>9</v>
      </c>
    </row>
    <row r="12" spans="1:23" x14ac:dyDescent="0.4">
      <c r="A12">
        <v>10</v>
      </c>
      <c r="G12">
        <v>23066050</v>
      </c>
      <c r="H12" s="7">
        <v>30.931573050000001</v>
      </c>
      <c r="I12">
        <v>27211978</v>
      </c>
      <c r="O12" s="7">
        <v>22.137877199999998</v>
      </c>
      <c r="P12">
        <v>21534900</v>
      </c>
      <c r="Q12">
        <f t="shared" si="1"/>
        <v>203009750</v>
      </c>
      <c r="R12">
        <v>21404943</v>
      </c>
      <c r="S12">
        <f t="shared" si="0"/>
        <v>-129957</v>
      </c>
      <c r="T12">
        <f t="shared" si="2"/>
        <v>0</v>
      </c>
      <c r="U12">
        <v>1</v>
      </c>
    </row>
    <row r="13" spans="1:23" x14ac:dyDescent="0.4">
      <c r="M13">
        <f>N13</f>
        <v>223802900</v>
      </c>
      <c r="N13">
        <f>Q13</f>
        <v>223802900</v>
      </c>
      <c r="O13" s="7">
        <v>20.481252749999999</v>
      </c>
      <c r="P13">
        <v>20793150</v>
      </c>
      <c r="Q13">
        <f t="shared" si="1"/>
        <v>223802900</v>
      </c>
      <c r="R13">
        <v>20706458</v>
      </c>
      <c r="S13">
        <f t="shared" si="0"/>
        <v>-86692</v>
      </c>
      <c r="T13">
        <f t="shared" si="2"/>
        <v>0</v>
      </c>
      <c r="U13">
        <v>1</v>
      </c>
    </row>
    <row r="14" spans="1:23" ht="19.5" thickBot="1" x14ac:dyDescent="0.45">
      <c r="A14" s="21" t="s">
        <v>68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</row>
    <row r="15" spans="1:23" ht="37.5" x14ac:dyDescent="0.4">
      <c r="A15" s="24" t="s">
        <v>64</v>
      </c>
      <c r="B15" s="25"/>
      <c r="C15" s="20"/>
      <c r="D15" s="24" t="s">
        <v>64</v>
      </c>
      <c r="E15" s="25"/>
      <c r="F15" s="20"/>
      <c r="G15" s="24" t="s">
        <v>64</v>
      </c>
      <c r="H15" s="25"/>
      <c r="I15" s="20"/>
      <c r="J15" s="24" t="s">
        <v>64</v>
      </c>
      <c r="K15" s="25"/>
      <c r="L15" s="20"/>
      <c r="N15" s="12" t="s">
        <v>69</v>
      </c>
    </row>
    <row r="16" spans="1:23" ht="18.75" customHeight="1" x14ac:dyDescent="0.4">
      <c r="A16" s="13" t="s">
        <v>66</v>
      </c>
      <c r="B16" s="8" t="s">
        <v>67</v>
      </c>
      <c r="C16" s="19" t="s">
        <v>65</v>
      </c>
      <c r="D16" s="13" t="s">
        <v>66</v>
      </c>
      <c r="E16" s="8" t="s">
        <v>67</v>
      </c>
      <c r="F16" s="19" t="s">
        <v>65</v>
      </c>
      <c r="G16" s="13" t="s">
        <v>66</v>
      </c>
      <c r="H16" s="8" t="s">
        <v>67</v>
      </c>
      <c r="I16" s="19" t="s">
        <v>65</v>
      </c>
      <c r="J16" s="13" t="s">
        <v>66</v>
      </c>
      <c r="K16" s="8" t="s">
        <v>67</v>
      </c>
      <c r="L16" s="19" t="s">
        <v>65</v>
      </c>
      <c r="N16" s="9"/>
    </row>
    <row r="17" spans="1:14" x14ac:dyDescent="0.4">
      <c r="A17" s="14">
        <v>-6</v>
      </c>
      <c r="B17" s="8">
        <v>0</v>
      </c>
      <c r="C17" s="15">
        <v>235279</v>
      </c>
      <c r="D17" s="14">
        <v>-4</v>
      </c>
      <c r="E17" s="8">
        <v>0</v>
      </c>
      <c r="F17" s="15">
        <v>333625</v>
      </c>
      <c r="G17" s="14">
        <v>-2</v>
      </c>
      <c r="H17" s="8">
        <v>0</v>
      </c>
      <c r="I17" s="15">
        <v>373591</v>
      </c>
      <c r="J17" s="14">
        <v>0</v>
      </c>
      <c r="K17" s="8">
        <v>0</v>
      </c>
      <c r="L17" s="15">
        <v>554869</v>
      </c>
      <c r="N17" s="10">
        <v>468999</v>
      </c>
    </row>
    <row r="18" spans="1:14" x14ac:dyDescent="0.4">
      <c r="A18" s="14"/>
      <c r="B18" s="8">
        <v>5</v>
      </c>
      <c r="C18" s="15">
        <v>192243</v>
      </c>
      <c r="D18" s="14"/>
      <c r="E18" s="8">
        <v>5</v>
      </c>
      <c r="F18" s="15">
        <v>290589</v>
      </c>
      <c r="G18" s="14"/>
      <c r="H18" s="8">
        <v>5</v>
      </c>
      <c r="I18" s="15">
        <v>330555</v>
      </c>
      <c r="J18" s="14"/>
      <c r="K18" s="8">
        <v>5</v>
      </c>
      <c r="L18" s="15">
        <v>511833</v>
      </c>
      <c r="N18" s="10">
        <v>468999</v>
      </c>
    </row>
    <row r="19" spans="1:14" ht="19.5" thickBot="1" x14ac:dyDescent="0.45">
      <c r="A19" s="16"/>
      <c r="B19" s="17">
        <v>10</v>
      </c>
      <c r="C19" s="18">
        <v>75481</v>
      </c>
      <c r="D19" s="16"/>
      <c r="E19" s="17">
        <v>10</v>
      </c>
      <c r="F19" s="18">
        <v>173827</v>
      </c>
      <c r="G19" s="16"/>
      <c r="H19" s="17">
        <v>10</v>
      </c>
      <c r="I19" s="18">
        <v>213793</v>
      </c>
      <c r="J19" s="16"/>
      <c r="K19" s="17">
        <v>10</v>
      </c>
      <c r="L19" s="18">
        <v>395071</v>
      </c>
      <c r="N19" s="10">
        <v>468999</v>
      </c>
    </row>
    <row r="20" spans="1:14" x14ac:dyDescent="0.4">
      <c r="A20" s="11"/>
      <c r="D20" s="11"/>
      <c r="F20" s="10"/>
      <c r="G20" s="11"/>
      <c r="I20" s="10"/>
      <c r="J20" s="11"/>
      <c r="L20" s="10"/>
    </row>
    <row r="21" spans="1:14" x14ac:dyDescent="0.4">
      <c r="A21" s="11"/>
      <c r="D21" s="11"/>
      <c r="F21" s="10"/>
      <c r="G21" s="11"/>
      <c r="I21" s="10"/>
      <c r="J21" s="11"/>
      <c r="L21" s="10"/>
    </row>
    <row r="22" spans="1:14" x14ac:dyDescent="0.4">
      <c r="A22" s="11"/>
      <c r="D22" s="11"/>
      <c r="G22" s="11"/>
      <c r="I22" s="10"/>
      <c r="J22" s="11"/>
      <c r="L22" s="10"/>
    </row>
    <row r="23" spans="1:14" x14ac:dyDescent="0.4">
      <c r="D23" s="10"/>
    </row>
    <row r="24" spans="1:14" x14ac:dyDescent="0.4">
      <c r="D24" s="10"/>
    </row>
    <row r="25" spans="1:14" x14ac:dyDescent="0.4">
      <c r="D25" s="10"/>
    </row>
    <row r="26" spans="1:14" x14ac:dyDescent="0.4">
      <c r="D26" s="10"/>
    </row>
    <row r="27" spans="1:14" x14ac:dyDescent="0.4">
      <c r="D27" s="10"/>
    </row>
    <row r="28" spans="1:14" x14ac:dyDescent="0.4">
      <c r="D28" s="10"/>
    </row>
    <row r="29" spans="1:14" x14ac:dyDescent="0.4">
      <c r="D29" s="10"/>
    </row>
    <row r="30" spans="1:14" x14ac:dyDescent="0.4">
      <c r="D30" s="10"/>
    </row>
    <row r="31" spans="1:14" x14ac:dyDescent="0.4">
      <c r="D31" s="10"/>
    </row>
    <row r="32" spans="1:14" x14ac:dyDescent="0.4">
      <c r="D32" s="10"/>
    </row>
    <row r="33" spans="4:4" x14ac:dyDescent="0.4">
      <c r="D33" s="10"/>
    </row>
    <row r="34" spans="4:4" x14ac:dyDescent="0.4">
      <c r="D34" s="10"/>
    </row>
    <row r="35" spans="4:4" x14ac:dyDescent="0.4">
      <c r="D35" s="10"/>
    </row>
    <row r="36" spans="4:4" x14ac:dyDescent="0.4">
      <c r="D36" s="10"/>
    </row>
    <row r="37" spans="4:4" x14ac:dyDescent="0.4">
      <c r="D37" s="10"/>
    </row>
    <row r="38" spans="4:4" x14ac:dyDescent="0.4">
      <c r="D38" s="10"/>
    </row>
    <row r="39" spans="4:4" x14ac:dyDescent="0.4">
      <c r="D39" s="10"/>
    </row>
    <row r="40" spans="4:4" x14ac:dyDescent="0.4">
      <c r="D40" s="10"/>
    </row>
  </sheetData>
  <sortState xmlns:xlrd2="http://schemas.microsoft.com/office/spreadsheetml/2017/richdata2" ref="K17:L19">
    <sortCondition ref="K17:K19"/>
  </sortState>
  <mergeCells count="12">
    <mergeCell ref="P2:R2"/>
    <mergeCell ref="M1:R1"/>
    <mergeCell ref="A1:A2"/>
    <mergeCell ref="O2:O3"/>
    <mergeCell ref="C1:D1"/>
    <mergeCell ref="G1:I1"/>
    <mergeCell ref="M2:N2"/>
    <mergeCell ref="A14:L14"/>
    <mergeCell ref="D15:E15"/>
    <mergeCell ref="G15:H15"/>
    <mergeCell ref="J15:K15"/>
    <mergeCell ref="A15:B15"/>
  </mergeCells>
  <phoneticPr fontId="1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8月1日~8月10日の全国の取引状況</vt:lpstr>
      <vt:lpstr>抽出(不足のみ)</vt:lpstr>
      <vt:lpstr>抽出(余剰のみ)</vt:lpstr>
      <vt:lpstr>抽出(18時0分と10時0分のみ)</vt:lpstr>
      <vt:lpstr>測定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hidet</dc:creator>
  <cp:lastModifiedBy>hidet</cp:lastModifiedBy>
  <dcterms:created xsi:type="dcterms:W3CDTF">2021-11-08T04:48:53Z</dcterms:created>
  <dcterms:modified xsi:type="dcterms:W3CDTF">2021-12-18T07:17:03Z</dcterms:modified>
</cp:coreProperties>
</file>